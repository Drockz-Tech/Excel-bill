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TO 15 JUNE 2026" sheetId="1" r:id="rId5"/>
    <sheet state="visible" name="Sheet31" sheetId="2" r:id="rId6"/>
    <sheet state="visible" name="Sheet32" sheetId="3" r:id="rId7"/>
    <sheet state="visible" name="Sheet2" sheetId="4" r:id="rId8"/>
    <sheet state="visible" name="Sheet4" sheetId="5" r:id="rId9"/>
    <sheet state="visible" name="Sheet3" sheetId="6" r:id="rId10"/>
    <sheet state="visible" name="Sheet5" sheetId="7" r:id="rId11"/>
    <sheet state="visible" name="Sheet6" sheetId="8" r:id="rId12"/>
    <sheet state="visible" name="Sheet7" sheetId="9" r:id="rId13"/>
    <sheet state="visible" name="Sheet8" sheetId="10" r:id="rId14"/>
    <sheet state="visible" name="Sheet9" sheetId="11" r:id="rId15"/>
    <sheet state="visible" name="Sheet10" sheetId="12" r:id="rId16"/>
    <sheet state="visible" name="Sheet11" sheetId="13" r:id="rId17"/>
    <sheet state="visible" name="Sheet12" sheetId="14" r:id="rId18"/>
    <sheet state="visible" name="Sheet13" sheetId="15" r:id="rId19"/>
    <sheet state="visible" name="Sheet14" sheetId="16" r:id="rId20"/>
    <sheet state="visible" name="Sheet15" sheetId="17" r:id="rId21"/>
    <sheet state="visible" name="Sheet16" sheetId="18" r:id="rId22"/>
    <sheet state="visible" name="Sheet17" sheetId="19" r:id="rId23"/>
    <sheet state="visible" name="Sheet18" sheetId="20" r:id="rId24"/>
    <sheet state="visible" name="Sheet19" sheetId="21" r:id="rId25"/>
    <sheet state="visible" name="Sheet20" sheetId="22" r:id="rId26"/>
    <sheet state="visible" name="Sheet21" sheetId="23" r:id="rId27"/>
    <sheet state="visible" name="Sheet22" sheetId="24" r:id="rId28"/>
    <sheet state="visible" name="Sheet23" sheetId="25" r:id="rId29"/>
    <sheet state="visible" name="Sheet24" sheetId="26" r:id="rId30"/>
    <sheet state="visible" name="Sheet25" sheetId="27" r:id="rId31"/>
    <sheet state="visible" name="Sheet26" sheetId="28" r:id="rId32"/>
    <sheet state="visible" name="Sheet27" sheetId="29" r:id="rId33"/>
    <sheet state="visible" name="Sheet28" sheetId="30" r:id="rId34"/>
    <sheet state="visible" name="Sheet29" sheetId="31" r:id="rId35"/>
    <sheet state="visible" name="Sheet30" sheetId="32" r:id="rId36"/>
    <sheet state="visible" name="Sheet33" sheetId="33" r:id="rId37"/>
  </sheets>
  <definedNames/>
  <calcPr/>
</workbook>
</file>

<file path=xl/sharedStrings.xml><?xml version="1.0" encoding="utf-8"?>
<sst xmlns="http://schemas.openxmlformats.org/spreadsheetml/2006/main" count="9343" uniqueCount="210">
  <si>
    <t xml:space="preserve">h </t>
  </si>
  <si>
    <t>JAI JULELAL TRANSPORT</t>
  </si>
  <si>
    <t>QUATER NO 22,SHASTRI NAGAR, REFUGEE COLONY,</t>
  </si>
  <si>
    <t>JUNCTION PLOT, RAJKOT - 360001</t>
  </si>
  <si>
    <t xml:space="preserve">ANNEXURE           </t>
  </si>
  <si>
    <t>M/S:</t>
  </si>
  <si>
    <t>MRF LIMITED</t>
  </si>
  <si>
    <t>Annexure No:</t>
  </si>
  <si>
    <t>RAJKOT</t>
  </si>
  <si>
    <t>Annexure Date:</t>
  </si>
  <si>
    <t>20/04/2026</t>
  </si>
  <si>
    <t>GSTIN NO.:</t>
  </si>
  <si>
    <t>24AAACM4154G1ZT</t>
  </si>
  <si>
    <t>Annexure Type:</t>
  </si>
  <si>
    <t>VAN BILL</t>
  </si>
  <si>
    <t>SR</t>
  </si>
  <si>
    <t>G.F.NO</t>
  </si>
  <si>
    <t>DATE</t>
  </si>
  <si>
    <t>ROUTE NO</t>
  </si>
  <si>
    <t>TOWNS COVERED</t>
  </si>
  <si>
    <t>TYPE OF VEHICLE</t>
  </si>
  <si>
    <t>VEHICLE NO</t>
  </si>
  <si>
    <t>WEIGHT</t>
  </si>
  <si>
    <t>KMS</t>
  </si>
  <si>
    <t>RATE</t>
  </si>
  <si>
    <t>KM AMOUNT</t>
  </si>
  <si>
    <t>TOLL</t>
  </si>
  <si>
    <t>AMOUNT</t>
  </si>
  <si>
    <t>U4</t>
  </si>
  <si>
    <t>WAKANER</t>
  </si>
  <si>
    <t>HALVAD</t>
  </si>
  <si>
    <t>CHOTILA</t>
  </si>
  <si>
    <t>THANGADH</t>
  </si>
  <si>
    <t>TATA 407</t>
  </si>
  <si>
    <t>GJ36T9192</t>
  </si>
  <si>
    <t>U5</t>
  </si>
  <si>
    <t>MORBI</t>
  </si>
  <si>
    <t>PIPLIYA</t>
  </si>
  <si>
    <t>TATA 709</t>
  </si>
  <si>
    <t>GJ02CU8017</t>
  </si>
  <si>
    <t>TANKARA</t>
  </si>
  <si>
    <t>GJ23T6758</t>
  </si>
  <si>
    <t>U1</t>
  </si>
  <si>
    <t>LALPUR</t>
  </si>
  <si>
    <t>JAMNAGAR</t>
  </si>
  <si>
    <t>BOLERO</t>
  </si>
  <si>
    <t>GJ03W6850</t>
  </si>
  <si>
    <t>U2</t>
  </si>
  <si>
    <t>KALAVAD</t>
  </si>
  <si>
    <t>DHROL</t>
  </si>
  <si>
    <t>GJ03BT5779</t>
  </si>
  <si>
    <t>U3</t>
  </si>
  <si>
    <t>GJ03BY1090</t>
  </si>
  <si>
    <t>GJ03BZ1612</t>
  </si>
  <si>
    <t>GJ13AT4899</t>
  </si>
  <si>
    <t>U11</t>
  </si>
  <si>
    <t>UNA</t>
  </si>
  <si>
    <t>MENDERDA</t>
  </si>
  <si>
    <t>KODINAR</t>
  </si>
  <si>
    <t>TALALA</t>
  </si>
  <si>
    <t>GJ10Z5177</t>
  </si>
  <si>
    <t>U8</t>
  </si>
  <si>
    <t>SIKAPATIYA</t>
  </si>
  <si>
    <t>GJ02XX6732</t>
  </si>
  <si>
    <t>Amount in Words</t>
  </si>
  <si>
    <t>GRAND TOTAL</t>
  </si>
  <si>
    <t>Terms &amp; condition</t>
  </si>
  <si>
    <t>For, JAI JULELAL TRANSPORT</t>
  </si>
  <si>
    <t>1. This is GST Taxable invoice. we are paying GST @12% on forward charges Basic on transportation services provided by us. so no reverse charge tax is payable by receipient.</t>
  </si>
  <si>
    <t xml:space="preserve">For, JAI JULELAL TRANSPORT		</t>
  </si>
  <si>
    <t>2. "subject to 'RAJKOT' jurisdiction only. E.&amp;0.E</t>
  </si>
  <si>
    <t>Receiver Signature</t>
  </si>
  <si>
    <t>(Authorised Signature)</t>
  </si>
  <si>
    <t>MITHAPUR</t>
  </si>
  <si>
    <t>JAMKHAMBHADIYA</t>
  </si>
  <si>
    <t>BHATIYA</t>
  </si>
  <si>
    <t>GJ03BY1273</t>
  </si>
  <si>
    <t>U12</t>
  </si>
  <si>
    <t>JUNAGADH</t>
  </si>
  <si>
    <t>MANGROL</t>
  </si>
  <si>
    <t>TATA 407 TURBO</t>
  </si>
  <si>
    <t>GJ03W7197</t>
  </si>
  <si>
    <t>U10</t>
  </si>
  <si>
    <t>GONDAL</t>
  </si>
  <si>
    <t>KESOD</t>
  </si>
  <si>
    <t>GJ02XX6731</t>
  </si>
  <si>
    <t>GADU</t>
  </si>
  <si>
    <t>VERAVAL</t>
  </si>
  <si>
    <t>SUTRAPADA</t>
  </si>
  <si>
    <t>GJ02XX6539</t>
  </si>
  <si>
    <t>U6</t>
  </si>
  <si>
    <t>DHORAJI</t>
  </si>
  <si>
    <t>JAMJODHPUR</t>
  </si>
  <si>
    <t>BHANVAD</t>
  </si>
  <si>
    <t>UPLETA</t>
  </si>
  <si>
    <t>GJ11VV1256</t>
  </si>
  <si>
    <t>GJ11Z6401</t>
  </si>
  <si>
    <t>GJ03CU8017</t>
  </si>
  <si>
    <t>GJ03BW6850</t>
  </si>
  <si>
    <t>GJ03BZ8492</t>
  </si>
  <si>
    <t>U9</t>
  </si>
  <si>
    <t>GJ02XX7465</t>
  </si>
  <si>
    <t>GJ02VV0021</t>
  </si>
  <si>
    <t>DOLASA</t>
  </si>
  <si>
    <t>GJ03AT3420</t>
  </si>
  <si>
    <t>GJ03AT0103</t>
  </si>
  <si>
    <t>U7</t>
  </si>
  <si>
    <t>RANAVAV</t>
  </si>
  <si>
    <t>PORBANDAR</t>
  </si>
  <si>
    <t>MIYANI</t>
  </si>
  <si>
    <t>GJ03CU4145</t>
  </si>
  <si>
    <t>GJ03BZ6608</t>
  </si>
  <si>
    <t>GJ03BZ3793</t>
  </si>
  <si>
    <t>GJ03BZ4045</t>
  </si>
  <si>
    <t>GJ03BZ3286</t>
  </si>
  <si>
    <t xml:space="preserve">   </t>
  </si>
  <si>
    <t>JETPUR</t>
  </si>
  <si>
    <t>GJ03CU5697</t>
  </si>
  <si>
    <t>GJ06YY5717</t>
  </si>
  <si>
    <t>08/07.2026</t>
  </si>
  <si>
    <t>GJ03CU3286</t>
  </si>
  <si>
    <t>GJ15YY9620</t>
  </si>
  <si>
    <t>16/04/2026</t>
  </si>
  <si>
    <t>GJ05CU2701</t>
  </si>
  <si>
    <t>GJ02XX7190</t>
  </si>
  <si>
    <t>17/04/2026</t>
  </si>
  <si>
    <t>17/04/2025</t>
  </si>
  <si>
    <t>18/04/2026</t>
  </si>
  <si>
    <t>MADHAVPUR</t>
  </si>
  <si>
    <t>GJ03BZ1610</t>
  </si>
  <si>
    <t>21/04/2026</t>
  </si>
  <si>
    <t>GJ03BT5759</t>
  </si>
  <si>
    <t>22/04/2026</t>
  </si>
  <si>
    <t>23/04/2026</t>
  </si>
  <si>
    <t>GJ032XX7190</t>
  </si>
  <si>
    <t>24/04/2026</t>
  </si>
  <si>
    <t>GJ1Z6401</t>
  </si>
  <si>
    <t>25/04/2026</t>
  </si>
  <si>
    <t>GJ36AT9192</t>
  </si>
  <si>
    <t>27/04/2026</t>
  </si>
  <si>
    <t>28/04/2026</t>
  </si>
  <si>
    <t xml:space="preserve"> </t>
  </si>
  <si>
    <t>29/04/2026</t>
  </si>
  <si>
    <t>GJ16X8493</t>
  </si>
  <si>
    <t>GJ003AT3420</t>
  </si>
  <si>
    <t>30/04/2026</t>
  </si>
  <si>
    <t>19,28</t>
  </si>
  <si>
    <t>GJ03BV1610</t>
  </si>
  <si>
    <t>GJ03BZ8607</t>
  </si>
  <si>
    <t>GJ13AT103</t>
  </si>
  <si>
    <t>GJ03BW4045</t>
  </si>
  <si>
    <t>GJ03AT4899</t>
  </si>
  <si>
    <t>05/052026</t>
  </si>
  <si>
    <t>GJ03BY1373</t>
  </si>
  <si>
    <t>GJ03W8017</t>
  </si>
  <si>
    <t>GJ1126401</t>
  </si>
  <si>
    <t>GJ03Y1090</t>
  </si>
  <si>
    <t>13/05/2026</t>
  </si>
  <si>
    <t>14/05/2026</t>
  </si>
  <si>
    <t>15/05/2026</t>
  </si>
  <si>
    <t>16/05/2026</t>
  </si>
  <si>
    <t>18/05/2026</t>
  </si>
  <si>
    <t>19/05/2026</t>
  </si>
  <si>
    <t>GJ02VV0021`</t>
  </si>
  <si>
    <t>20/05/2026</t>
  </si>
  <si>
    <t>21/05/2026</t>
  </si>
  <si>
    <t>22/05/2026</t>
  </si>
  <si>
    <t>23/05/2026</t>
  </si>
  <si>
    <t>GJ03Z1612</t>
  </si>
  <si>
    <t>25/05/2026</t>
  </si>
  <si>
    <t>26/05/2026</t>
  </si>
  <si>
    <t>GJ5CU2701</t>
  </si>
  <si>
    <t>GJ03DZ8492</t>
  </si>
  <si>
    <t>27/05/2026</t>
  </si>
  <si>
    <t>GJ03PT5779</t>
  </si>
  <si>
    <t>28/05/2026</t>
  </si>
  <si>
    <t>29/05/2026</t>
  </si>
  <si>
    <t>30/05/2026</t>
  </si>
  <si>
    <t>17/06/2026</t>
  </si>
  <si>
    <t>GJ13AT6201</t>
  </si>
  <si>
    <t>GJ003AT0103</t>
  </si>
  <si>
    <t>GJ02XX6131</t>
  </si>
  <si>
    <t>GJ03BZ3801</t>
  </si>
  <si>
    <r>
      <rPr>
        <rFont val="Arial"/>
        <b/>
        <color theme="1"/>
        <sz val="12.0"/>
      </rPr>
      <t xml:space="preserve">JAI JULELAL TRANSPORT		</t>
    </r>
    <r>
      <rPr>
        <rFont val="Arial"/>
        <color theme="1"/>
      </rPr>
      <t xml:space="preserve">														</t>
    </r>
  </si>
  <si>
    <t>GJ23T6759</t>
  </si>
  <si>
    <t>GJ03BZ3213</t>
  </si>
  <si>
    <t>13/06/2026</t>
  </si>
  <si>
    <t>GJ11VV0021</t>
  </si>
  <si>
    <t>15/06/2026</t>
  </si>
  <si>
    <t>16/06/2026</t>
  </si>
  <si>
    <t>06-06-202026</t>
  </si>
  <si>
    <t>18/06/2026</t>
  </si>
  <si>
    <t>GJ03CU5692</t>
  </si>
  <si>
    <t>19/06/2026</t>
  </si>
  <si>
    <t>GJ01CU4145</t>
  </si>
  <si>
    <t>20/06/2026</t>
  </si>
  <si>
    <t>15,53</t>
  </si>
  <si>
    <t>22/06/2026</t>
  </si>
  <si>
    <t>23/06/2026</t>
  </si>
  <si>
    <t>24/06/2026</t>
  </si>
  <si>
    <t>25/06/2026</t>
  </si>
  <si>
    <t>X</t>
  </si>
  <si>
    <t>GJ13AW7421</t>
  </si>
  <si>
    <t>26/06/2026</t>
  </si>
  <si>
    <t>27/06/2026</t>
  </si>
  <si>
    <t>GJ02XX4765</t>
  </si>
  <si>
    <t>29/06/2026</t>
  </si>
  <si>
    <t xml:space="preserve">    </t>
  </si>
  <si>
    <t>30/06/2026</t>
  </si>
  <si>
    <t>GJ03AW7197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</si>
</sst>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7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/>
    <font>
      <sz val="15.0"/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Arial"/>
    </font>
    <font>
      <b/>
      <color theme="1"/>
      <name val="Arial"/>
      <scheme val="minor"/>
    </font>
    <font>
      <color theme="1"/>
      <name val="Arial"/>
    </font>
    <font>
      <b/>
      <u/>
      <sz val="15.0"/>
      <color rgb="FF0000FF"/>
    </font>
    <font>
      <b/>
      <u/>
      <sz val="12.0"/>
      <color rgb="FF0000FF"/>
    </font>
    <font>
      <sz val="15.0"/>
      <color theme="1"/>
      <name val="Arial"/>
    </font>
    <font>
      <sz val="12.0"/>
      <color theme="1"/>
      <name val="Arial"/>
    </font>
    <font>
      <b/>
      <sz val="16.0"/>
      <color theme="1"/>
      <name val="Arial"/>
      <scheme val="minor"/>
    </font>
    <font>
      <b/>
      <sz val="18.0"/>
      <color theme="1"/>
      <name val="Arial"/>
      <scheme val="minor"/>
    </font>
    <font>
      <b/>
      <sz val="17.0"/>
      <color theme="1"/>
      <name val="Arial"/>
      <scheme val="minor"/>
    </font>
    <font>
      <b/>
      <sz val="15.0"/>
      <color theme="1"/>
      <name val="Arial"/>
    </font>
    <font>
      <b/>
      <u/>
      <sz val="15.0"/>
      <color rgb="FF1155CC"/>
      <name val="Arial"/>
    </font>
    <font>
      <b/>
      <u/>
      <sz val="15.0"/>
      <color rgb="FF1155CC"/>
      <name val="Arial"/>
    </font>
    <font>
      <sz val="16.0"/>
      <color theme="1"/>
      <name val="Arial"/>
      <scheme val="minor"/>
    </font>
    <font>
      <b/>
      <sz val="23.0"/>
      <color theme="1"/>
      <name val="Arial"/>
    </font>
    <font>
      <sz val="18.0"/>
      <color theme="1"/>
      <name val="Arial"/>
      <scheme val="minor"/>
    </font>
    <font>
      <b/>
      <sz val="25.0"/>
      <color theme="1"/>
      <name val="Arial"/>
      <scheme val="minor"/>
    </font>
    <font>
      <b/>
      <u/>
      <sz val="18.0"/>
      <color rgb="FF0000FF"/>
    </font>
    <font>
      <sz val="23.0"/>
      <color theme="1"/>
      <name val="Arial"/>
      <scheme val="minor"/>
    </font>
    <font>
      <b/>
      <sz val="20.0"/>
      <color theme="1"/>
      <name val="Arial"/>
      <scheme val="minor"/>
    </font>
    <font>
      <b/>
      <sz val="22.0"/>
      <color theme="1"/>
      <name val="Arial"/>
      <scheme val="minor"/>
    </font>
    <font>
      <b/>
      <sz val="16.0"/>
      <color theme="1"/>
      <name val="Arial"/>
    </font>
    <font>
      <sz val="19.0"/>
      <color theme="1"/>
      <name val="Arial"/>
      <scheme val="minor"/>
    </font>
    <font>
      <b/>
      <sz val="14.0"/>
      <color theme="1"/>
      <name val="Arial"/>
      <scheme val="minor"/>
    </font>
    <font>
      <sz val="12.0"/>
      <color theme="1"/>
      <name val="Arial"/>
      <scheme val="minor"/>
    </font>
    <font>
      <b/>
      <sz val="34.0"/>
      <color theme="1"/>
      <name val="Arial"/>
    </font>
    <font>
      <sz val="34.0"/>
      <color theme="1"/>
      <name val="Arial"/>
      <scheme val="minor"/>
    </font>
    <font>
      <b/>
      <sz val="34.0"/>
      <color theme="1"/>
      <name val="Arial"/>
      <scheme val="minor"/>
    </font>
    <font>
      <b/>
      <u/>
      <sz val="34.0"/>
      <color rgb="FF0000FF"/>
    </font>
    <font>
      <sz val="34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5" fillId="0" fontId="4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wrapText="1"/>
    </xf>
    <xf borderId="6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left" readingOrder="0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horizontal="left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0" fillId="0" fontId="9" numFmtId="0" xfId="0" applyFont="1"/>
    <xf borderId="6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7" fillId="0" fontId="3" numFmtId="0" xfId="0" applyAlignment="1" applyBorder="1" applyFont="1">
      <alignment horizontal="left" readingOrder="0" shrinkToFit="0" vertical="center" wrapText="1"/>
    </xf>
    <xf borderId="7" fillId="0" fontId="4" numFmtId="0" xfId="0" applyBorder="1" applyFont="1"/>
    <xf borderId="8" fillId="0" fontId="4" numFmtId="0" xfId="0" applyBorder="1" applyFont="1"/>
    <xf borderId="7" fillId="0" fontId="5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left" readingOrder="0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wrapText="1"/>
    </xf>
    <xf borderId="0" fillId="0" fontId="5" numFmtId="0" xfId="0" applyAlignment="1" applyFont="1">
      <alignment horizontal="right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10" fillId="0" fontId="10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horizontal="center" readingOrder="0" shrinkToFit="0" vertical="center" wrapText="1"/>
    </xf>
    <xf borderId="12" fillId="0" fontId="4" numFmtId="0" xfId="0" applyBorder="1" applyFont="1"/>
    <xf borderId="13" fillId="0" fontId="4" numFmtId="0" xfId="0" applyBorder="1" applyFont="1"/>
    <xf borderId="14" fillId="0" fontId="3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horizontal="center" readingOrder="0" shrinkToFit="0" vertical="center" wrapText="1"/>
    </xf>
    <xf borderId="10" fillId="0" fontId="11" numFmtId="0" xfId="0" applyAlignment="1" applyBorder="1" applyFont="1">
      <alignment horizontal="center" readingOrder="0" shrinkToFit="0" vertical="center" wrapText="1"/>
    </xf>
    <xf borderId="10" fillId="0" fontId="6" numFmtId="0" xfId="0" applyAlignment="1" applyBorder="1" applyFont="1">
      <alignment horizontal="center" readingOrder="0" shrinkToFit="0" vertical="center" wrapText="1"/>
    </xf>
    <xf borderId="11" fillId="0" fontId="6" numFmtId="0" xfId="0" applyAlignment="1" applyBorder="1" applyFont="1">
      <alignment horizontal="center" readingOrder="0" shrinkToFit="0" vertical="center" wrapText="1"/>
    </xf>
    <xf borderId="14" fillId="0" fontId="6" numFmtId="0" xfId="0" applyAlignment="1" applyBorder="1" applyFont="1">
      <alignment horizontal="center" readingOrder="0" shrinkToFit="0" vertical="center" wrapText="1"/>
    </xf>
    <xf borderId="0" fillId="0" fontId="9" numFmtId="0" xfId="0" applyFont="1"/>
    <xf borderId="9" fillId="0" fontId="5" numFmtId="0" xfId="0" applyAlignment="1" applyBorder="1" applyFont="1">
      <alignment horizontal="center" readingOrder="0" shrinkToFit="0" vertical="center" wrapText="1"/>
    </xf>
    <xf borderId="10" fillId="0" fontId="5" numFmtId="0" xfId="0" applyAlignment="1" applyBorder="1" applyFont="1">
      <alignment horizontal="center" readingOrder="0" shrinkToFit="0" vertical="center" wrapText="1"/>
    </xf>
    <xf borderId="10" fillId="0" fontId="5" numFmtId="164" xfId="0" applyAlignment="1" applyBorder="1" applyFont="1" applyNumberFormat="1">
      <alignment horizontal="center" readingOrder="0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right" readingOrder="0" shrinkToFit="0" vertical="center" wrapText="1"/>
    </xf>
    <xf borderId="14" fillId="0" fontId="5" numFmtId="0" xfId="0" applyAlignment="1" applyBorder="1" applyFont="1">
      <alignment horizontal="right" readingOrder="0"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10" fillId="0" fontId="2" numFmtId="164" xfId="0" applyAlignment="1" applyBorder="1" applyFont="1" applyNumberFormat="1">
      <alignment horizontal="center" readingOrder="0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right" shrinkToFit="0" vertical="center" wrapText="1"/>
    </xf>
    <xf borderId="0" fillId="0" fontId="7" numFmtId="0" xfId="0" applyAlignment="1" applyFont="1">
      <alignment horizontal="center" shrinkToFit="0" wrapText="1"/>
    </xf>
    <xf borderId="5" fillId="0" fontId="5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horizontal="left" readingOrder="0" shrinkToFit="0" vertical="center" wrapText="1"/>
    </xf>
    <xf borderId="16" fillId="0" fontId="4" numFmtId="0" xfId="0" applyBorder="1" applyFont="1"/>
    <xf borderId="16" fillId="2" fontId="12" numFmtId="0" xfId="0" applyAlignment="1" applyBorder="1" applyFill="1" applyFont="1">
      <alignment vertical="bottom"/>
    </xf>
    <xf borderId="1" fillId="0" fontId="5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right" readingOrder="0" shrinkToFit="0" vertical="center" wrapText="1"/>
    </xf>
    <xf borderId="15" fillId="0" fontId="2" numFmtId="0" xfId="0" applyAlignment="1" applyBorder="1" applyFont="1">
      <alignment horizontal="left" readingOrder="0" shrinkToFit="0" vertical="center" wrapText="1"/>
    </xf>
    <xf borderId="16" fillId="2" fontId="13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14" numFmtId="0" xfId="0" applyAlignment="1" applyBorder="1" applyFont="1">
      <alignment horizontal="center" readingOrder="0" shrinkToFit="0" vertical="center" wrapText="1"/>
    </xf>
    <xf borderId="18" fillId="0" fontId="2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left" readingOrder="0" shrinkToFit="0" vertical="center" wrapText="1"/>
    </xf>
    <xf borderId="18" fillId="0" fontId="14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left" readingOrder="0" shrinkToFit="0" vertical="center" wrapText="1"/>
    </xf>
    <xf borderId="5" fillId="0" fontId="2" numFmtId="0" xfId="0" applyAlignment="1" applyBorder="1" applyFont="1">
      <alignment horizontal="left" readingOrder="0" shrinkToFit="0" vertical="center" wrapText="1"/>
    </xf>
    <xf borderId="5" fillId="0" fontId="5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horizontal="center" shrinkToFit="0" wrapText="1"/>
    </xf>
    <xf borderId="2" fillId="0" fontId="15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18" fillId="0" fontId="5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left" readingOrder="0" shrinkToFit="0" vertical="center" wrapText="1"/>
    </xf>
    <xf borderId="7" fillId="0" fontId="5" numFmtId="0" xfId="0" applyAlignment="1" applyBorder="1" applyFont="1">
      <alignment horizontal="left" readingOrder="0" shrinkToFit="0" vertical="center" wrapText="1"/>
    </xf>
    <xf borderId="14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 shrinkToFit="0" vertical="top" wrapText="1"/>
    </xf>
    <xf borderId="6" fillId="0" fontId="3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center" shrinkToFit="0" wrapText="1"/>
    </xf>
    <xf borderId="0" fillId="0" fontId="12" numFmtId="0" xfId="0" applyFont="1"/>
    <xf borderId="0" fillId="0" fontId="12" numFmtId="0" xfId="0" applyAlignment="1" applyFont="1">
      <alignment horizontal="center" shrinkToFit="0" wrapText="1"/>
    </xf>
    <xf borderId="0" fillId="0" fontId="12" numFmtId="0" xfId="0" applyFont="1"/>
    <xf borderId="0" fillId="0" fontId="17" numFmtId="0" xfId="0" applyAlignment="1" applyFont="1">
      <alignment horizontal="center" shrinkToFit="0" wrapText="1"/>
    </xf>
    <xf borderId="0" fillId="0" fontId="12" numFmtId="0" xfId="0" applyAlignment="1" applyFont="1">
      <alignment horizontal="center" shrinkToFit="0" wrapText="1"/>
    </xf>
    <xf borderId="14" fillId="0" fontId="5" numFmtId="0" xfId="0" applyAlignment="1" applyBorder="1" applyFont="1">
      <alignment horizontal="center" shrinkToFit="0" vertical="center" wrapText="1"/>
    </xf>
    <xf borderId="4" fillId="0" fontId="12" numFmtId="0" xfId="0" applyBorder="1" applyFont="1"/>
    <xf borderId="4" fillId="0" fontId="12" numFmtId="0" xfId="0" applyAlignment="1" applyBorder="1" applyFont="1">
      <alignment horizontal="center" shrinkToFit="0" wrapText="1"/>
    </xf>
    <xf borderId="6" fillId="0" fontId="17" numFmtId="0" xfId="0" applyAlignment="1" applyBorder="1" applyFont="1">
      <alignment horizontal="center" shrinkToFit="0" wrapText="1"/>
    </xf>
    <xf borderId="2" fillId="0" fontId="17" numFmtId="0" xfId="0" applyAlignment="1" applyBorder="1" applyFont="1">
      <alignment shrinkToFit="0" wrapText="1"/>
    </xf>
    <xf borderId="6" fillId="0" fontId="12" numFmtId="0" xfId="0" applyAlignment="1" applyBorder="1" applyFont="1">
      <alignment horizontal="center" shrinkToFit="0" wrapText="1"/>
    </xf>
    <xf borderId="2" fillId="0" fontId="12" numFmtId="0" xfId="0" applyAlignment="1" applyBorder="1" applyFont="1">
      <alignment horizontal="center" readingOrder="0"/>
    </xf>
    <xf borderId="2" fillId="0" fontId="12" numFmtId="0" xfId="0" applyBorder="1" applyFont="1"/>
    <xf borderId="6" fillId="0" fontId="12" numFmtId="0" xfId="0" applyBorder="1" applyFont="1"/>
    <xf borderId="0" fillId="0" fontId="12" numFmtId="0" xfId="0" applyAlignment="1" applyFont="1">
      <alignment shrinkToFit="0" wrapText="1"/>
    </xf>
    <xf borderId="7" fillId="0" fontId="17" numFmtId="0" xfId="0" applyAlignment="1" applyBorder="1" applyFont="1">
      <alignment shrinkToFit="0" wrapText="1"/>
    </xf>
    <xf borderId="7" fillId="0" fontId="12" numFmtId="0" xfId="0" applyBorder="1" applyFont="1"/>
    <xf borderId="9" fillId="0" fontId="17" numFmtId="0" xfId="0" applyAlignment="1" applyBorder="1" applyFont="1">
      <alignment horizontal="center" shrinkToFit="0" wrapText="1"/>
    </xf>
    <xf borderId="10" fillId="0" fontId="18" numFmtId="0" xfId="0" applyAlignment="1" applyBorder="1" applyFont="1">
      <alignment horizontal="center" shrinkToFit="0" wrapText="1"/>
    </xf>
    <xf borderId="10" fillId="0" fontId="17" numFmtId="0" xfId="0" applyAlignment="1" applyBorder="1" applyFont="1">
      <alignment horizontal="center" shrinkToFit="0" wrapText="1"/>
    </xf>
    <xf borderId="11" fillId="0" fontId="17" numFmtId="0" xfId="0" applyAlignment="1" applyBorder="1" applyFont="1">
      <alignment horizontal="center" shrinkToFit="0" wrapText="1"/>
    </xf>
    <xf borderId="14" fillId="0" fontId="17" numFmtId="0" xfId="0" applyAlignment="1" applyBorder="1" applyFont="1">
      <alignment horizontal="center" shrinkToFit="0" wrapText="1"/>
    </xf>
    <xf borderId="9" fillId="0" fontId="12" numFmtId="0" xfId="0" applyAlignment="1" applyBorder="1" applyFont="1">
      <alignment horizontal="center" shrinkToFit="0" wrapText="1"/>
    </xf>
    <xf borderId="10" fillId="0" fontId="12" numFmtId="0" xfId="0" applyAlignment="1" applyBorder="1" applyFont="1">
      <alignment readingOrder="0"/>
    </xf>
    <xf borderId="10" fillId="0" fontId="12" numFmtId="164" xfId="0" applyAlignment="1" applyBorder="1" applyFont="1" applyNumberFormat="1">
      <alignment readingOrder="0"/>
    </xf>
    <xf borderId="10" fillId="0" fontId="12" numFmtId="0" xfId="0" applyBorder="1" applyFont="1"/>
    <xf borderId="10" fillId="0" fontId="12" numFmtId="0" xfId="0" applyAlignment="1" applyBorder="1" applyFont="1">
      <alignment horizontal="center" readingOrder="0" shrinkToFit="0" wrapText="1"/>
    </xf>
    <xf borderId="14" fillId="0" fontId="1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readingOrder="0"/>
    </xf>
    <xf borderId="5" fillId="0" fontId="12" numFmtId="0" xfId="0" applyBorder="1" applyFont="1"/>
    <xf borderId="15" fillId="0" fontId="12" numFmtId="0" xfId="0" applyAlignment="1" applyBorder="1" applyFont="1">
      <alignment shrinkToFit="0" wrapText="1"/>
    </xf>
    <xf borderId="16" fillId="2" fontId="12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center" shrinkToFit="0" wrapText="1"/>
    </xf>
    <xf borderId="18" fillId="0" fontId="12" numFmtId="0" xfId="0" applyAlignment="1" applyBorder="1" applyFont="1">
      <alignment horizontal="center" shrinkToFit="0" wrapText="1"/>
    </xf>
    <xf borderId="4" fillId="0" fontId="12" numFmtId="0" xfId="0" applyAlignment="1" applyBorder="1" applyFont="1">
      <alignment shrinkToFit="0" wrapText="1"/>
    </xf>
    <xf borderId="2" fillId="0" fontId="12" numFmtId="0" xfId="0" applyAlignment="1" applyBorder="1" applyFont="1">
      <alignment horizontal="center" shrinkToFit="0" wrapText="1"/>
    </xf>
    <xf borderId="18" fillId="0" fontId="12" numFmtId="0" xfId="0" applyBorder="1" applyFont="1"/>
    <xf borderId="8" fillId="0" fontId="12" numFmtId="0" xfId="0" applyBorder="1" applyFont="1"/>
    <xf borderId="4" fillId="0" fontId="12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center" shrinkToFit="0" vertical="bottom" wrapText="1"/>
    </xf>
    <xf borderId="4" fillId="0" fontId="12" numFmtId="0" xfId="0" applyAlignment="1" applyBorder="1" applyFont="1">
      <alignment horizontal="center" shrinkToFit="0" vertical="bottom" wrapText="1"/>
    </xf>
    <xf borderId="6" fillId="0" fontId="17" numFmtId="0" xfId="0" applyAlignment="1" applyBorder="1" applyFont="1">
      <alignment horizontal="center" shrinkToFit="0" vertical="bottom" wrapText="1"/>
    </xf>
    <xf borderId="2" fillId="0" fontId="17" numFmtId="0" xfId="0" applyAlignment="1" applyBorder="1" applyFont="1">
      <alignment shrinkToFit="0" vertical="bottom" wrapText="1"/>
    </xf>
    <xf borderId="6" fillId="0" fontId="12" numFmtId="0" xfId="0" applyAlignment="1" applyBorder="1" applyFont="1">
      <alignment horizontal="center" shrinkToFit="0" vertical="bottom" wrapText="1"/>
    </xf>
    <xf borderId="2" fillId="0" fontId="12" numFmtId="0" xfId="0" applyAlignment="1" applyBorder="1" applyFont="1">
      <alignment horizontal="center" readingOrder="0" vertical="bottom"/>
    </xf>
    <xf borderId="2" fillId="0" fontId="12" numFmtId="0" xfId="0" applyAlignment="1" applyBorder="1" applyFont="1">
      <alignment vertical="bottom"/>
    </xf>
    <xf borderId="6" fillId="0" fontId="12" numFmtId="0" xfId="0" applyAlignment="1" applyBorder="1" applyFont="1">
      <alignment vertical="bottom"/>
    </xf>
    <xf borderId="0" fillId="0" fontId="12" numFmtId="0" xfId="0" applyAlignment="1" applyFont="1">
      <alignment shrinkToFit="0" vertical="bottom" wrapText="1"/>
    </xf>
    <xf borderId="7" fillId="0" fontId="17" numFmtId="0" xfId="0" applyAlignment="1" applyBorder="1" applyFont="1">
      <alignment shrinkToFit="0" vertical="bottom" wrapText="1"/>
    </xf>
    <xf borderId="7" fillId="0" fontId="12" numFmtId="0" xfId="0" applyAlignment="1" applyBorder="1" applyFont="1">
      <alignment vertical="bottom"/>
    </xf>
    <xf borderId="9" fillId="0" fontId="17" numFmtId="0" xfId="0" applyAlignment="1" applyBorder="1" applyFont="1">
      <alignment horizontal="center" shrinkToFit="0" vertical="bottom" wrapText="1"/>
    </xf>
    <xf borderId="10" fillId="0" fontId="19" numFmtId="0" xfId="0" applyAlignment="1" applyBorder="1" applyFont="1">
      <alignment horizontal="center" shrinkToFit="0" vertical="bottom" wrapText="1"/>
    </xf>
    <xf borderId="10" fillId="0" fontId="17" numFmtId="0" xfId="0" applyAlignment="1" applyBorder="1" applyFont="1">
      <alignment horizontal="center" shrinkToFit="0" vertical="bottom" wrapText="1"/>
    </xf>
    <xf borderId="11" fillId="0" fontId="17" numFmtId="0" xfId="0" applyAlignment="1" applyBorder="1" applyFont="1">
      <alignment horizontal="center" shrinkToFit="0" vertical="bottom" wrapText="1"/>
    </xf>
    <xf borderId="14" fillId="0" fontId="17" numFmtId="0" xfId="0" applyAlignment="1" applyBorder="1" applyFont="1">
      <alignment horizontal="center" shrinkToFit="0" vertical="bottom" wrapText="1"/>
    </xf>
    <xf borderId="9" fillId="0" fontId="12" numFmtId="0" xfId="0" applyAlignment="1" applyBorder="1" applyFont="1">
      <alignment horizontal="center" shrinkToFit="0" vertical="bottom" wrapText="1"/>
    </xf>
    <xf borderId="10" fillId="0" fontId="12" numFmtId="0" xfId="0" applyAlignment="1" applyBorder="1" applyFont="1">
      <alignment readingOrder="0" vertical="bottom"/>
    </xf>
    <xf borderId="10" fillId="0" fontId="12" numFmtId="164" xfId="0" applyAlignment="1" applyBorder="1" applyFont="1" applyNumberFormat="1">
      <alignment readingOrder="0" vertical="bottom"/>
    </xf>
    <xf borderId="10" fillId="0" fontId="12" numFmtId="0" xfId="0" applyAlignment="1" applyBorder="1" applyFont="1">
      <alignment vertical="bottom"/>
    </xf>
    <xf borderId="10" fillId="0" fontId="12" numFmtId="0" xfId="0" applyAlignment="1" applyBorder="1" applyFont="1">
      <alignment horizontal="center" readingOrder="0" shrinkToFit="0" vertical="bottom" wrapText="1"/>
    </xf>
    <xf borderId="14" fillId="0" fontId="12" numFmtId="0" xfId="0" applyAlignment="1" applyBorder="1" applyFont="1">
      <alignment horizontal="center" readingOrder="0" shrinkToFit="0" vertical="bottom" wrapText="1"/>
    </xf>
    <xf borderId="5" fillId="0" fontId="12" numFmtId="0" xfId="0" applyAlignment="1" applyBorder="1" applyFont="1">
      <alignment vertical="bottom"/>
    </xf>
    <xf borderId="15" fillId="0" fontId="12" numFmtId="0" xfId="0" applyAlignment="1" applyBorder="1" applyFont="1">
      <alignment shrinkToFit="0" vertical="bottom" wrapText="1"/>
    </xf>
    <xf borderId="1" fillId="0" fontId="12" numFmtId="0" xfId="0" applyAlignment="1" applyBorder="1" applyFont="1">
      <alignment horizontal="center" shrinkToFit="0" vertical="bottom" wrapText="1"/>
    </xf>
    <xf borderId="18" fillId="0" fontId="12" numFmtId="0" xfId="0" applyAlignment="1" applyBorder="1" applyFont="1">
      <alignment horizontal="center" shrinkToFit="0" vertical="bottom" wrapText="1"/>
    </xf>
    <xf borderId="4" fillId="0" fontId="12" numFmtId="0" xfId="0" applyAlignment="1" applyBorder="1" applyFont="1">
      <alignment shrinkToFit="0" vertical="bottom" wrapText="1"/>
    </xf>
    <xf borderId="2" fillId="0" fontId="12" numFmtId="0" xfId="0" applyAlignment="1" applyBorder="1" applyFont="1">
      <alignment horizontal="center" shrinkToFit="0" vertical="bottom" wrapText="1"/>
    </xf>
    <xf borderId="18" fillId="0" fontId="12" numFmtId="0" xfId="0" applyAlignment="1" applyBorder="1" applyFont="1">
      <alignment vertical="bottom"/>
    </xf>
    <xf borderId="8" fillId="0" fontId="12" numFmtId="0" xfId="0" applyAlignment="1" applyBorder="1" applyFont="1">
      <alignment vertical="bottom"/>
    </xf>
    <xf borderId="14" fillId="0" fontId="12" numFmtId="0" xfId="0" applyAlignment="1" applyBorder="1" applyFont="1">
      <alignment horizontal="center" shrinkToFit="0" vertical="bottom" wrapText="1"/>
    </xf>
    <xf borderId="10" fillId="0" fontId="12" numFmtId="0" xfId="0" applyAlignment="1" applyBorder="1" applyFont="1">
      <alignment horizontal="center" shrinkToFit="0" vertical="bottom" wrapText="1"/>
    </xf>
    <xf borderId="9" fillId="0" fontId="12" numFmtId="0" xfId="0" applyAlignment="1" applyBorder="1" applyFont="1">
      <alignment horizontal="center" readingOrder="0" shrinkToFit="0" vertical="bottom" wrapText="1"/>
    </xf>
    <xf borderId="10" fillId="0" fontId="12" numFmtId="0" xfId="0" applyAlignment="1" applyBorder="1" applyFont="1">
      <alignment horizontal="right" readingOrder="0" vertical="bottom"/>
    </xf>
    <xf borderId="10" fillId="0" fontId="12" numFmtId="0" xfId="0" applyAlignment="1" applyBorder="1" applyFont="1">
      <alignment horizontal="right" readingOrder="0" textRotation="0" vertical="bottom"/>
    </xf>
    <xf borderId="0" fillId="0" fontId="5" numFmtId="164" xfId="0" applyAlignment="1" applyFont="1" applyNumberFormat="1">
      <alignment horizontal="center" readingOrder="0" shrinkToFit="0" vertical="center" wrapText="1"/>
    </xf>
    <xf borderId="1" fillId="0" fontId="17" numFmtId="0" xfId="0" applyAlignment="1" applyBorder="1" applyFont="1">
      <alignment horizontal="center" shrinkToFit="0" wrapText="1"/>
    </xf>
    <xf borderId="0" fillId="0" fontId="9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12" numFmtId="0" xfId="0" applyAlignment="1" applyFont="1">
      <alignment readingOrder="0" vertical="bottom"/>
    </xf>
    <xf borderId="0" fillId="0" fontId="20" numFmtId="0" xfId="0" applyAlignment="1" applyFont="1">
      <alignment horizontal="center" readingOrder="0"/>
    </xf>
    <xf borderId="1" fillId="0" fontId="21" numFmtId="0" xfId="0" applyAlignment="1" applyBorder="1" applyFont="1">
      <alignment horizontal="center" shrinkToFit="0" wrapText="1"/>
    </xf>
    <xf borderId="4" fillId="0" fontId="14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4" fillId="0" fontId="14" numFmtId="0" xfId="0" applyAlignment="1" applyBorder="1" applyFont="1">
      <alignment horizontal="center" readingOrder="0" shrinkToFit="0" vertical="center" wrapText="1"/>
    </xf>
    <xf borderId="4" fillId="0" fontId="16" numFmtId="0" xfId="0" applyAlignment="1" applyBorder="1" applyFont="1">
      <alignment horizontal="center" readingOrder="0" shrinkToFit="0" vertical="center" wrapText="1"/>
    </xf>
    <xf borderId="6" fillId="0" fontId="15" numFmtId="0" xfId="0" applyAlignment="1" applyBorder="1" applyFont="1">
      <alignment horizontal="center" readingOrder="0" shrinkToFit="0" vertical="center" wrapText="1"/>
    </xf>
    <xf borderId="2" fillId="0" fontId="15" numFmtId="0" xfId="0" applyAlignment="1" applyBorder="1" applyFont="1">
      <alignment horizontal="left" readingOrder="0" shrinkToFit="0" vertical="center" wrapText="1"/>
    </xf>
    <xf borderId="6" fillId="0" fontId="22" numFmtId="0" xfId="0" applyAlignment="1" applyBorder="1" applyFont="1">
      <alignment horizontal="center" readingOrder="0" shrinkToFit="0" vertical="center" wrapText="1"/>
    </xf>
    <xf borderId="2" fillId="0" fontId="22" numFmtId="0" xfId="0" applyAlignment="1" applyBorder="1" applyFont="1">
      <alignment horizontal="center" readingOrder="0" shrinkToFit="0" vertical="center" wrapText="1"/>
    </xf>
    <xf borderId="2" fillId="0" fontId="22" numFmtId="0" xfId="0" applyAlignment="1" applyBorder="1" applyFont="1">
      <alignment horizontal="center" shrinkToFit="0" vertical="center" wrapText="1"/>
    </xf>
    <xf borderId="6" fillId="0" fontId="22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left" readingOrder="0" shrinkToFit="0" vertical="center" wrapText="1"/>
    </xf>
    <xf borderId="0" fillId="0" fontId="22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horizontal="center" shrinkToFit="0" vertical="center" wrapText="1"/>
    </xf>
    <xf borderId="7" fillId="0" fontId="15" numFmtId="0" xfId="0" applyAlignment="1" applyBorder="1" applyFont="1">
      <alignment horizontal="left" readingOrder="0" shrinkToFit="0" vertical="center" wrapText="1"/>
    </xf>
    <xf borderId="7" fillId="0" fontId="22" numFmtId="0" xfId="0" applyAlignment="1" applyBorder="1" applyFont="1">
      <alignment horizontal="center" readingOrder="0" shrinkToFit="0" vertical="center" wrapText="1"/>
    </xf>
    <xf borderId="7" fillId="0" fontId="22" numFmtId="0" xfId="0" applyAlignment="1" applyBorder="1" applyFont="1">
      <alignment horizontal="center" shrinkToFit="0" vertical="center" wrapText="1"/>
    </xf>
    <xf borderId="4" fillId="0" fontId="22" numFmtId="0" xfId="0" applyAlignment="1" applyBorder="1" applyFont="1">
      <alignment horizontal="center" shrinkToFit="0" vertical="center" wrapText="1"/>
    </xf>
    <xf borderId="9" fillId="0" fontId="15" numFmtId="0" xfId="0" applyAlignment="1" applyBorder="1" applyFont="1">
      <alignment horizontal="center" readingOrder="0" shrinkToFit="0" vertical="center" wrapText="1"/>
    </xf>
    <xf borderId="10" fillId="0" fontId="24" numFmtId="0" xfId="0" applyAlignment="1" applyBorder="1" applyFont="1">
      <alignment horizontal="center" readingOrder="0" shrinkToFit="0" vertical="center" wrapText="1"/>
    </xf>
    <xf borderId="10" fillId="0" fontId="15" numFmtId="0" xfId="0" applyAlignment="1" applyBorder="1" applyFont="1">
      <alignment horizontal="center" readingOrder="0" shrinkToFit="0" vertical="center" wrapText="1"/>
    </xf>
    <xf borderId="11" fillId="0" fontId="15" numFmtId="0" xfId="0" applyAlignment="1" applyBorder="1" applyFont="1">
      <alignment horizontal="center" readingOrder="0" shrinkToFit="0" vertical="center" wrapText="1"/>
    </xf>
    <xf borderId="14" fillId="0" fontId="15" numFmtId="0" xfId="0" applyAlignment="1" applyBorder="1" applyFont="1">
      <alignment horizontal="center" readingOrder="0" shrinkToFit="0" vertical="center" wrapText="1"/>
    </xf>
    <xf borderId="9" fillId="0" fontId="25" numFmtId="0" xfId="0" applyAlignment="1" applyBorder="1" applyFont="1">
      <alignment horizontal="center" readingOrder="0" shrinkToFit="0" vertical="center" wrapText="1"/>
    </xf>
    <xf borderId="10" fillId="0" fontId="25" numFmtId="0" xfId="0" applyAlignment="1" applyBorder="1" applyFont="1">
      <alignment horizontal="center" readingOrder="0" shrinkToFit="0" vertical="center" wrapText="1"/>
    </xf>
    <xf borderId="10" fillId="0" fontId="25" numFmtId="164" xfId="0" applyAlignment="1" applyBorder="1" applyFont="1" applyNumberFormat="1">
      <alignment horizontal="center" readingOrder="0" shrinkToFit="0" vertical="center" wrapText="1"/>
    </xf>
    <xf borderId="10" fillId="0" fontId="25" numFmtId="0" xfId="0" applyAlignment="1" applyBorder="1" applyFont="1">
      <alignment horizontal="center" shrinkToFit="0" vertical="center" wrapText="1"/>
    </xf>
    <xf borderId="10" fillId="0" fontId="25" numFmtId="0" xfId="0" applyAlignment="1" applyBorder="1" applyFont="1">
      <alignment horizontal="right" readingOrder="0" shrinkToFit="0" vertical="center" wrapText="1"/>
    </xf>
    <xf borderId="10" fillId="0" fontId="25" numFmtId="0" xfId="0" applyAlignment="1" applyBorder="1" applyFont="1">
      <alignment horizontal="right" shrinkToFit="0" vertical="center" wrapText="1"/>
    </xf>
    <xf borderId="14" fillId="0" fontId="25" numFmtId="0" xfId="0" applyAlignment="1" applyBorder="1" applyFont="1">
      <alignment horizontal="right" shrinkToFit="0" vertical="center" wrapText="1"/>
    </xf>
    <xf borderId="4" fillId="0" fontId="25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horizontal="center" shrinkToFit="0" vertical="center" wrapText="1"/>
    </xf>
    <xf borderId="5" fillId="0" fontId="25" numFmtId="0" xfId="0" applyAlignment="1" applyBorder="1" applyFont="1">
      <alignment horizontal="center" shrinkToFit="0" vertical="center" wrapText="1"/>
    </xf>
    <xf borderId="1" fillId="0" fontId="26" numFmtId="0" xfId="0" applyAlignment="1" applyBorder="1" applyFont="1">
      <alignment horizontal="center" readingOrder="0" shrinkToFit="0" vertical="center" wrapText="1"/>
    </xf>
    <xf borderId="6" fillId="0" fontId="26" numFmtId="0" xfId="0" applyAlignment="1" applyBorder="1" applyFont="1">
      <alignment horizontal="right" shrinkToFit="0" vertical="center" wrapText="1"/>
    </xf>
    <xf borderId="18" fillId="0" fontId="26" numFmtId="0" xfId="0" applyAlignment="1" applyBorder="1" applyFont="1">
      <alignment horizontal="center" readingOrder="0" shrinkToFit="0" vertical="center" wrapText="1"/>
    </xf>
    <xf borderId="2" fillId="0" fontId="27" numFmtId="0" xfId="0" applyAlignment="1" applyBorder="1" applyFont="1">
      <alignment horizontal="center" readingOrder="0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1" fillId="0" fontId="28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2" fillId="0" fontId="20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7" fillId="0" fontId="20" numFmtId="0" xfId="0" applyAlignment="1" applyBorder="1" applyFont="1">
      <alignment horizontal="center" readingOrder="0" shrinkToFit="0" vertical="center" wrapText="1"/>
    </xf>
    <xf borderId="9" fillId="0" fontId="29" numFmtId="0" xfId="0" applyAlignment="1" applyBorder="1" applyFont="1">
      <alignment horizontal="center" readingOrder="0" shrinkToFit="0" vertical="center" wrapText="1"/>
    </xf>
    <xf borderId="10" fillId="0" fontId="29" numFmtId="0" xfId="0" applyAlignment="1" applyBorder="1" applyFont="1">
      <alignment horizontal="center" readingOrder="0" shrinkToFit="0" vertical="center" wrapText="1"/>
    </xf>
    <xf borderId="10" fillId="0" fontId="29" numFmtId="164" xfId="0" applyAlignment="1" applyBorder="1" applyFont="1" applyNumberFormat="1">
      <alignment horizontal="center" readingOrder="0" shrinkToFit="0" vertical="center" wrapText="1"/>
    </xf>
    <xf borderId="10" fillId="0" fontId="29" numFmtId="0" xfId="0" applyAlignment="1" applyBorder="1" applyFont="1">
      <alignment horizontal="center" shrinkToFit="0" vertical="center" wrapText="1"/>
    </xf>
    <xf borderId="14" fillId="0" fontId="29" numFmtId="0" xfId="0" applyAlignment="1" applyBorder="1" applyFont="1">
      <alignment horizontal="center" shrinkToFit="0" vertical="center" wrapText="1"/>
    </xf>
    <xf borderId="19" fillId="0" fontId="5" numFmtId="164" xfId="0" applyAlignment="1" applyBorder="1" applyFont="1" applyNumberFormat="1">
      <alignment horizontal="center" readingOrder="0" shrinkToFit="0" vertical="center" wrapText="1"/>
    </xf>
    <xf borderId="19" fillId="0" fontId="5" numFmtId="0" xfId="0" applyAlignment="1" applyBorder="1" applyFont="1">
      <alignment horizontal="center" readingOrder="0" shrinkToFit="0" vertical="center" wrapText="1"/>
    </xf>
    <xf borderId="20" fillId="0" fontId="5" numFmtId="0" xfId="0" applyAlignment="1" applyBorder="1" applyFont="1">
      <alignment horizontal="center" readingOrder="0" shrinkToFit="0" vertical="center" wrapText="1"/>
    </xf>
    <xf borderId="11" fillId="0" fontId="5" numFmtId="0" xfId="0" applyAlignment="1" applyBorder="1" applyFont="1">
      <alignment horizontal="center" readingOrder="0" shrinkToFit="0" vertical="center" wrapText="1"/>
    </xf>
    <xf borderId="2" fillId="0" fontId="17" numFmtId="0" xfId="0" applyAlignment="1" applyBorder="1" applyFont="1">
      <alignment horizontal="center" shrinkToFit="0" wrapText="1"/>
    </xf>
    <xf borderId="3" fillId="0" fontId="17" numFmtId="0" xfId="0" applyAlignment="1" applyBorder="1" applyFont="1">
      <alignment horizontal="center" shrinkToFit="0" wrapText="1"/>
    </xf>
    <xf borderId="10" fillId="0" fontId="6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14" fillId="0" fontId="2" numFmtId="0" xfId="0" applyAlignment="1" applyBorder="1" applyFont="1">
      <alignment horizontal="center" readingOrder="0" shrinkToFit="0" vertical="center" wrapText="1"/>
    </xf>
    <xf borderId="1" fillId="0" fontId="30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right" shrinkToFit="0" vertical="center" wrapText="1"/>
    </xf>
    <xf borderId="18" fillId="0" fontId="6" numFmtId="0" xfId="0" applyAlignment="1" applyBorder="1" applyFont="1">
      <alignment horizontal="center" readingOrder="0" shrinkToFit="0" vertical="center" wrapText="1"/>
    </xf>
    <xf borderId="2" fillId="0" fontId="31" numFmtId="0" xfId="0" applyAlignment="1" applyBorder="1" applyFont="1">
      <alignment horizontal="center" readingOrder="0" shrinkToFit="0" vertical="center" wrapText="1"/>
    </xf>
    <xf borderId="1" fillId="0" fontId="32" numFmtId="0" xfId="0" applyAlignment="1" applyBorder="1" applyFont="1">
      <alignment horizontal="center" shrinkToFit="0" wrapText="1"/>
    </xf>
    <xf borderId="4" fillId="0" fontId="33" numFmtId="0" xfId="0" applyAlignment="1" applyBorder="1" applyFont="1">
      <alignment horizontal="center" shrinkToFit="0" vertical="center" wrapText="1"/>
    </xf>
    <xf borderId="0" fillId="0" fontId="33" numFmtId="0" xfId="0" applyAlignment="1" applyFont="1">
      <alignment horizontal="center" readingOrder="0" shrinkToFit="0" vertical="center" wrapText="1"/>
    </xf>
    <xf borderId="0" fillId="0" fontId="33" numFmtId="0" xfId="0" applyFont="1"/>
    <xf borderId="0" fillId="0" fontId="33" numFmtId="0" xfId="0" applyAlignment="1" applyFont="1">
      <alignment horizontal="center" shrinkToFit="0" vertical="center" wrapText="1"/>
    </xf>
    <xf borderId="4" fillId="0" fontId="33" numFmtId="0" xfId="0" applyAlignment="1" applyBorder="1" applyFont="1">
      <alignment horizontal="center" readingOrder="0" shrinkToFit="0" vertical="center" wrapText="1"/>
    </xf>
    <xf borderId="6" fillId="0" fontId="34" numFmtId="0" xfId="0" applyAlignment="1" applyBorder="1" applyFont="1">
      <alignment horizontal="center" readingOrder="0" shrinkToFit="0" vertical="center" wrapText="1"/>
    </xf>
    <xf borderId="2" fillId="0" fontId="34" numFmtId="0" xfId="0" applyAlignment="1" applyBorder="1" applyFont="1">
      <alignment horizontal="left" readingOrder="0" shrinkToFit="0" vertical="center" wrapText="1"/>
    </xf>
    <xf borderId="6" fillId="0" fontId="33" numFmtId="0" xfId="0" applyAlignment="1" applyBorder="1" applyFont="1">
      <alignment horizontal="center" readingOrder="0" shrinkToFit="0" vertical="center" wrapText="1"/>
    </xf>
    <xf borderId="2" fillId="0" fontId="33" numFmtId="0" xfId="0" applyAlignment="1" applyBorder="1" applyFont="1">
      <alignment horizontal="center" readingOrder="0" shrinkToFit="0" vertical="center" wrapText="1"/>
    </xf>
    <xf borderId="2" fillId="0" fontId="33" numFmtId="0" xfId="0" applyAlignment="1" applyBorder="1" applyFont="1">
      <alignment horizontal="center" shrinkToFit="0" vertical="center" wrapText="1"/>
    </xf>
    <xf borderId="6" fillId="0" fontId="33" numFmtId="0" xfId="0" applyAlignment="1" applyBorder="1" applyFont="1">
      <alignment horizontal="center" shrinkToFit="0" vertical="center" wrapText="1"/>
    </xf>
    <xf borderId="0" fillId="0" fontId="33" numFmtId="0" xfId="0" applyAlignment="1" applyFont="1">
      <alignment horizontal="left" readingOrder="0" shrinkToFit="0" vertical="center" wrapText="1"/>
    </xf>
    <xf borderId="7" fillId="0" fontId="34" numFmtId="0" xfId="0" applyAlignment="1" applyBorder="1" applyFont="1">
      <alignment horizontal="left" readingOrder="0" shrinkToFit="0" vertical="center" wrapText="1"/>
    </xf>
    <xf borderId="7" fillId="0" fontId="33" numFmtId="0" xfId="0" applyAlignment="1" applyBorder="1" applyFont="1">
      <alignment horizontal="center" readingOrder="0" shrinkToFit="0" vertical="center" wrapText="1"/>
    </xf>
    <xf borderId="7" fillId="0" fontId="33" numFmtId="0" xfId="0" applyAlignment="1" applyBorder="1" applyFont="1">
      <alignment horizontal="center" shrinkToFit="0" vertical="center" wrapText="1"/>
    </xf>
    <xf borderId="9" fillId="0" fontId="34" numFmtId="0" xfId="0" applyAlignment="1" applyBorder="1" applyFont="1">
      <alignment horizontal="center" readingOrder="0" shrinkToFit="0" vertical="center" wrapText="1"/>
    </xf>
    <xf borderId="10" fillId="0" fontId="35" numFmtId="0" xfId="0" applyAlignment="1" applyBorder="1" applyFont="1">
      <alignment horizontal="center" readingOrder="0" shrinkToFit="0" vertical="center" wrapText="1"/>
    </xf>
    <xf borderId="10" fillId="0" fontId="34" numFmtId="0" xfId="0" applyAlignment="1" applyBorder="1" applyFont="1">
      <alignment horizontal="center" readingOrder="0" shrinkToFit="0" vertical="center" wrapText="1"/>
    </xf>
    <xf borderId="11" fillId="0" fontId="34" numFmtId="0" xfId="0" applyAlignment="1" applyBorder="1" applyFont="1">
      <alignment horizontal="center" readingOrder="0" shrinkToFit="0" vertical="center" wrapText="1"/>
    </xf>
    <xf borderId="14" fillId="0" fontId="34" numFmtId="0" xfId="0" applyAlignment="1" applyBorder="1" applyFont="1">
      <alignment horizontal="center" readingOrder="0" shrinkToFit="0" vertical="center" wrapText="1"/>
    </xf>
    <xf borderId="9" fillId="0" fontId="33" numFmtId="0" xfId="0" applyAlignment="1" applyBorder="1" applyFont="1">
      <alignment horizontal="center" readingOrder="0" shrinkToFit="0" vertical="center" wrapText="1"/>
    </xf>
    <xf borderId="10" fillId="0" fontId="33" numFmtId="0" xfId="0" applyAlignment="1" applyBorder="1" applyFont="1">
      <alignment horizontal="center" readingOrder="0" shrinkToFit="0" vertical="center" wrapText="1"/>
    </xf>
    <xf borderId="10" fillId="0" fontId="33" numFmtId="0" xfId="0" applyAlignment="1" applyBorder="1" applyFont="1">
      <alignment horizontal="center" shrinkToFit="0" vertical="center" wrapText="1"/>
    </xf>
    <xf borderId="10" fillId="0" fontId="33" numFmtId="0" xfId="0" applyAlignment="1" applyBorder="1" applyFont="1">
      <alignment horizontal="right" readingOrder="0" shrinkToFit="0" vertical="center" wrapText="1"/>
    </xf>
    <xf borderId="14" fillId="0" fontId="33" numFmtId="0" xfId="0" applyAlignment="1" applyBorder="1" applyFont="1">
      <alignment horizontal="right" readingOrder="0" shrinkToFit="0" vertical="center" wrapText="1"/>
    </xf>
    <xf borderId="10" fillId="0" fontId="33" numFmtId="0" xfId="0" applyAlignment="1" applyBorder="1" applyFont="1">
      <alignment horizontal="right" shrinkToFit="0" vertical="center" wrapText="1"/>
    </xf>
    <xf borderId="5" fillId="0" fontId="33" numFmtId="0" xfId="0" applyAlignment="1" applyBorder="1" applyFont="1">
      <alignment horizontal="center" shrinkToFit="0" vertical="center" wrapText="1"/>
    </xf>
    <xf borderId="15" fillId="0" fontId="33" numFmtId="0" xfId="0" applyAlignment="1" applyBorder="1" applyFont="1">
      <alignment horizontal="left" readingOrder="0" shrinkToFit="0" vertical="center" wrapText="1"/>
    </xf>
    <xf borderId="16" fillId="2" fontId="36" numFmtId="0" xfId="0" applyAlignment="1" applyBorder="1" applyFont="1">
      <alignment vertical="bottom"/>
    </xf>
    <xf borderId="1" fillId="0" fontId="33" numFmtId="0" xfId="0" applyAlignment="1" applyBorder="1" applyFont="1">
      <alignment horizontal="center" readingOrder="0" shrinkToFit="0" vertical="center" wrapText="1"/>
    </xf>
    <xf borderId="6" fillId="0" fontId="34" numFmtId="0" xfId="0" applyAlignment="1" applyBorder="1" applyFont="1">
      <alignment horizontal="right" shrinkToFit="0" vertical="center" wrapText="1"/>
    </xf>
    <xf borderId="18" fillId="0" fontId="33" numFmtId="0" xfId="0" applyAlignment="1" applyBorder="1" applyFont="1">
      <alignment horizontal="center" readingOrder="0" shrinkToFit="0" vertical="center" wrapText="1"/>
    </xf>
    <xf borderId="4" fillId="0" fontId="33" numFmtId="0" xfId="0" applyAlignment="1" applyBorder="1" applyFont="1">
      <alignment horizontal="left" readingOrder="0" shrinkToFit="0" vertical="center" wrapText="1"/>
    </xf>
    <xf borderId="5" fillId="0" fontId="33" numFmtId="0" xfId="0" applyAlignment="1" applyBorder="1" applyFont="1">
      <alignment horizontal="left" readingOrder="0" shrinkToFit="0" vertical="center" wrapText="1"/>
    </xf>
    <xf borderId="18" fillId="0" fontId="33" numFmtId="0" xfId="0" applyAlignment="1" applyBorder="1" applyFont="1">
      <alignment horizontal="center" shrinkToFit="0" vertical="center" wrapText="1"/>
    </xf>
    <xf borderId="8" fillId="0" fontId="33" numFmtId="0" xfId="0" applyAlignment="1" applyBorder="1" applyFont="1">
      <alignment horizontal="center" shrinkToFit="0" vertical="center" wrapText="1"/>
    </xf>
    <xf borderId="0" fillId="0" fontId="5" numFmtId="0" xfId="0" applyFont="1"/>
    <xf borderId="10" fillId="0" fontId="20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g.f.no/" TargetMode="External"/><Relationship Id="rId42" Type="http://schemas.openxmlformats.org/officeDocument/2006/relationships/hyperlink" Target="http://g.f.no/" TargetMode="External"/><Relationship Id="rId41" Type="http://schemas.openxmlformats.org/officeDocument/2006/relationships/hyperlink" Target="http://g.f.no/" TargetMode="External"/><Relationship Id="rId44" Type="http://schemas.openxmlformats.org/officeDocument/2006/relationships/hyperlink" Target="http://g.f.no/" TargetMode="External"/><Relationship Id="rId43" Type="http://schemas.openxmlformats.org/officeDocument/2006/relationships/hyperlink" Target="http://g.f.no/" TargetMode="External"/><Relationship Id="rId46" Type="http://schemas.openxmlformats.org/officeDocument/2006/relationships/hyperlink" Target="http://g.f.no/" TargetMode="External"/><Relationship Id="rId45" Type="http://schemas.openxmlformats.org/officeDocument/2006/relationships/hyperlink" Target="http://g.f.no/" TargetMode="External"/><Relationship Id="rId107" Type="http://schemas.openxmlformats.org/officeDocument/2006/relationships/hyperlink" Target="http://g.f.no/" TargetMode="External"/><Relationship Id="rId106" Type="http://schemas.openxmlformats.org/officeDocument/2006/relationships/hyperlink" Target="http://g.f.no/" TargetMode="External"/><Relationship Id="rId105" Type="http://schemas.openxmlformats.org/officeDocument/2006/relationships/hyperlink" Target="http://g.f.no/" TargetMode="External"/><Relationship Id="rId104" Type="http://schemas.openxmlformats.org/officeDocument/2006/relationships/hyperlink" Target="http://g.f.no/" TargetMode="External"/><Relationship Id="rId109" Type="http://schemas.openxmlformats.org/officeDocument/2006/relationships/hyperlink" Target="http://g.f.no/" TargetMode="External"/><Relationship Id="rId108" Type="http://schemas.openxmlformats.org/officeDocument/2006/relationships/hyperlink" Target="http://g.f.no/" TargetMode="External"/><Relationship Id="rId48" Type="http://schemas.openxmlformats.org/officeDocument/2006/relationships/hyperlink" Target="http://g.f.no/" TargetMode="External"/><Relationship Id="rId47" Type="http://schemas.openxmlformats.org/officeDocument/2006/relationships/hyperlink" Target="http://g.f.no/" TargetMode="External"/><Relationship Id="rId49" Type="http://schemas.openxmlformats.org/officeDocument/2006/relationships/hyperlink" Target="http://g.f.no/" TargetMode="External"/><Relationship Id="rId103" Type="http://schemas.openxmlformats.org/officeDocument/2006/relationships/hyperlink" Target="http://g.f.no/" TargetMode="External"/><Relationship Id="rId102" Type="http://schemas.openxmlformats.org/officeDocument/2006/relationships/hyperlink" Target="http://g.f.no/" TargetMode="External"/><Relationship Id="rId101" Type="http://schemas.openxmlformats.org/officeDocument/2006/relationships/hyperlink" Target="http://g.f.no/" TargetMode="External"/><Relationship Id="rId100" Type="http://schemas.openxmlformats.org/officeDocument/2006/relationships/hyperlink" Target="http://g.f.no/" TargetMode="External"/><Relationship Id="rId31" Type="http://schemas.openxmlformats.org/officeDocument/2006/relationships/hyperlink" Target="http://g.f.no/" TargetMode="External"/><Relationship Id="rId30" Type="http://schemas.openxmlformats.org/officeDocument/2006/relationships/hyperlink" Target="http://g.f.no/" TargetMode="External"/><Relationship Id="rId33" Type="http://schemas.openxmlformats.org/officeDocument/2006/relationships/hyperlink" Target="http://g.f.no/" TargetMode="External"/><Relationship Id="rId32" Type="http://schemas.openxmlformats.org/officeDocument/2006/relationships/hyperlink" Target="http://g.f.no/" TargetMode="External"/><Relationship Id="rId35" Type="http://schemas.openxmlformats.org/officeDocument/2006/relationships/hyperlink" Target="http://g.f.no/" TargetMode="External"/><Relationship Id="rId34" Type="http://schemas.openxmlformats.org/officeDocument/2006/relationships/hyperlink" Target="http://g.f.no/" TargetMode="External"/><Relationship Id="rId37" Type="http://schemas.openxmlformats.org/officeDocument/2006/relationships/hyperlink" Target="http://g.f.no/" TargetMode="External"/><Relationship Id="rId36" Type="http://schemas.openxmlformats.org/officeDocument/2006/relationships/hyperlink" Target="http://g.f.no/" TargetMode="External"/><Relationship Id="rId39" Type="http://schemas.openxmlformats.org/officeDocument/2006/relationships/hyperlink" Target="http://g.f.no/" TargetMode="External"/><Relationship Id="rId38" Type="http://schemas.openxmlformats.org/officeDocument/2006/relationships/hyperlink" Target="http://g.f.no/" TargetMode="External"/><Relationship Id="rId20" Type="http://schemas.openxmlformats.org/officeDocument/2006/relationships/hyperlink" Target="http://g.f.no/" TargetMode="External"/><Relationship Id="rId22" Type="http://schemas.openxmlformats.org/officeDocument/2006/relationships/hyperlink" Target="http://g.f.no/" TargetMode="External"/><Relationship Id="rId21" Type="http://schemas.openxmlformats.org/officeDocument/2006/relationships/hyperlink" Target="http://g.f.no/" TargetMode="External"/><Relationship Id="rId24" Type="http://schemas.openxmlformats.org/officeDocument/2006/relationships/hyperlink" Target="http://g.f.no/" TargetMode="External"/><Relationship Id="rId23" Type="http://schemas.openxmlformats.org/officeDocument/2006/relationships/hyperlink" Target="http://g.f.no/" TargetMode="External"/><Relationship Id="rId26" Type="http://schemas.openxmlformats.org/officeDocument/2006/relationships/hyperlink" Target="http://g.f.no/" TargetMode="External"/><Relationship Id="rId25" Type="http://schemas.openxmlformats.org/officeDocument/2006/relationships/hyperlink" Target="http://g.f.no/" TargetMode="External"/><Relationship Id="rId28" Type="http://schemas.openxmlformats.org/officeDocument/2006/relationships/hyperlink" Target="http://g.f.no/" TargetMode="External"/><Relationship Id="rId27" Type="http://schemas.openxmlformats.org/officeDocument/2006/relationships/hyperlink" Target="http://g.f.no/" TargetMode="External"/><Relationship Id="rId29" Type="http://schemas.openxmlformats.org/officeDocument/2006/relationships/hyperlink" Target="http://g.f.no/" TargetMode="External"/><Relationship Id="rId95" Type="http://schemas.openxmlformats.org/officeDocument/2006/relationships/hyperlink" Target="http://g.f.no/" TargetMode="External"/><Relationship Id="rId94" Type="http://schemas.openxmlformats.org/officeDocument/2006/relationships/hyperlink" Target="http://g.f.no/" TargetMode="External"/><Relationship Id="rId97" Type="http://schemas.openxmlformats.org/officeDocument/2006/relationships/hyperlink" Target="http://g.f.no/" TargetMode="External"/><Relationship Id="rId96" Type="http://schemas.openxmlformats.org/officeDocument/2006/relationships/hyperlink" Target="http://g.f.no/" TargetMode="External"/><Relationship Id="rId11" Type="http://schemas.openxmlformats.org/officeDocument/2006/relationships/hyperlink" Target="http://g.f.no/" TargetMode="External"/><Relationship Id="rId99" Type="http://schemas.openxmlformats.org/officeDocument/2006/relationships/hyperlink" Target="http://g.f.no/" TargetMode="External"/><Relationship Id="rId10" Type="http://schemas.openxmlformats.org/officeDocument/2006/relationships/hyperlink" Target="http://g.f.no/" TargetMode="External"/><Relationship Id="rId98" Type="http://schemas.openxmlformats.org/officeDocument/2006/relationships/hyperlink" Target="http://g.f.no/" TargetMode="External"/><Relationship Id="rId13" Type="http://schemas.openxmlformats.org/officeDocument/2006/relationships/hyperlink" Target="http://g.f.no/" TargetMode="External"/><Relationship Id="rId12" Type="http://schemas.openxmlformats.org/officeDocument/2006/relationships/hyperlink" Target="http://g.f.no/" TargetMode="External"/><Relationship Id="rId91" Type="http://schemas.openxmlformats.org/officeDocument/2006/relationships/hyperlink" Target="http://g.f.no/" TargetMode="External"/><Relationship Id="rId90" Type="http://schemas.openxmlformats.org/officeDocument/2006/relationships/hyperlink" Target="http://g.f.no/" TargetMode="External"/><Relationship Id="rId93" Type="http://schemas.openxmlformats.org/officeDocument/2006/relationships/hyperlink" Target="http://g.f.no/" TargetMode="External"/><Relationship Id="rId92" Type="http://schemas.openxmlformats.org/officeDocument/2006/relationships/hyperlink" Target="http://g.f.no/" TargetMode="External"/><Relationship Id="rId15" Type="http://schemas.openxmlformats.org/officeDocument/2006/relationships/hyperlink" Target="http://g.f.no/" TargetMode="External"/><Relationship Id="rId110" Type="http://schemas.openxmlformats.org/officeDocument/2006/relationships/hyperlink" Target="http://g.f.no/" TargetMode="External"/><Relationship Id="rId14" Type="http://schemas.openxmlformats.org/officeDocument/2006/relationships/hyperlink" Target="http://g.f.no/" TargetMode="External"/><Relationship Id="rId17" Type="http://schemas.openxmlformats.org/officeDocument/2006/relationships/hyperlink" Target="http://g.f.no/" TargetMode="External"/><Relationship Id="rId16" Type="http://schemas.openxmlformats.org/officeDocument/2006/relationships/hyperlink" Target="http://g.f.no/" TargetMode="External"/><Relationship Id="rId19" Type="http://schemas.openxmlformats.org/officeDocument/2006/relationships/hyperlink" Target="http://g.f.no/" TargetMode="External"/><Relationship Id="rId18" Type="http://schemas.openxmlformats.org/officeDocument/2006/relationships/hyperlink" Target="http://g.f.no/" TargetMode="External"/><Relationship Id="rId112" Type="http://schemas.openxmlformats.org/officeDocument/2006/relationships/drawing" Target="../drawings/drawing1.xml"/><Relationship Id="rId111" Type="http://schemas.openxmlformats.org/officeDocument/2006/relationships/hyperlink" Target="http://g.f.no/" TargetMode="External"/><Relationship Id="rId84" Type="http://schemas.openxmlformats.org/officeDocument/2006/relationships/hyperlink" Target="http://g.f.no/" TargetMode="External"/><Relationship Id="rId83" Type="http://schemas.openxmlformats.org/officeDocument/2006/relationships/hyperlink" Target="http://g.f.no/" TargetMode="External"/><Relationship Id="rId86" Type="http://schemas.openxmlformats.org/officeDocument/2006/relationships/hyperlink" Target="http://g.f.no/" TargetMode="External"/><Relationship Id="rId85" Type="http://schemas.openxmlformats.org/officeDocument/2006/relationships/hyperlink" Target="http://g.f.no/" TargetMode="External"/><Relationship Id="rId88" Type="http://schemas.openxmlformats.org/officeDocument/2006/relationships/hyperlink" Target="http://g.f.no/" TargetMode="External"/><Relationship Id="rId87" Type="http://schemas.openxmlformats.org/officeDocument/2006/relationships/hyperlink" Target="http://g.f.no/" TargetMode="External"/><Relationship Id="rId89" Type="http://schemas.openxmlformats.org/officeDocument/2006/relationships/hyperlink" Target="http://g.f.no/" TargetMode="External"/><Relationship Id="rId80" Type="http://schemas.openxmlformats.org/officeDocument/2006/relationships/hyperlink" Target="http://g.f.no/" TargetMode="External"/><Relationship Id="rId82" Type="http://schemas.openxmlformats.org/officeDocument/2006/relationships/hyperlink" Target="http://g.f.no/" TargetMode="External"/><Relationship Id="rId81" Type="http://schemas.openxmlformats.org/officeDocument/2006/relationships/hyperlink" Target="http://g.f.no/" TargetMode="External"/><Relationship Id="rId1" Type="http://schemas.openxmlformats.org/officeDocument/2006/relationships/hyperlink" Target="http://g.f.no/" TargetMode="External"/><Relationship Id="rId2" Type="http://schemas.openxmlformats.org/officeDocument/2006/relationships/hyperlink" Target="http://g.f.no/" TargetMode="External"/><Relationship Id="rId3" Type="http://schemas.openxmlformats.org/officeDocument/2006/relationships/hyperlink" Target="http://g.f.no/" TargetMode="External"/><Relationship Id="rId4" Type="http://schemas.openxmlformats.org/officeDocument/2006/relationships/hyperlink" Target="http://g.f.no/" TargetMode="External"/><Relationship Id="rId9" Type="http://schemas.openxmlformats.org/officeDocument/2006/relationships/hyperlink" Target="http://g.f.no/" TargetMode="External"/><Relationship Id="rId5" Type="http://schemas.openxmlformats.org/officeDocument/2006/relationships/hyperlink" Target="http://g.f.no/" TargetMode="External"/><Relationship Id="rId6" Type="http://schemas.openxmlformats.org/officeDocument/2006/relationships/hyperlink" Target="http://g.f.no/" TargetMode="External"/><Relationship Id="rId7" Type="http://schemas.openxmlformats.org/officeDocument/2006/relationships/hyperlink" Target="http://g.f.no/" TargetMode="External"/><Relationship Id="rId8" Type="http://schemas.openxmlformats.org/officeDocument/2006/relationships/hyperlink" Target="http://g.f.no/" TargetMode="External"/><Relationship Id="rId73" Type="http://schemas.openxmlformats.org/officeDocument/2006/relationships/hyperlink" Target="http://g.f.no/" TargetMode="External"/><Relationship Id="rId72" Type="http://schemas.openxmlformats.org/officeDocument/2006/relationships/hyperlink" Target="http://g.f.no/" TargetMode="External"/><Relationship Id="rId75" Type="http://schemas.openxmlformats.org/officeDocument/2006/relationships/hyperlink" Target="http://g.f.no/" TargetMode="External"/><Relationship Id="rId74" Type="http://schemas.openxmlformats.org/officeDocument/2006/relationships/hyperlink" Target="http://g.f.no/" TargetMode="External"/><Relationship Id="rId77" Type="http://schemas.openxmlformats.org/officeDocument/2006/relationships/hyperlink" Target="http://g.f.no/" TargetMode="External"/><Relationship Id="rId76" Type="http://schemas.openxmlformats.org/officeDocument/2006/relationships/hyperlink" Target="http://g.f.no/" TargetMode="External"/><Relationship Id="rId79" Type="http://schemas.openxmlformats.org/officeDocument/2006/relationships/hyperlink" Target="http://g.f.no/" TargetMode="External"/><Relationship Id="rId78" Type="http://schemas.openxmlformats.org/officeDocument/2006/relationships/hyperlink" Target="http://g.f.no/" TargetMode="External"/><Relationship Id="rId71" Type="http://schemas.openxmlformats.org/officeDocument/2006/relationships/hyperlink" Target="http://g.f.no/" TargetMode="External"/><Relationship Id="rId70" Type="http://schemas.openxmlformats.org/officeDocument/2006/relationships/hyperlink" Target="http://g.f.no/" TargetMode="External"/><Relationship Id="rId62" Type="http://schemas.openxmlformats.org/officeDocument/2006/relationships/hyperlink" Target="http://g.f.no/" TargetMode="External"/><Relationship Id="rId61" Type="http://schemas.openxmlformats.org/officeDocument/2006/relationships/hyperlink" Target="http://g.f.no/" TargetMode="External"/><Relationship Id="rId64" Type="http://schemas.openxmlformats.org/officeDocument/2006/relationships/hyperlink" Target="http://g.f.no/" TargetMode="External"/><Relationship Id="rId63" Type="http://schemas.openxmlformats.org/officeDocument/2006/relationships/hyperlink" Target="http://g.f.no/" TargetMode="External"/><Relationship Id="rId66" Type="http://schemas.openxmlformats.org/officeDocument/2006/relationships/hyperlink" Target="http://g.f.no/" TargetMode="External"/><Relationship Id="rId65" Type="http://schemas.openxmlformats.org/officeDocument/2006/relationships/hyperlink" Target="http://g.f.no/" TargetMode="External"/><Relationship Id="rId68" Type="http://schemas.openxmlformats.org/officeDocument/2006/relationships/hyperlink" Target="http://g.f.no/" TargetMode="External"/><Relationship Id="rId67" Type="http://schemas.openxmlformats.org/officeDocument/2006/relationships/hyperlink" Target="http://g.f.no/" TargetMode="External"/><Relationship Id="rId60" Type="http://schemas.openxmlformats.org/officeDocument/2006/relationships/hyperlink" Target="http://g.f.no/" TargetMode="External"/><Relationship Id="rId69" Type="http://schemas.openxmlformats.org/officeDocument/2006/relationships/hyperlink" Target="http://g.f.no/" TargetMode="External"/><Relationship Id="rId51" Type="http://schemas.openxmlformats.org/officeDocument/2006/relationships/hyperlink" Target="http://g.f.no/" TargetMode="External"/><Relationship Id="rId50" Type="http://schemas.openxmlformats.org/officeDocument/2006/relationships/hyperlink" Target="http://g.f.no/" TargetMode="External"/><Relationship Id="rId53" Type="http://schemas.openxmlformats.org/officeDocument/2006/relationships/hyperlink" Target="http://g.f.no/" TargetMode="External"/><Relationship Id="rId52" Type="http://schemas.openxmlformats.org/officeDocument/2006/relationships/hyperlink" Target="http://g.f.no/" TargetMode="External"/><Relationship Id="rId55" Type="http://schemas.openxmlformats.org/officeDocument/2006/relationships/hyperlink" Target="http://g.f.no/" TargetMode="External"/><Relationship Id="rId54" Type="http://schemas.openxmlformats.org/officeDocument/2006/relationships/hyperlink" Target="http://g.f.no/" TargetMode="External"/><Relationship Id="rId57" Type="http://schemas.openxmlformats.org/officeDocument/2006/relationships/hyperlink" Target="http://g.f.no/" TargetMode="External"/><Relationship Id="rId56" Type="http://schemas.openxmlformats.org/officeDocument/2006/relationships/hyperlink" Target="http://g.f.no/" TargetMode="External"/><Relationship Id="rId59" Type="http://schemas.openxmlformats.org/officeDocument/2006/relationships/hyperlink" Target="http://g.f.no/" TargetMode="External"/><Relationship Id="rId58" Type="http://schemas.openxmlformats.org/officeDocument/2006/relationships/hyperlink" Target="http://g.f.no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3.88"/>
    <col customWidth="1" min="4" max="4" width="31.5"/>
    <col customWidth="1" min="5" max="5" width="21.5"/>
    <col customWidth="1" min="6" max="6" width="43.0"/>
    <col customWidth="1" min="7" max="7" width="38.0"/>
    <col customWidth="1" min="8" max="8" width="38.5"/>
    <col customWidth="1" min="9" max="9" width="43.25"/>
    <col customWidth="1" min="10" max="10" width="31.13"/>
    <col customWidth="1" min="11" max="11" width="34.13"/>
    <col customWidth="1" min="12" max="12" width="39.13"/>
    <col customWidth="1" min="13" max="13" width="38.5"/>
    <col customWidth="1" min="14" max="14" width="29.5"/>
    <col customWidth="1" min="15" max="15" width="28.13"/>
    <col customWidth="1" min="16" max="16" width="39.38"/>
    <col customWidth="1" min="17" max="17" width="37.13"/>
    <col customWidth="1" min="18" max="18" width="61.75"/>
    <col customWidth="1" min="19" max="19" width="111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>
      <c r="A2" s="2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6"/>
      <c r="T2" s="3" t="s">
        <v>1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5"/>
      <c r="AK2" s="7"/>
    </row>
    <row r="3">
      <c r="A3" s="2"/>
      <c r="B3" s="8"/>
      <c r="F3" s="9"/>
      <c r="G3" s="9"/>
      <c r="H3" s="9"/>
      <c r="I3" s="9"/>
      <c r="J3" s="9" t="s">
        <v>2</v>
      </c>
      <c r="N3" s="6"/>
      <c r="R3" s="10"/>
      <c r="S3" s="6"/>
      <c r="T3" s="11"/>
      <c r="X3" s="12"/>
      <c r="Y3" s="12"/>
      <c r="Z3" s="12"/>
      <c r="AA3" s="12"/>
      <c r="AB3" s="12" t="s">
        <v>2</v>
      </c>
      <c r="AF3" s="2"/>
      <c r="AJ3" s="10"/>
      <c r="AK3" s="2"/>
    </row>
    <row r="4">
      <c r="A4" s="2"/>
      <c r="B4" s="13"/>
      <c r="F4" s="9"/>
      <c r="G4" s="9"/>
      <c r="H4" s="9"/>
      <c r="I4" s="9"/>
      <c r="J4" s="9" t="s">
        <v>3</v>
      </c>
      <c r="N4" s="6"/>
      <c r="R4" s="10"/>
      <c r="S4" s="6"/>
      <c r="T4" s="14"/>
      <c r="X4" s="12"/>
      <c r="Y4" s="12"/>
      <c r="Z4" s="12"/>
      <c r="AA4" s="12"/>
      <c r="AB4" s="12" t="s">
        <v>3</v>
      </c>
      <c r="AF4" s="2"/>
      <c r="AJ4" s="10"/>
      <c r="AK4" s="2"/>
    </row>
    <row r="5">
      <c r="A5" s="2"/>
      <c r="B5" s="13" t="s">
        <v>4</v>
      </c>
      <c r="R5" s="10"/>
      <c r="S5" s="6"/>
      <c r="T5" s="14" t="s">
        <v>4</v>
      </c>
      <c r="AJ5" s="10"/>
      <c r="AK5" s="15"/>
    </row>
    <row r="6">
      <c r="A6" s="2"/>
      <c r="B6" s="16" t="s">
        <v>5</v>
      </c>
      <c r="C6" s="17" t="s">
        <v>6</v>
      </c>
      <c r="D6" s="4"/>
      <c r="E6" s="4"/>
      <c r="F6" s="4"/>
      <c r="G6" s="4"/>
      <c r="H6" s="4"/>
      <c r="I6" s="4"/>
      <c r="J6" s="4"/>
      <c r="K6" s="5"/>
      <c r="L6" s="18" t="s">
        <v>7</v>
      </c>
      <c r="M6" s="19">
        <v>1.0</v>
      </c>
      <c r="N6" s="20"/>
      <c r="O6" s="4"/>
      <c r="P6" s="4"/>
      <c r="Q6" s="4"/>
      <c r="R6" s="5"/>
      <c r="S6" s="6"/>
      <c r="T6" s="21" t="s">
        <v>5</v>
      </c>
      <c r="U6" s="22" t="s">
        <v>6</v>
      </c>
      <c r="V6" s="4"/>
      <c r="W6" s="4"/>
      <c r="X6" s="4"/>
      <c r="Y6" s="4"/>
      <c r="Z6" s="4"/>
      <c r="AA6" s="4"/>
      <c r="AB6" s="4"/>
      <c r="AC6" s="5"/>
      <c r="AD6" s="23" t="s">
        <v>7</v>
      </c>
      <c r="AE6" s="24"/>
      <c r="AF6" s="24"/>
      <c r="AG6" s="4"/>
      <c r="AH6" s="4"/>
      <c r="AI6" s="4"/>
      <c r="AJ6" s="5"/>
      <c r="AK6" s="25"/>
    </row>
    <row r="7">
      <c r="A7" s="2"/>
      <c r="B7" s="26"/>
      <c r="C7" s="27" t="s">
        <v>8</v>
      </c>
      <c r="K7" s="10"/>
      <c r="L7" s="18" t="s">
        <v>9</v>
      </c>
      <c r="M7" s="9" t="s">
        <v>10</v>
      </c>
      <c r="N7" s="6"/>
      <c r="R7" s="10"/>
      <c r="S7" s="6"/>
      <c r="T7" s="28"/>
      <c r="U7" s="29" t="s">
        <v>8</v>
      </c>
      <c r="AC7" s="10"/>
      <c r="AD7" s="23" t="s">
        <v>9</v>
      </c>
      <c r="AE7" s="2"/>
      <c r="AF7" s="2"/>
      <c r="AJ7" s="10"/>
      <c r="AK7" s="25"/>
    </row>
    <row r="8">
      <c r="A8" s="2"/>
      <c r="B8" s="16" t="s">
        <v>11</v>
      </c>
      <c r="C8" s="30" t="s">
        <v>12</v>
      </c>
      <c r="D8" s="31"/>
      <c r="E8" s="31"/>
      <c r="F8" s="31"/>
      <c r="G8" s="31"/>
      <c r="H8" s="31"/>
      <c r="I8" s="31"/>
      <c r="J8" s="31"/>
      <c r="K8" s="32"/>
      <c r="L8" s="18" t="s">
        <v>13</v>
      </c>
      <c r="M8" s="33" t="s">
        <v>14</v>
      </c>
      <c r="N8" s="34"/>
      <c r="O8" s="31"/>
      <c r="P8" s="31"/>
      <c r="Q8" s="31"/>
      <c r="R8" s="32"/>
      <c r="S8" s="6"/>
      <c r="T8" s="21" t="s">
        <v>11</v>
      </c>
      <c r="U8" s="35" t="s">
        <v>12</v>
      </c>
      <c r="V8" s="31"/>
      <c r="W8" s="31"/>
      <c r="X8" s="31"/>
      <c r="Y8" s="31"/>
      <c r="Z8" s="31"/>
      <c r="AA8" s="31"/>
      <c r="AB8" s="31"/>
      <c r="AC8" s="32"/>
      <c r="AD8" s="23" t="s">
        <v>13</v>
      </c>
      <c r="AE8" s="36"/>
      <c r="AF8" s="36"/>
      <c r="AG8" s="31"/>
      <c r="AH8" s="31"/>
      <c r="AI8" s="31"/>
      <c r="AJ8" s="32"/>
      <c r="AK8" s="37"/>
    </row>
    <row r="9">
      <c r="A9" s="2"/>
      <c r="B9" s="8"/>
      <c r="R9" s="10"/>
      <c r="S9" s="38"/>
      <c r="T9" s="11"/>
      <c r="AJ9" s="10"/>
      <c r="AK9" s="25"/>
    </row>
    <row r="10">
      <c r="A10" s="2"/>
      <c r="B10" s="39" t="s">
        <v>15</v>
      </c>
      <c r="C10" s="40" t="s">
        <v>16</v>
      </c>
      <c r="D10" s="41" t="s">
        <v>17</v>
      </c>
      <c r="E10" s="41" t="s">
        <v>18</v>
      </c>
      <c r="F10" s="42" t="s">
        <v>19</v>
      </c>
      <c r="G10" s="43"/>
      <c r="H10" s="43"/>
      <c r="I10" s="43"/>
      <c r="J10" s="44"/>
      <c r="K10" s="41" t="s">
        <v>20</v>
      </c>
      <c r="L10" s="41" t="s">
        <v>21</v>
      </c>
      <c r="M10" s="41" t="s">
        <v>22</v>
      </c>
      <c r="N10" s="41" t="s">
        <v>23</v>
      </c>
      <c r="O10" s="41" t="s">
        <v>24</v>
      </c>
      <c r="P10" s="41" t="s">
        <v>25</v>
      </c>
      <c r="Q10" s="41" t="s">
        <v>26</v>
      </c>
      <c r="R10" s="45" t="s">
        <v>27</v>
      </c>
      <c r="S10" s="6"/>
      <c r="T10" s="46" t="s">
        <v>15</v>
      </c>
      <c r="U10" s="47" t="s">
        <v>16</v>
      </c>
      <c r="V10" s="48" t="s">
        <v>17</v>
      </c>
      <c r="W10" s="48" t="s">
        <v>18</v>
      </c>
      <c r="X10" s="49" t="s">
        <v>19</v>
      </c>
      <c r="Y10" s="43"/>
      <c r="Z10" s="43"/>
      <c r="AA10" s="43"/>
      <c r="AB10" s="44"/>
      <c r="AC10" s="48" t="s">
        <v>20</v>
      </c>
      <c r="AD10" s="48" t="s">
        <v>21</v>
      </c>
      <c r="AE10" s="48" t="s">
        <v>22</v>
      </c>
      <c r="AF10" s="48" t="s">
        <v>23</v>
      </c>
      <c r="AG10" s="48" t="s">
        <v>24</v>
      </c>
      <c r="AH10" s="48" t="s">
        <v>25</v>
      </c>
      <c r="AI10" s="48" t="s">
        <v>26</v>
      </c>
      <c r="AJ10" s="50" t="s">
        <v>27</v>
      </c>
      <c r="AK10" s="51"/>
    </row>
    <row r="11">
      <c r="A11" s="2"/>
      <c r="B11" s="52">
        <v>1.0</v>
      </c>
      <c r="C11" s="53">
        <v>1.004776967E9</v>
      </c>
      <c r="D11" s="54">
        <v>46029.0</v>
      </c>
      <c r="E11" s="53" t="s">
        <v>28</v>
      </c>
      <c r="F11" s="53" t="s">
        <v>29</v>
      </c>
      <c r="G11" s="53" t="s">
        <v>30</v>
      </c>
      <c r="H11" s="53" t="s">
        <v>31</v>
      </c>
      <c r="I11" s="53" t="s">
        <v>32</v>
      </c>
      <c r="J11" s="55"/>
      <c r="K11" s="53" t="s">
        <v>33</v>
      </c>
      <c r="L11" s="53" t="s">
        <v>34</v>
      </c>
      <c r="M11" s="56">
        <v>1569.0</v>
      </c>
      <c r="N11" s="56">
        <v>246.0</v>
      </c>
      <c r="O11" s="56">
        <v>16.5</v>
      </c>
      <c r="P11" s="56">
        <v>4059.0</v>
      </c>
      <c r="Q11" s="56"/>
      <c r="R11" s="57">
        <v>4059.0</v>
      </c>
      <c r="S11" s="6"/>
      <c r="T11" s="58"/>
      <c r="U11" s="59"/>
      <c r="V11" s="60"/>
      <c r="W11" s="59"/>
      <c r="X11" s="59"/>
      <c r="Y11" s="59"/>
      <c r="Z11" s="59"/>
      <c r="AA11" s="61"/>
      <c r="AB11" s="61"/>
      <c r="AC11" s="59"/>
      <c r="AD11" s="59"/>
      <c r="AE11" s="59"/>
      <c r="AF11" s="59"/>
      <c r="AG11" s="59"/>
      <c r="AH11" s="61">
        <f t="shared" ref="AH11:AH20" si="1">AF11*AG11</f>
        <v>0</v>
      </c>
      <c r="AI11" s="59"/>
      <c r="AJ11" s="62"/>
      <c r="AK11" s="51"/>
    </row>
    <row r="12">
      <c r="A12" s="2"/>
      <c r="B12" s="52">
        <v>2.0</v>
      </c>
      <c r="C12" s="53">
        <v>1.004776963E9</v>
      </c>
      <c r="D12" s="54">
        <v>46029.0</v>
      </c>
      <c r="E12" s="53" t="s">
        <v>35</v>
      </c>
      <c r="F12" s="53" t="s">
        <v>36</v>
      </c>
      <c r="G12" s="53" t="s">
        <v>37</v>
      </c>
      <c r="H12" s="53"/>
      <c r="I12" s="55"/>
      <c r="J12" s="55"/>
      <c r="K12" s="53" t="s">
        <v>38</v>
      </c>
      <c r="L12" s="53" t="s">
        <v>39</v>
      </c>
      <c r="M12" s="56">
        <v>3237.0</v>
      </c>
      <c r="N12" s="56">
        <v>200.0</v>
      </c>
      <c r="O12" s="56">
        <v>20.39</v>
      </c>
      <c r="P12" s="56">
        <v>4078.0</v>
      </c>
      <c r="Q12" s="63"/>
      <c r="R12" s="57">
        <v>4078.0</v>
      </c>
      <c r="S12" s="6"/>
      <c r="T12" s="58"/>
      <c r="U12" s="59"/>
      <c r="V12" s="60"/>
      <c r="W12" s="59"/>
      <c r="X12" s="59"/>
      <c r="Y12" s="59"/>
      <c r="Z12" s="59"/>
      <c r="AA12" s="61"/>
      <c r="AB12" s="61"/>
      <c r="AC12" s="59"/>
      <c r="AD12" s="59"/>
      <c r="AE12" s="59"/>
      <c r="AF12" s="59"/>
      <c r="AG12" s="59"/>
      <c r="AH12" s="61">
        <f t="shared" si="1"/>
        <v>0</v>
      </c>
      <c r="AI12" s="61"/>
      <c r="AJ12" s="62">
        <f t="shared" ref="AJ12:AJ20" si="2">AH12+AI12</f>
        <v>0</v>
      </c>
      <c r="AK12" s="51"/>
    </row>
    <row r="13">
      <c r="A13" s="2"/>
      <c r="B13" s="52">
        <v>3.0</v>
      </c>
      <c r="C13" s="53">
        <v>1.004776964E9</v>
      </c>
      <c r="D13" s="54">
        <v>46029.0</v>
      </c>
      <c r="E13" s="53" t="s">
        <v>35</v>
      </c>
      <c r="F13" s="53" t="s">
        <v>36</v>
      </c>
      <c r="G13" s="53" t="s">
        <v>40</v>
      </c>
      <c r="H13" s="55"/>
      <c r="I13" s="55"/>
      <c r="J13" s="55"/>
      <c r="K13" s="53" t="s">
        <v>33</v>
      </c>
      <c r="L13" s="53" t="s">
        <v>41</v>
      </c>
      <c r="M13" s="56">
        <v>2121.0</v>
      </c>
      <c r="N13" s="56">
        <v>200.0</v>
      </c>
      <c r="O13" s="56">
        <v>16.5</v>
      </c>
      <c r="P13" s="56">
        <v>3300.0</v>
      </c>
      <c r="Q13" s="63"/>
      <c r="R13" s="57">
        <v>3300.0</v>
      </c>
      <c r="S13" s="6"/>
      <c r="T13" s="58"/>
      <c r="U13" s="59"/>
      <c r="V13" s="60"/>
      <c r="W13" s="59"/>
      <c r="X13" s="59"/>
      <c r="Y13" s="59"/>
      <c r="Z13" s="61"/>
      <c r="AA13" s="61"/>
      <c r="AB13" s="61"/>
      <c r="AC13" s="59"/>
      <c r="AD13" s="59"/>
      <c r="AE13" s="59"/>
      <c r="AF13" s="59"/>
      <c r="AG13" s="59"/>
      <c r="AH13" s="61">
        <f t="shared" si="1"/>
        <v>0</v>
      </c>
      <c r="AI13" s="61"/>
      <c r="AJ13" s="62">
        <f t="shared" si="2"/>
        <v>0</v>
      </c>
      <c r="AK13" s="64"/>
    </row>
    <row r="14">
      <c r="A14" s="2"/>
      <c r="B14" s="52">
        <v>4.0</v>
      </c>
      <c r="C14" s="53">
        <v>1.004777069E9</v>
      </c>
      <c r="D14" s="54">
        <v>46029.0</v>
      </c>
      <c r="E14" s="53" t="s">
        <v>42</v>
      </c>
      <c r="F14" s="53" t="s">
        <v>43</v>
      </c>
      <c r="G14" s="53" t="s">
        <v>44</v>
      </c>
      <c r="H14" s="55"/>
      <c r="I14" s="55"/>
      <c r="J14" s="55"/>
      <c r="K14" s="53" t="s">
        <v>45</v>
      </c>
      <c r="L14" s="53" t="s">
        <v>46</v>
      </c>
      <c r="M14" s="56">
        <v>1584.0</v>
      </c>
      <c r="N14" s="56">
        <v>299.0</v>
      </c>
      <c r="O14" s="56">
        <v>16.5</v>
      </c>
      <c r="P14" s="56">
        <v>4933.5</v>
      </c>
      <c r="Q14" s="63"/>
      <c r="R14" s="57">
        <v>4933.5</v>
      </c>
      <c r="S14" s="6"/>
      <c r="T14" s="58"/>
      <c r="U14" s="59"/>
      <c r="V14" s="60"/>
      <c r="W14" s="59"/>
      <c r="X14" s="59"/>
      <c r="Y14" s="59"/>
      <c r="Z14" s="61"/>
      <c r="AA14" s="61"/>
      <c r="AB14" s="61"/>
      <c r="AC14" s="59"/>
      <c r="AD14" s="59"/>
      <c r="AE14" s="59"/>
      <c r="AF14" s="59"/>
      <c r="AG14" s="59"/>
      <c r="AH14" s="61">
        <f t="shared" si="1"/>
        <v>0</v>
      </c>
      <c r="AI14" s="61"/>
      <c r="AJ14" s="62">
        <f t="shared" si="2"/>
        <v>0</v>
      </c>
      <c r="AK14" s="25"/>
    </row>
    <row r="15">
      <c r="A15" s="2"/>
      <c r="B15" s="52">
        <v>5.0</v>
      </c>
      <c r="C15" s="53">
        <v>1.004777094E9</v>
      </c>
      <c r="D15" s="54">
        <v>46029.0</v>
      </c>
      <c r="E15" s="53" t="s">
        <v>47</v>
      </c>
      <c r="F15" s="53" t="s">
        <v>44</v>
      </c>
      <c r="G15" s="53" t="s">
        <v>48</v>
      </c>
      <c r="H15" s="53" t="s">
        <v>49</v>
      </c>
      <c r="I15" s="55"/>
      <c r="J15" s="55"/>
      <c r="K15" s="53" t="s">
        <v>45</v>
      </c>
      <c r="L15" s="53" t="s">
        <v>50</v>
      </c>
      <c r="M15" s="56">
        <v>1569.0</v>
      </c>
      <c r="N15" s="56">
        <v>250.0</v>
      </c>
      <c r="O15" s="56">
        <v>16.5</v>
      </c>
      <c r="P15" s="56">
        <v>4125.0</v>
      </c>
      <c r="Q15" s="63"/>
      <c r="R15" s="57">
        <v>4125.0</v>
      </c>
      <c r="S15" s="6"/>
      <c r="T15" s="58"/>
      <c r="U15" s="59"/>
      <c r="V15" s="60"/>
      <c r="W15" s="59"/>
      <c r="X15" s="59"/>
      <c r="Y15" s="59"/>
      <c r="Z15" s="61"/>
      <c r="AA15" s="61"/>
      <c r="AB15" s="61"/>
      <c r="AC15" s="59"/>
      <c r="AD15" s="59"/>
      <c r="AE15" s="59"/>
      <c r="AF15" s="59"/>
      <c r="AG15" s="59"/>
      <c r="AH15" s="61">
        <f t="shared" si="1"/>
        <v>0</v>
      </c>
      <c r="AI15" s="61"/>
      <c r="AJ15" s="62">
        <f t="shared" si="2"/>
        <v>0</v>
      </c>
      <c r="AK15" s="25"/>
    </row>
    <row r="16">
      <c r="A16" s="2"/>
      <c r="B16" s="52">
        <v>6.0</v>
      </c>
      <c r="C16" s="53">
        <v>1.004778235E9</v>
      </c>
      <c r="D16" s="54">
        <v>46029.0</v>
      </c>
      <c r="E16" s="53" t="s">
        <v>51</v>
      </c>
      <c r="F16" s="53" t="s">
        <v>44</v>
      </c>
      <c r="G16" s="55"/>
      <c r="H16" s="55"/>
      <c r="I16" s="55"/>
      <c r="J16" s="55"/>
      <c r="K16" s="53" t="s">
        <v>45</v>
      </c>
      <c r="L16" s="53" t="s">
        <v>52</v>
      </c>
      <c r="M16" s="56">
        <v>1475.0</v>
      </c>
      <c r="N16" s="56">
        <v>230.0</v>
      </c>
      <c r="O16" s="56">
        <v>16.5</v>
      </c>
      <c r="P16" s="56">
        <v>3795.0</v>
      </c>
      <c r="Q16" s="63"/>
      <c r="R16" s="57">
        <v>3795.0</v>
      </c>
      <c r="S16" s="6"/>
      <c r="T16" s="58"/>
      <c r="U16" s="59"/>
      <c r="V16" s="60"/>
      <c r="W16" s="59"/>
      <c r="X16" s="59"/>
      <c r="Y16" s="61"/>
      <c r="Z16" s="61"/>
      <c r="AA16" s="61"/>
      <c r="AB16" s="61"/>
      <c r="AC16" s="59"/>
      <c r="AD16" s="59"/>
      <c r="AE16" s="59"/>
      <c r="AF16" s="59"/>
      <c r="AG16" s="59"/>
      <c r="AH16" s="61">
        <f t="shared" si="1"/>
        <v>0</v>
      </c>
      <c r="AI16" s="61"/>
      <c r="AJ16" s="62">
        <f t="shared" si="2"/>
        <v>0</v>
      </c>
      <c r="AK16" s="25"/>
    </row>
    <row r="17">
      <c r="A17" s="2"/>
      <c r="B17" s="52">
        <v>7.0</v>
      </c>
      <c r="C17" s="53">
        <v>1.004778449E9</v>
      </c>
      <c r="D17" s="54">
        <v>46029.0</v>
      </c>
      <c r="E17" s="53" t="s">
        <v>51</v>
      </c>
      <c r="F17" s="53" t="s">
        <v>44</v>
      </c>
      <c r="G17" s="53" t="s">
        <v>49</v>
      </c>
      <c r="H17" s="53"/>
      <c r="I17" s="55"/>
      <c r="J17" s="55"/>
      <c r="K17" s="53" t="s">
        <v>45</v>
      </c>
      <c r="L17" s="53" t="s">
        <v>53</v>
      </c>
      <c r="M17" s="56">
        <v>1594.0</v>
      </c>
      <c r="N17" s="56">
        <v>230.0</v>
      </c>
      <c r="O17" s="56">
        <v>16.5</v>
      </c>
      <c r="P17" s="56">
        <v>3795.0</v>
      </c>
      <c r="Q17" s="63"/>
      <c r="R17" s="57">
        <v>3795.0</v>
      </c>
      <c r="S17" s="6"/>
      <c r="T17" s="58"/>
      <c r="U17" s="59"/>
      <c r="V17" s="60"/>
      <c r="W17" s="59"/>
      <c r="X17" s="59"/>
      <c r="Y17" s="59"/>
      <c r="Z17" s="59"/>
      <c r="AA17" s="61"/>
      <c r="AB17" s="61"/>
      <c r="AC17" s="59"/>
      <c r="AD17" s="59"/>
      <c r="AE17" s="59"/>
      <c r="AF17" s="59"/>
      <c r="AG17" s="59"/>
      <c r="AH17" s="61">
        <f t="shared" si="1"/>
        <v>0</v>
      </c>
      <c r="AI17" s="61"/>
      <c r="AJ17" s="62">
        <f t="shared" si="2"/>
        <v>0</v>
      </c>
      <c r="AK17" s="25"/>
    </row>
    <row r="18">
      <c r="A18" s="2"/>
      <c r="B18" s="52">
        <v>8.0</v>
      </c>
      <c r="C18" s="53">
        <v>1.00477823E9</v>
      </c>
      <c r="D18" s="54">
        <v>46029.0</v>
      </c>
      <c r="E18" s="53" t="s">
        <v>51</v>
      </c>
      <c r="F18" s="53" t="s">
        <v>44</v>
      </c>
      <c r="G18" s="53"/>
      <c r="H18" s="53"/>
      <c r="I18" s="55"/>
      <c r="J18" s="55"/>
      <c r="K18" s="53" t="s">
        <v>45</v>
      </c>
      <c r="L18" s="53" t="s">
        <v>54</v>
      </c>
      <c r="M18" s="56">
        <v>1411.0</v>
      </c>
      <c r="N18" s="56">
        <v>230.0</v>
      </c>
      <c r="O18" s="56">
        <v>16.5</v>
      </c>
      <c r="P18" s="56">
        <v>3795.0</v>
      </c>
      <c r="Q18" s="63"/>
      <c r="R18" s="57">
        <v>3795.0</v>
      </c>
      <c r="S18" s="6"/>
      <c r="T18" s="58"/>
      <c r="U18" s="59"/>
      <c r="V18" s="60"/>
      <c r="W18" s="59"/>
      <c r="X18" s="59"/>
      <c r="Y18" s="59"/>
      <c r="Z18" s="59"/>
      <c r="AA18" s="61"/>
      <c r="AB18" s="61"/>
      <c r="AC18" s="59"/>
      <c r="AD18" s="59"/>
      <c r="AE18" s="59"/>
      <c r="AF18" s="59"/>
      <c r="AG18" s="59"/>
      <c r="AH18" s="61">
        <f t="shared" si="1"/>
        <v>0</v>
      </c>
      <c r="AI18" s="61"/>
      <c r="AJ18" s="62">
        <f t="shared" si="2"/>
        <v>0</v>
      </c>
      <c r="AK18" s="25"/>
    </row>
    <row r="19">
      <c r="A19" s="2"/>
      <c r="B19" s="52">
        <v>9.0</v>
      </c>
      <c r="C19" s="53">
        <v>1.004778465E9</v>
      </c>
      <c r="D19" s="54">
        <v>46029.0</v>
      </c>
      <c r="E19" s="53" t="s">
        <v>55</v>
      </c>
      <c r="F19" s="53" t="s">
        <v>56</v>
      </c>
      <c r="G19" s="53" t="s">
        <v>57</v>
      </c>
      <c r="H19" s="53" t="s">
        <v>58</v>
      </c>
      <c r="I19" s="53" t="s">
        <v>59</v>
      </c>
      <c r="J19" s="55"/>
      <c r="K19" s="53" t="s">
        <v>38</v>
      </c>
      <c r="L19" s="53" t="s">
        <v>60</v>
      </c>
      <c r="M19" s="56">
        <v>3475.0</v>
      </c>
      <c r="N19" s="56">
        <v>572.0</v>
      </c>
      <c r="O19" s="56">
        <v>20.39</v>
      </c>
      <c r="P19" s="56">
        <v>11663.08</v>
      </c>
      <c r="Q19" s="56">
        <v>330.0</v>
      </c>
      <c r="R19" s="57">
        <v>11993.08</v>
      </c>
      <c r="S19" s="6"/>
      <c r="T19" s="58"/>
      <c r="U19" s="59"/>
      <c r="V19" s="60"/>
      <c r="W19" s="59"/>
      <c r="X19" s="59"/>
      <c r="Y19" s="61"/>
      <c r="Z19" s="59"/>
      <c r="AA19" s="61"/>
      <c r="AB19" s="61"/>
      <c r="AC19" s="59"/>
      <c r="AD19" s="59"/>
      <c r="AE19" s="59"/>
      <c r="AF19" s="59"/>
      <c r="AG19" s="59"/>
      <c r="AH19" s="61">
        <f t="shared" si="1"/>
        <v>0</v>
      </c>
      <c r="AI19" s="59"/>
      <c r="AJ19" s="62">
        <f t="shared" si="2"/>
        <v>0</v>
      </c>
      <c r="AK19" s="25"/>
    </row>
    <row r="20">
      <c r="A20" s="2"/>
      <c r="B20" s="52">
        <v>10.0</v>
      </c>
      <c r="C20" s="53">
        <v>1.004778632E9</v>
      </c>
      <c r="D20" s="54">
        <v>46029.0</v>
      </c>
      <c r="E20" s="53" t="s">
        <v>61</v>
      </c>
      <c r="F20" s="53" t="s">
        <v>62</v>
      </c>
      <c r="G20" s="55"/>
      <c r="H20" s="55"/>
      <c r="I20" s="55"/>
      <c r="J20" s="55"/>
      <c r="K20" s="53" t="s">
        <v>33</v>
      </c>
      <c r="L20" s="53" t="s">
        <v>63</v>
      </c>
      <c r="M20" s="56">
        <v>1913.0</v>
      </c>
      <c r="N20" s="56">
        <v>280.0</v>
      </c>
      <c r="O20" s="56">
        <v>16.5</v>
      </c>
      <c r="P20" s="56">
        <v>4620.0</v>
      </c>
      <c r="Q20" s="56"/>
      <c r="R20" s="57">
        <v>4620.0</v>
      </c>
      <c r="S20" s="6"/>
      <c r="T20" s="58"/>
      <c r="U20" s="59"/>
      <c r="V20" s="60"/>
      <c r="W20" s="59"/>
      <c r="X20" s="59"/>
      <c r="Y20" s="61"/>
      <c r="Z20" s="61"/>
      <c r="AA20" s="61"/>
      <c r="AB20" s="61"/>
      <c r="AC20" s="59"/>
      <c r="AD20" s="59"/>
      <c r="AE20" s="59"/>
      <c r="AF20" s="59"/>
      <c r="AG20" s="59"/>
      <c r="AH20" s="61">
        <f t="shared" si="1"/>
        <v>0</v>
      </c>
      <c r="AI20" s="59"/>
      <c r="AJ20" s="62">
        <f t="shared" si="2"/>
        <v>0</v>
      </c>
      <c r="AK20" s="25"/>
    </row>
    <row r="21">
      <c r="A21" s="2"/>
      <c r="B21" s="8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5"/>
      <c r="S21" s="6"/>
      <c r="T21" s="11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66"/>
      <c r="AK21" s="25"/>
    </row>
    <row r="22" ht="24.75" customHeight="1">
      <c r="A22" s="2"/>
      <c r="B22" s="67"/>
      <c r="C22" s="68"/>
      <c r="D22" s="69"/>
      <c r="E22" s="68"/>
      <c r="F22" s="68"/>
      <c r="G22" s="68"/>
      <c r="H22" s="68"/>
      <c r="I22" s="68"/>
      <c r="J22" s="68"/>
      <c r="K22" s="68"/>
      <c r="L22" s="68"/>
      <c r="M22" s="68"/>
      <c r="N22" s="70"/>
      <c r="O22" s="4"/>
      <c r="P22" s="71">
        <v>48149.58</v>
      </c>
      <c r="Q22" s="71">
        <v>330.0</v>
      </c>
      <c r="R22" s="71">
        <v>48479.58</v>
      </c>
      <c r="S22" s="6"/>
      <c r="T22" s="72" t="s">
        <v>64</v>
      </c>
      <c r="U22" s="68"/>
      <c r="V22" s="73" t="str">
        <f>MONEYTEXT(AJ22, "INR")</f>
        <v>Zero Indian rupees</v>
      </c>
      <c r="W22" s="68"/>
      <c r="X22" s="68"/>
      <c r="Y22" s="68"/>
      <c r="Z22" s="68"/>
      <c r="AA22" s="68"/>
      <c r="AB22" s="68"/>
      <c r="AC22" s="68"/>
      <c r="AD22" s="68"/>
      <c r="AE22" s="68"/>
      <c r="AF22" s="74" t="s">
        <v>65</v>
      </c>
      <c r="AG22" s="4"/>
      <c r="AH22" s="75">
        <f t="shared" ref="AH22:AJ22" si="3">SUM(AH11:AH20)</f>
        <v>0</v>
      </c>
      <c r="AI22" s="75">
        <f t="shared" si="3"/>
        <v>0</v>
      </c>
      <c r="AJ22" s="75">
        <f t="shared" si="3"/>
        <v>0</v>
      </c>
      <c r="AK22" s="25"/>
    </row>
    <row r="23">
      <c r="A23" s="2"/>
      <c r="B23" s="67" t="s">
        <v>66</v>
      </c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76"/>
      <c r="P23" s="77"/>
      <c r="Q23" s="31"/>
      <c r="R23" s="32"/>
      <c r="S23" s="6"/>
      <c r="T23" s="72" t="s">
        <v>66</v>
      </c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76"/>
      <c r="AH23" s="78" t="s">
        <v>67</v>
      </c>
      <c r="AI23" s="31"/>
      <c r="AJ23" s="32"/>
      <c r="AK23" s="51"/>
    </row>
    <row r="24">
      <c r="A24" s="2"/>
      <c r="B24" s="79" t="s">
        <v>68</v>
      </c>
      <c r="P24" s="27"/>
      <c r="Q24" s="80" t="s">
        <v>69</v>
      </c>
      <c r="R24" s="31"/>
      <c r="S24" s="32"/>
      <c r="T24" s="81" t="s">
        <v>68</v>
      </c>
      <c r="AH24" s="29"/>
      <c r="AI24" s="29"/>
      <c r="AJ24" s="82"/>
      <c r="AK24" s="51"/>
    </row>
    <row r="25">
      <c r="A25" s="2"/>
      <c r="B25" s="79" t="s">
        <v>70</v>
      </c>
      <c r="P25" s="27"/>
      <c r="Q25" s="27"/>
      <c r="R25" s="83"/>
      <c r="S25" s="6"/>
      <c r="T25" s="81" t="s">
        <v>70</v>
      </c>
      <c r="AH25" s="29"/>
      <c r="AI25" s="29"/>
      <c r="AJ25" s="82"/>
      <c r="AK25" s="51"/>
    </row>
    <row r="26">
      <c r="A26" s="2"/>
      <c r="B26" s="8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5"/>
      <c r="S26" s="6"/>
      <c r="T26" s="11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66"/>
      <c r="AK26" s="84"/>
    </row>
    <row r="27">
      <c r="A27" s="2"/>
      <c r="B27" s="8"/>
      <c r="C27" s="6"/>
      <c r="D27" s="6"/>
      <c r="E27" s="6"/>
      <c r="F27" s="6"/>
      <c r="G27" s="6"/>
      <c r="H27" s="6"/>
      <c r="I27" s="6"/>
      <c r="J27" s="6"/>
      <c r="K27" s="85" t="s">
        <v>71</v>
      </c>
      <c r="L27" s="6"/>
      <c r="M27" s="6"/>
      <c r="N27" s="6"/>
      <c r="O27" s="6"/>
      <c r="P27" s="86" t="s">
        <v>72</v>
      </c>
      <c r="R27" s="10"/>
      <c r="S27" s="6"/>
      <c r="T27" s="11"/>
      <c r="U27" s="2"/>
      <c r="V27" s="2"/>
      <c r="W27" s="2"/>
      <c r="X27" s="2"/>
      <c r="Y27" s="2"/>
      <c r="Z27" s="2"/>
      <c r="AA27" s="2"/>
      <c r="AB27" s="2"/>
      <c r="AC27" s="87" t="s">
        <v>71</v>
      </c>
      <c r="AD27" s="2"/>
      <c r="AE27" s="2"/>
      <c r="AF27" s="2"/>
      <c r="AG27" s="2"/>
      <c r="AH27" s="12" t="s">
        <v>72</v>
      </c>
      <c r="AJ27" s="10"/>
      <c r="AK27" s="51"/>
    </row>
    <row r="28">
      <c r="A28" s="2"/>
      <c r="B28" s="88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89"/>
      <c r="S28" s="6"/>
      <c r="T28" s="90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91"/>
      <c r="AK28" s="25"/>
    </row>
    <row r="29" ht="108.75" customHeight="1">
      <c r="A29" s="2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>
      <c r="A30" s="2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>
      <c r="A31" s="2"/>
      <c r="B31" s="3" t="s">
        <v>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5"/>
      <c r="S31" s="6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>
      <c r="A32" s="2"/>
      <c r="B32" s="8"/>
      <c r="F32" s="9"/>
      <c r="G32" s="9"/>
      <c r="H32" s="9"/>
      <c r="I32" s="9"/>
      <c r="J32" s="9" t="s">
        <v>2</v>
      </c>
      <c r="N32" s="6"/>
      <c r="R32" s="10"/>
      <c r="S32" s="6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>
      <c r="A33" s="2"/>
      <c r="B33" s="13"/>
      <c r="F33" s="9"/>
      <c r="G33" s="9"/>
      <c r="H33" s="9"/>
      <c r="I33" s="9"/>
      <c r="J33" s="9" t="s">
        <v>3</v>
      </c>
      <c r="N33" s="6"/>
      <c r="R33" s="10"/>
      <c r="S33" s="6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>
      <c r="A34" s="2"/>
      <c r="B34" s="13" t="s">
        <v>4</v>
      </c>
      <c r="R34" s="10"/>
      <c r="S34" s="6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>
      <c r="A35" s="2"/>
      <c r="B35" s="18" t="s">
        <v>5</v>
      </c>
      <c r="C35" s="92" t="s">
        <v>6</v>
      </c>
      <c r="D35" s="4"/>
      <c r="E35" s="4"/>
      <c r="F35" s="4"/>
      <c r="G35" s="4"/>
      <c r="H35" s="4"/>
      <c r="I35" s="4"/>
      <c r="J35" s="4"/>
      <c r="K35" s="5"/>
      <c r="L35" s="18" t="s">
        <v>7</v>
      </c>
      <c r="M35" s="19">
        <v>2.0</v>
      </c>
      <c r="N35" s="20"/>
      <c r="O35" s="4"/>
      <c r="P35" s="4"/>
      <c r="Q35" s="4"/>
      <c r="R35" s="5"/>
      <c r="S35" s="6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>
      <c r="A36" s="2"/>
      <c r="B36" s="26"/>
      <c r="C36" s="27" t="s">
        <v>8</v>
      </c>
      <c r="K36" s="10"/>
      <c r="L36" s="18" t="s">
        <v>9</v>
      </c>
      <c r="M36" s="9" t="s">
        <v>10</v>
      </c>
      <c r="N36" s="6"/>
      <c r="R36" s="10"/>
      <c r="S36" s="6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>
      <c r="A37" s="2"/>
      <c r="B37" s="18" t="s">
        <v>11</v>
      </c>
      <c r="C37" s="93" t="s">
        <v>12</v>
      </c>
      <c r="D37" s="31"/>
      <c r="E37" s="31"/>
      <c r="F37" s="31"/>
      <c r="G37" s="31"/>
      <c r="H37" s="31"/>
      <c r="I37" s="31"/>
      <c r="J37" s="31"/>
      <c r="K37" s="32"/>
      <c r="L37" s="18" t="s">
        <v>13</v>
      </c>
      <c r="M37" s="33" t="s">
        <v>14</v>
      </c>
      <c r="N37" s="34"/>
      <c r="O37" s="31"/>
      <c r="P37" s="31"/>
      <c r="Q37" s="31"/>
      <c r="R37" s="32"/>
      <c r="S37" s="6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>
      <c r="A38" s="2"/>
      <c r="B38" s="8"/>
      <c r="R38" s="10"/>
      <c r="S38" s="6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>
      <c r="A39" s="2"/>
      <c r="B39" s="39" t="s">
        <v>15</v>
      </c>
      <c r="C39" s="40" t="s">
        <v>16</v>
      </c>
      <c r="D39" s="41" t="s">
        <v>17</v>
      </c>
      <c r="E39" s="41" t="s">
        <v>18</v>
      </c>
      <c r="F39" s="42" t="s">
        <v>19</v>
      </c>
      <c r="G39" s="43"/>
      <c r="H39" s="43"/>
      <c r="I39" s="43"/>
      <c r="J39" s="44"/>
      <c r="K39" s="41" t="s">
        <v>20</v>
      </c>
      <c r="L39" s="41" t="s">
        <v>21</v>
      </c>
      <c r="M39" s="41" t="s">
        <v>22</v>
      </c>
      <c r="N39" s="41" t="s">
        <v>23</v>
      </c>
      <c r="O39" s="41" t="s">
        <v>24</v>
      </c>
      <c r="P39" s="41" t="s">
        <v>25</v>
      </c>
      <c r="Q39" s="41" t="s">
        <v>26</v>
      </c>
      <c r="R39" s="45" t="s">
        <v>27</v>
      </c>
      <c r="S39" s="6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>
      <c r="A40" s="2"/>
      <c r="B40" s="52">
        <v>1.0</v>
      </c>
      <c r="C40" s="53">
        <v>1.004778627E9</v>
      </c>
      <c r="D40" s="54">
        <v>46029.0</v>
      </c>
      <c r="E40" s="53" t="s">
        <v>61</v>
      </c>
      <c r="F40" s="53" t="s">
        <v>73</v>
      </c>
      <c r="G40" s="53" t="s">
        <v>74</v>
      </c>
      <c r="H40" s="53" t="s">
        <v>62</v>
      </c>
      <c r="I40" s="53" t="s">
        <v>75</v>
      </c>
      <c r="J40" s="55"/>
      <c r="K40" s="53" t="s">
        <v>38</v>
      </c>
      <c r="L40" s="53" t="s">
        <v>76</v>
      </c>
      <c r="M40" s="53">
        <v>3362.0</v>
      </c>
      <c r="N40" s="53">
        <v>560.0</v>
      </c>
      <c r="O40" s="53">
        <v>20.39</v>
      </c>
      <c r="P40" s="53">
        <v>11418.4</v>
      </c>
      <c r="Q40" s="53">
        <v>1085.0</v>
      </c>
      <c r="R40" s="94">
        <v>12503.4</v>
      </c>
      <c r="S40" s="6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>
      <c r="A41" s="2"/>
      <c r="B41" s="52">
        <v>2.0</v>
      </c>
      <c r="C41" s="53">
        <v>1.004778833E9</v>
      </c>
      <c r="D41" s="54">
        <v>46029.0</v>
      </c>
      <c r="E41" s="53" t="s">
        <v>77</v>
      </c>
      <c r="F41" s="53" t="s">
        <v>78</v>
      </c>
      <c r="G41" s="53" t="s">
        <v>79</v>
      </c>
      <c r="H41" s="53"/>
      <c r="I41" s="55"/>
      <c r="J41" s="55"/>
      <c r="K41" s="53" t="s">
        <v>80</v>
      </c>
      <c r="L41" s="53" t="s">
        <v>81</v>
      </c>
      <c r="M41" s="53">
        <v>2653.0</v>
      </c>
      <c r="N41" s="53">
        <v>416.0</v>
      </c>
      <c r="O41" s="53">
        <v>19.39</v>
      </c>
      <c r="P41" s="53">
        <v>8066.24</v>
      </c>
      <c r="Q41" s="53">
        <v>505.0</v>
      </c>
      <c r="R41" s="94">
        <v>8571.24</v>
      </c>
      <c r="S41" s="6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>
      <c r="A42" s="2"/>
      <c r="B42" s="52">
        <v>3.0</v>
      </c>
      <c r="C42" s="53">
        <v>1.004778778E9</v>
      </c>
      <c r="D42" s="54">
        <v>46029.0</v>
      </c>
      <c r="E42" s="53" t="s">
        <v>82</v>
      </c>
      <c r="F42" s="53" t="s">
        <v>83</v>
      </c>
      <c r="G42" s="53" t="s">
        <v>84</v>
      </c>
      <c r="H42" s="55"/>
      <c r="I42" s="55"/>
      <c r="J42" s="55"/>
      <c r="K42" s="53" t="s">
        <v>33</v>
      </c>
      <c r="L42" s="53" t="s">
        <v>85</v>
      </c>
      <c r="M42" s="53">
        <v>1916.0</v>
      </c>
      <c r="N42" s="53">
        <v>328.0</v>
      </c>
      <c r="O42" s="53">
        <v>16.5</v>
      </c>
      <c r="P42" s="53">
        <v>5412.0</v>
      </c>
      <c r="Q42" s="55"/>
      <c r="R42" s="94">
        <v>5412.0</v>
      </c>
      <c r="S42" s="6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>
      <c r="A43" s="2"/>
      <c r="B43" s="52">
        <v>4.0</v>
      </c>
      <c r="C43" s="53">
        <v>1.004778769E9</v>
      </c>
      <c r="D43" s="54">
        <v>46029.0</v>
      </c>
      <c r="E43" s="53" t="s">
        <v>82</v>
      </c>
      <c r="F43" s="53" t="s">
        <v>86</v>
      </c>
      <c r="G43" s="53" t="s">
        <v>87</v>
      </c>
      <c r="H43" s="53" t="s">
        <v>88</v>
      </c>
      <c r="I43" s="53" t="s">
        <v>84</v>
      </c>
      <c r="J43" s="55"/>
      <c r="K43" s="53" t="s">
        <v>38</v>
      </c>
      <c r="L43" s="53" t="s">
        <v>89</v>
      </c>
      <c r="M43" s="53">
        <v>3454.0</v>
      </c>
      <c r="N43" s="53">
        <v>484.0</v>
      </c>
      <c r="O43" s="53">
        <v>20.39</v>
      </c>
      <c r="P43" s="53">
        <v>9868.76</v>
      </c>
      <c r="Q43" s="53">
        <v>930.0</v>
      </c>
      <c r="R43" s="94">
        <v>10798.76</v>
      </c>
      <c r="S43" s="6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>
      <c r="A44" s="2"/>
      <c r="B44" s="52">
        <v>5.0</v>
      </c>
      <c r="C44" s="53">
        <v>1.004778755E9</v>
      </c>
      <c r="D44" s="54">
        <v>46029.0</v>
      </c>
      <c r="E44" s="53" t="s">
        <v>90</v>
      </c>
      <c r="F44" s="53" t="s">
        <v>91</v>
      </c>
      <c r="G44" s="53" t="s">
        <v>92</v>
      </c>
      <c r="H44" s="53" t="s">
        <v>93</v>
      </c>
      <c r="I44" s="53" t="s">
        <v>94</v>
      </c>
      <c r="J44" s="55"/>
      <c r="K44" s="53" t="s">
        <v>33</v>
      </c>
      <c r="L44" s="53" t="s">
        <v>95</v>
      </c>
      <c r="M44" s="53">
        <v>1682.0</v>
      </c>
      <c r="N44" s="53">
        <v>405.0</v>
      </c>
      <c r="O44" s="53">
        <v>16.5</v>
      </c>
      <c r="P44" s="53">
        <v>6682.5</v>
      </c>
      <c r="Q44" s="55"/>
      <c r="R44" s="94">
        <v>6682.5</v>
      </c>
      <c r="S44" s="6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>
      <c r="A45" s="2"/>
      <c r="B45" s="52">
        <v>6.0</v>
      </c>
      <c r="C45" s="53">
        <v>1.004779677E9</v>
      </c>
      <c r="D45" s="54">
        <v>46060.0</v>
      </c>
      <c r="E45" s="53" t="s">
        <v>28</v>
      </c>
      <c r="F45" s="53" t="s">
        <v>29</v>
      </c>
      <c r="G45" s="53" t="s">
        <v>30</v>
      </c>
      <c r="H45" s="53" t="s">
        <v>31</v>
      </c>
      <c r="I45" s="53" t="s">
        <v>32</v>
      </c>
      <c r="J45" s="55"/>
      <c r="K45" s="53" t="s">
        <v>38</v>
      </c>
      <c r="L45" s="53" t="s">
        <v>34</v>
      </c>
      <c r="M45" s="53">
        <v>3509.0</v>
      </c>
      <c r="N45" s="53">
        <v>246.0</v>
      </c>
      <c r="O45" s="53">
        <v>20.39</v>
      </c>
      <c r="P45" s="53">
        <v>5015.94</v>
      </c>
      <c r="Q45" s="55"/>
      <c r="R45" s="94">
        <v>5015.94</v>
      </c>
      <c r="S45" s="6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>
      <c r="A46" s="2"/>
      <c r="B46" s="52">
        <v>7.0</v>
      </c>
      <c r="C46" s="53">
        <v>1.004779358E9</v>
      </c>
      <c r="D46" s="54">
        <v>46060.0</v>
      </c>
      <c r="E46" s="53" t="s">
        <v>35</v>
      </c>
      <c r="F46" s="53" t="s">
        <v>36</v>
      </c>
      <c r="G46" s="53" t="s">
        <v>40</v>
      </c>
      <c r="H46" s="55"/>
      <c r="I46" s="55"/>
      <c r="J46" s="55"/>
      <c r="K46" s="53" t="s">
        <v>33</v>
      </c>
      <c r="L46" s="53" t="s">
        <v>96</v>
      </c>
      <c r="M46" s="53">
        <v>1807.0</v>
      </c>
      <c r="N46" s="53">
        <v>150.0</v>
      </c>
      <c r="O46" s="53">
        <v>16.5</v>
      </c>
      <c r="P46" s="53">
        <v>2475.0</v>
      </c>
      <c r="Q46" s="55"/>
      <c r="R46" s="94">
        <v>2475.0</v>
      </c>
      <c r="S46" s="6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>
      <c r="A47" s="2"/>
      <c r="B47" s="52">
        <v>8.0</v>
      </c>
      <c r="C47" s="53">
        <v>1.004779357E9</v>
      </c>
      <c r="D47" s="54">
        <v>46060.0</v>
      </c>
      <c r="E47" s="53" t="s">
        <v>35</v>
      </c>
      <c r="F47" s="53" t="s">
        <v>37</v>
      </c>
      <c r="G47" s="53" t="s">
        <v>36</v>
      </c>
      <c r="H47" s="55"/>
      <c r="I47" s="55"/>
      <c r="J47" s="55"/>
      <c r="K47" s="53" t="s">
        <v>38</v>
      </c>
      <c r="L47" s="53" t="s">
        <v>97</v>
      </c>
      <c r="M47" s="53">
        <v>3291.0</v>
      </c>
      <c r="N47" s="53">
        <v>200.0</v>
      </c>
      <c r="O47" s="53">
        <v>20.39</v>
      </c>
      <c r="P47" s="53">
        <v>4078.0</v>
      </c>
      <c r="Q47" s="55"/>
      <c r="R47" s="94">
        <v>4078.0</v>
      </c>
      <c r="S47" s="6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>
      <c r="A48" s="2"/>
      <c r="B48" s="52">
        <v>9.0</v>
      </c>
      <c r="C48" s="53">
        <v>1.004779834E9</v>
      </c>
      <c r="D48" s="54">
        <v>46060.0</v>
      </c>
      <c r="E48" s="53" t="s">
        <v>42</v>
      </c>
      <c r="F48" s="53" t="s">
        <v>44</v>
      </c>
      <c r="G48" s="53" t="s">
        <v>43</v>
      </c>
      <c r="H48" s="55"/>
      <c r="I48" s="55"/>
      <c r="J48" s="55"/>
      <c r="K48" s="53" t="s">
        <v>45</v>
      </c>
      <c r="L48" s="53" t="s">
        <v>98</v>
      </c>
      <c r="M48" s="53">
        <v>1514.0</v>
      </c>
      <c r="N48" s="53">
        <v>299.0</v>
      </c>
      <c r="O48" s="53">
        <v>16.5</v>
      </c>
      <c r="P48" s="53">
        <v>4933.5</v>
      </c>
      <c r="Q48" s="53"/>
      <c r="R48" s="53">
        <v>4933.5</v>
      </c>
      <c r="S48" s="6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>
      <c r="A49" s="2"/>
      <c r="B49" s="52">
        <v>10.0</v>
      </c>
      <c r="C49" s="53">
        <v>1.004779884E9</v>
      </c>
      <c r="D49" s="54">
        <v>46060.0</v>
      </c>
      <c r="E49" s="53" t="s">
        <v>47</v>
      </c>
      <c r="F49" s="53" t="s">
        <v>44</v>
      </c>
      <c r="G49" s="53" t="s">
        <v>48</v>
      </c>
      <c r="H49" s="53" t="s">
        <v>49</v>
      </c>
      <c r="I49" s="55"/>
      <c r="J49" s="55"/>
      <c r="K49" s="53" t="s">
        <v>45</v>
      </c>
      <c r="L49" s="53" t="s">
        <v>50</v>
      </c>
      <c r="M49" s="53">
        <v>1656.0</v>
      </c>
      <c r="N49" s="53">
        <v>250.0</v>
      </c>
      <c r="O49" s="53">
        <v>16.5</v>
      </c>
      <c r="P49" s="53">
        <v>4125.0</v>
      </c>
      <c r="Q49" s="55"/>
      <c r="R49" s="94">
        <v>4125.0</v>
      </c>
      <c r="S49" s="6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>
      <c r="A50" s="2"/>
      <c r="B50" s="8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5"/>
      <c r="S50" s="6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>
      <c r="A51" s="2"/>
      <c r="B51" s="67" t="s">
        <v>64</v>
      </c>
      <c r="C51" s="68"/>
      <c r="D51" s="69" t="str">
        <f>MONEYTEXT(R51, "INR")</f>
        <v/>
      </c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76"/>
      <c r="P51" s="95"/>
      <c r="Q51" s="4"/>
      <c r="R51" s="96">
        <f>SUM(R40:R49)</f>
        <v>64595.34</v>
      </c>
      <c r="S51" s="6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>
      <c r="A52" s="2"/>
      <c r="B52" s="67" t="s">
        <v>66</v>
      </c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76"/>
      <c r="P52" s="97" t="s">
        <v>67</v>
      </c>
      <c r="Q52" s="31"/>
      <c r="R52" s="32"/>
      <c r="S52" s="6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>
      <c r="A53" s="2"/>
      <c r="B53" s="79" t="s">
        <v>68</v>
      </c>
      <c r="P53" s="27"/>
      <c r="Q53" s="27"/>
      <c r="R53" s="83"/>
      <c r="S53" s="6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>
      <c r="A54" s="2"/>
      <c r="B54" s="79" t="s">
        <v>70</v>
      </c>
      <c r="P54" s="27"/>
      <c r="Q54" s="27"/>
      <c r="R54" s="83"/>
      <c r="S54" s="6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>
      <c r="A55" s="2"/>
      <c r="B55" s="8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5"/>
      <c r="S55" s="6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>
      <c r="A56" s="2"/>
      <c r="B56" s="8"/>
      <c r="C56" s="6"/>
      <c r="D56" s="6"/>
      <c r="E56" s="6"/>
      <c r="F56" s="6"/>
      <c r="G56" s="6"/>
      <c r="H56" s="6"/>
      <c r="I56" s="6"/>
      <c r="J56" s="6"/>
      <c r="K56" s="19" t="s">
        <v>71</v>
      </c>
      <c r="L56" s="6"/>
      <c r="M56" s="6"/>
      <c r="N56" s="6"/>
      <c r="O56" s="6"/>
      <c r="P56" s="9" t="s">
        <v>72</v>
      </c>
      <c r="R56" s="10"/>
      <c r="S56" s="6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>
      <c r="A57" s="2"/>
      <c r="B57" s="88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89"/>
      <c r="S57" s="6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>
      <c r="A58" s="2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>
      <c r="A59" s="2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>
      <c r="A60" s="2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ht="30.75" customHeight="1">
      <c r="A61" s="2"/>
      <c r="B61" s="3" t="s">
        <v>1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5"/>
      <c r="S61" s="6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>
      <c r="A62" s="2"/>
      <c r="B62" s="8"/>
      <c r="F62" s="9"/>
      <c r="G62" s="9"/>
      <c r="H62" s="9"/>
      <c r="I62" s="9"/>
      <c r="J62" s="9" t="s">
        <v>2</v>
      </c>
      <c r="N62" s="6"/>
      <c r="R62" s="10"/>
      <c r="S62" s="6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>
      <c r="A63" s="2"/>
      <c r="B63" s="13"/>
      <c r="F63" s="9"/>
      <c r="G63" s="9"/>
      <c r="H63" s="9"/>
      <c r="I63" s="9"/>
      <c r="J63" s="9" t="s">
        <v>3</v>
      </c>
      <c r="N63" s="6"/>
      <c r="R63" s="10"/>
      <c r="S63" s="6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>
      <c r="A64" s="2"/>
      <c r="B64" s="13" t="s">
        <v>4</v>
      </c>
      <c r="R64" s="10"/>
      <c r="S64" s="6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>
      <c r="A65" s="2"/>
      <c r="B65" s="18" t="s">
        <v>5</v>
      </c>
      <c r="C65" s="92" t="s">
        <v>6</v>
      </c>
      <c r="D65" s="4"/>
      <c r="E65" s="4"/>
      <c r="F65" s="4"/>
      <c r="G65" s="4"/>
      <c r="H65" s="4"/>
      <c r="I65" s="4"/>
      <c r="J65" s="4"/>
      <c r="K65" s="5"/>
      <c r="L65" s="18" t="s">
        <v>7</v>
      </c>
      <c r="M65" s="19">
        <v>3.0</v>
      </c>
      <c r="N65" s="20"/>
      <c r="O65" s="4"/>
      <c r="P65" s="4"/>
      <c r="Q65" s="4"/>
      <c r="R65" s="5"/>
      <c r="S65" s="6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>
      <c r="A66" s="2"/>
      <c r="B66" s="26"/>
      <c r="C66" s="27" t="s">
        <v>8</v>
      </c>
      <c r="K66" s="10"/>
      <c r="L66" s="18" t="s">
        <v>9</v>
      </c>
      <c r="M66" s="9" t="s">
        <v>10</v>
      </c>
      <c r="N66" s="6"/>
      <c r="R66" s="10"/>
      <c r="S66" s="6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>
      <c r="A67" s="2"/>
      <c r="B67" s="18" t="s">
        <v>11</v>
      </c>
      <c r="C67" s="93" t="s">
        <v>12</v>
      </c>
      <c r="D67" s="31"/>
      <c r="E67" s="31"/>
      <c r="F67" s="31"/>
      <c r="G67" s="31"/>
      <c r="H67" s="31"/>
      <c r="I67" s="31"/>
      <c r="J67" s="31"/>
      <c r="K67" s="32"/>
      <c r="L67" s="18" t="s">
        <v>13</v>
      </c>
      <c r="M67" s="33" t="s">
        <v>14</v>
      </c>
      <c r="N67" s="34"/>
      <c r="O67" s="31"/>
      <c r="P67" s="31"/>
      <c r="Q67" s="31"/>
      <c r="R67" s="32"/>
      <c r="S67" s="6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>
      <c r="A68" s="2"/>
      <c r="B68" s="8"/>
      <c r="R68" s="10"/>
      <c r="S68" s="6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>
      <c r="A69" s="2"/>
      <c r="B69" s="39" t="s">
        <v>15</v>
      </c>
      <c r="C69" s="40" t="s">
        <v>16</v>
      </c>
      <c r="D69" s="54">
        <v>46060.0</v>
      </c>
      <c r="E69" s="41" t="s">
        <v>18</v>
      </c>
      <c r="F69" s="42" t="s">
        <v>19</v>
      </c>
      <c r="G69" s="43"/>
      <c r="H69" s="43"/>
      <c r="I69" s="43"/>
      <c r="J69" s="44"/>
      <c r="K69" s="41" t="s">
        <v>20</v>
      </c>
      <c r="L69" s="41" t="s">
        <v>21</v>
      </c>
      <c r="M69" s="41" t="s">
        <v>22</v>
      </c>
      <c r="N69" s="41" t="s">
        <v>23</v>
      </c>
      <c r="O69" s="41" t="s">
        <v>24</v>
      </c>
      <c r="P69" s="41" t="s">
        <v>25</v>
      </c>
      <c r="Q69" s="41" t="s">
        <v>26</v>
      </c>
      <c r="R69" s="45" t="s">
        <v>27</v>
      </c>
      <c r="S69" s="6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>
      <c r="A70" s="2"/>
      <c r="B70" s="52">
        <v>1.0</v>
      </c>
      <c r="C70" s="53">
        <v>1.004780403E9</v>
      </c>
      <c r="D70" s="54">
        <v>46060.0</v>
      </c>
      <c r="E70" s="53" t="s">
        <v>51</v>
      </c>
      <c r="F70" s="53" t="s">
        <v>44</v>
      </c>
      <c r="G70" s="53" t="s">
        <v>49</v>
      </c>
      <c r="H70" s="53"/>
      <c r="I70" s="53"/>
      <c r="J70" s="55"/>
      <c r="K70" s="53" t="s">
        <v>45</v>
      </c>
      <c r="L70" s="53" t="s">
        <v>52</v>
      </c>
      <c r="M70" s="53">
        <v>1567.0</v>
      </c>
      <c r="N70" s="53">
        <v>230.0</v>
      </c>
      <c r="O70" s="53">
        <v>16.5</v>
      </c>
      <c r="P70" s="53">
        <v>3795.0</v>
      </c>
      <c r="Q70" s="53"/>
      <c r="R70" s="94">
        <v>3795.0</v>
      </c>
      <c r="S70" s="6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>
      <c r="A71" s="2"/>
      <c r="B71" s="52">
        <v>2.0</v>
      </c>
      <c r="C71" s="53">
        <v>1.004780407E9</v>
      </c>
      <c r="D71" s="54">
        <v>46060.0</v>
      </c>
      <c r="E71" s="53" t="s">
        <v>51</v>
      </c>
      <c r="F71" s="53" t="s">
        <v>44</v>
      </c>
      <c r="G71" s="53"/>
      <c r="H71" s="53"/>
      <c r="I71" s="53"/>
      <c r="J71" s="55"/>
      <c r="K71" s="53" t="s">
        <v>45</v>
      </c>
      <c r="L71" s="53" t="s">
        <v>53</v>
      </c>
      <c r="M71" s="53">
        <v>1632.0</v>
      </c>
      <c r="N71" s="53">
        <v>230.0</v>
      </c>
      <c r="O71" s="53">
        <v>16.5</v>
      </c>
      <c r="P71" s="53">
        <v>3795.0</v>
      </c>
      <c r="Q71" s="53"/>
      <c r="R71" s="94">
        <v>3795.0</v>
      </c>
      <c r="S71" s="6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>
      <c r="A72" s="2"/>
      <c r="B72" s="52">
        <v>3.0</v>
      </c>
      <c r="C72" s="53">
        <v>1.004780474E9</v>
      </c>
      <c r="D72" s="54">
        <v>46060.0</v>
      </c>
      <c r="E72" s="53" t="s">
        <v>51</v>
      </c>
      <c r="F72" s="53" t="s">
        <v>44</v>
      </c>
      <c r="G72" s="53"/>
      <c r="H72" s="53"/>
      <c r="I72" s="55"/>
      <c r="J72" s="55"/>
      <c r="K72" s="53" t="s">
        <v>45</v>
      </c>
      <c r="L72" s="53" t="s">
        <v>99</v>
      </c>
      <c r="M72" s="53">
        <v>1709.0</v>
      </c>
      <c r="N72" s="53">
        <v>230.0</v>
      </c>
      <c r="O72" s="53">
        <v>16.5</v>
      </c>
      <c r="P72" s="53">
        <v>3795.0</v>
      </c>
      <c r="Q72" s="53"/>
      <c r="R72" s="94">
        <v>3795.0</v>
      </c>
      <c r="S72" s="6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>
      <c r="A73" s="2"/>
      <c r="B73" s="52">
        <v>4.0</v>
      </c>
      <c r="C73" s="53">
        <v>1.004779952E9</v>
      </c>
      <c r="D73" s="54">
        <v>46060.0</v>
      </c>
      <c r="E73" s="53" t="s">
        <v>51</v>
      </c>
      <c r="F73" s="53" t="s">
        <v>44</v>
      </c>
      <c r="G73" s="53"/>
      <c r="H73" s="53"/>
      <c r="I73" s="55"/>
      <c r="J73" s="55"/>
      <c r="K73" s="53" t="s">
        <v>45</v>
      </c>
      <c r="L73" s="53" t="s">
        <v>54</v>
      </c>
      <c r="M73" s="53">
        <v>1715.0</v>
      </c>
      <c r="N73" s="53">
        <v>230.0</v>
      </c>
      <c r="O73" s="53">
        <v>16.5</v>
      </c>
      <c r="P73" s="53">
        <v>3795.0</v>
      </c>
      <c r="Q73" s="55"/>
      <c r="R73" s="94">
        <v>3795.0</v>
      </c>
      <c r="S73" s="6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>
      <c r="A74" s="2"/>
      <c r="B74" s="52">
        <v>5.0</v>
      </c>
      <c r="C74" s="53">
        <v>1.00478084E9</v>
      </c>
      <c r="D74" s="54">
        <v>46060.0</v>
      </c>
      <c r="E74" s="53" t="s">
        <v>100</v>
      </c>
      <c r="F74" s="53" t="s">
        <v>87</v>
      </c>
      <c r="G74" s="53" t="s">
        <v>86</v>
      </c>
      <c r="H74" s="53" t="s">
        <v>83</v>
      </c>
      <c r="I74" s="55"/>
      <c r="J74" s="55"/>
      <c r="K74" s="53" t="s">
        <v>38</v>
      </c>
      <c r="L74" s="53" t="s">
        <v>101</v>
      </c>
      <c r="M74" s="53">
        <v>3487.0</v>
      </c>
      <c r="N74" s="53">
        <v>484.0</v>
      </c>
      <c r="O74" s="53">
        <v>20.39</v>
      </c>
      <c r="P74" s="53">
        <v>9868.76</v>
      </c>
      <c r="Q74" s="53">
        <v>930.0</v>
      </c>
      <c r="R74" s="94">
        <v>10798.76</v>
      </c>
      <c r="S74" s="6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>
      <c r="A75" s="2"/>
      <c r="B75" s="52">
        <v>6.0</v>
      </c>
      <c r="C75" s="53">
        <v>1.004780779E9</v>
      </c>
      <c r="D75" s="54">
        <v>46060.0</v>
      </c>
      <c r="E75" s="53" t="s">
        <v>90</v>
      </c>
      <c r="F75" s="53" t="s">
        <v>91</v>
      </c>
      <c r="G75" s="53" t="s">
        <v>92</v>
      </c>
      <c r="H75" s="53" t="s">
        <v>93</v>
      </c>
      <c r="I75" s="53" t="s">
        <v>83</v>
      </c>
      <c r="J75" s="53" t="s">
        <v>94</v>
      </c>
      <c r="K75" s="53" t="s">
        <v>38</v>
      </c>
      <c r="L75" s="53" t="s">
        <v>102</v>
      </c>
      <c r="M75" s="53">
        <v>3501.0</v>
      </c>
      <c r="N75" s="53">
        <v>405.0</v>
      </c>
      <c r="O75" s="53">
        <v>20.39</v>
      </c>
      <c r="P75" s="53">
        <v>8257.95</v>
      </c>
      <c r="Q75" s="53">
        <v>500.0</v>
      </c>
      <c r="R75" s="94">
        <v>8757.95</v>
      </c>
      <c r="S75" s="6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>
      <c r="A76" s="2"/>
      <c r="B76" s="52">
        <v>7.0</v>
      </c>
      <c r="C76" s="53">
        <v>1.004780719E9</v>
      </c>
      <c r="D76" s="54">
        <v>46060.0</v>
      </c>
      <c r="E76" s="53" t="s">
        <v>55</v>
      </c>
      <c r="F76" s="53" t="s">
        <v>57</v>
      </c>
      <c r="G76" s="53" t="s">
        <v>103</v>
      </c>
      <c r="H76" s="53" t="s">
        <v>58</v>
      </c>
      <c r="I76" s="53" t="s">
        <v>59</v>
      </c>
      <c r="J76" s="55"/>
      <c r="K76" s="53" t="s">
        <v>33</v>
      </c>
      <c r="L76" s="53" t="s">
        <v>104</v>
      </c>
      <c r="M76" s="53">
        <v>1857.0</v>
      </c>
      <c r="N76" s="53">
        <v>568.0</v>
      </c>
      <c r="O76" s="53">
        <v>16.5</v>
      </c>
      <c r="P76" s="53">
        <v>9372.0</v>
      </c>
      <c r="Q76" s="53"/>
      <c r="R76" s="94">
        <v>9372.0</v>
      </c>
      <c r="S76" s="6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>
      <c r="A77" s="2"/>
      <c r="B77" s="52">
        <v>8.0</v>
      </c>
      <c r="C77" s="53">
        <v>1.004780713E9</v>
      </c>
      <c r="D77" s="54">
        <v>46060.0</v>
      </c>
      <c r="E77" s="53" t="s">
        <v>55</v>
      </c>
      <c r="F77" s="53" t="s">
        <v>103</v>
      </c>
      <c r="G77" s="53" t="s">
        <v>56</v>
      </c>
      <c r="H77" s="53"/>
      <c r="I77" s="55"/>
      <c r="J77" s="55"/>
      <c r="K77" s="53" t="s">
        <v>38</v>
      </c>
      <c r="L77" s="53" t="s">
        <v>105</v>
      </c>
      <c r="M77" s="53">
        <v>3236.0</v>
      </c>
      <c r="N77" s="53">
        <v>572.0</v>
      </c>
      <c r="O77" s="53">
        <v>20.39</v>
      </c>
      <c r="P77" s="53">
        <v>11663.08</v>
      </c>
      <c r="Q77" s="53">
        <v>330.0</v>
      </c>
      <c r="R77" s="94">
        <v>11993.08</v>
      </c>
      <c r="S77" s="6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>
      <c r="A78" s="2"/>
      <c r="B78" s="52">
        <v>9.0</v>
      </c>
      <c r="C78" s="53">
        <v>1.00478059E9</v>
      </c>
      <c r="D78" s="54">
        <v>46060.0</v>
      </c>
      <c r="E78" s="53" t="s">
        <v>106</v>
      </c>
      <c r="F78" s="53" t="s">
        <v>107</v>
      </c>
      <c r="G78" s="53" t="s">
        <v>108</v>
      </c>
      <c r="H78" s="53" t="s">
        <v>109</v>
      </c>
      <c r="I78" s="55"/>
      <c r="J78" s="55"/>
      <c r="K78" s="53" t="s">
        <v>38</v>
      </c>
      <c r="L78" s="53" t="s">
        <v>110</v>
      </c>
      <c r="M78" s="53">
        <v>3563.0</v>
      </c>
      <c r="N78" s="53">
        <v>482.0</v>
      </c>
      <c r="O78" s="53">
        <v>20.39</v>
      </c>
      <c r="P78" s="53">
        <v>9827.98</v>
      </c>
      <c r="Q78" s="53">
        <v>925.0</v>
      </c>
      <c r="R78" s="94">
        <v>10752.98</v>
      </c>
      <c r="S78" s="6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>
      <c r="A79" s="2"/>
      <c r="B79" s="52">
        <v>10.0</v>
      </c>
      <c r="C79" s="53">
        <v>1.004781906E9</v>
      </c>
      <c r="D79" s="54">
        <v>46088.0</v>
      </c>
      <c r="E79" s="53" t="s">
        <v>28</v>
      </c>
      <c r="F79" s="53" t="s">
        <v>29</v>
      </c>
      <c r="G79" s="53" t="s">
        <v>30</v>
      </c>
      <c r="H79" s="53" t="s">
        <v>31</v>
      </c>
      <c r="I79" s="53" t="s">
        <v>32</v>
      </c>
      <c r="J79" s="55"/>
      <c r="K79" s="53" t="s">
        <v>33</v>
      </c>
      <c r="L79" s="53" t="s">
        <v>34</v>
      </c>
      <c r="M79" s="53">
        <v>2201.0</v>
      </c>
      <c r="N79" s="53">
        <v>246.0</v>
      </c>
      <c r="O79" s="53">
        <v>16.5</v>
      </c>
      <c r="P79" s="53">
        <v>4059.0</v>
      </c>
      <c r="Q79" s="53"/>
      <c r="R79" s="94">
        <v>4059.0</v>
      </c>
      <c r="S79" s="6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>
      <c r="A80" s="2"/>
      <c r="B80" s="8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5"/>
      <c r="S80" s="6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>
      <c r="A81" s="2"/>
      <c r="B81" s="67" t="s">
        <v>64</v>
      </c>
      <c r="C81" s="68"/>
      <c r="D81" s="69" t="str">
        <f>MONEYTEXT(R81, "INR")</f>
        <v>Seventy thousand nine hundred thirteen Indian rupees and seventy-seven paise</v>
      </c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76"/>
      <c r="P81" s="70" t="s">
        <v>65</v>
      </c>
      <c r="Q81" s="4"/>
      <c r="R81" s="96">
        <f>sum(R70:R80)</f>
        <v>70913.77</v>
      </c>
      <c r="S81" s="6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>
      <c r="A82" s="2"/>
      <c r="B82" s="67" t="s">
        <v>66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76"/>
      <c r="P82" s="97" t="s">
        <v>67</v>
      </c>
      <c r="Q82" s="31"/>
      <c r="R82" s="32"/>
      <c r="S82" s="6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>
      <c r="A83" s="2"/>
      <c r="B83" s="79" t="s">
        <v>68</v>
      </c>
      <c r="P83" s="27"/>
      <c r="Q83" s="27"/>
      <c r="R83" s="83"/>
      <c r="S83" s="6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>
      <c r="A84" s="2"/>
      <c r="B84" s="79" t="s">
        <v>70</v>
      </c>
      <c r="P84" s="27"/>
      <c r="Q84" s="27"/>
      <c r="R84" s="83"/>
      <c r="S84" s="6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>
      <c r="A85" s="2"/>
      <c r="B85" s="8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5"/>
      <c r="S85" s="6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>
      <c r="A86" s="2"/>
      <c r="B86" s="8"/>
      <c r="C86" s="6"/>
      <c r="D86" s="6"/>
      <c r="E86" s="6"/>
      <c r="F86" s="6"/>
      <c r="G86" s="6"/>
      <c r="H86" s="6"/>
      <c r="I86" s="6"/>
      <c r="J86" s="6"/>
      <c r="K86" s="19" t="s">
        <v>71</v>
      </c>
      <c r="L86" s="6"/>
      <c r="M86" s="6"/>
      <c r="N86" s="6"/>
      <c r="O86" s="6"/>
      <c r="P86" s="9" t="s">
        <v>72</v>
      </c>
      <c r="R86" s="10"/>
      <c r="S86" s="6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>
      <c r="A87" s="2"/>
      <c r="B87" s="88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89"/>
      <c r="S87" s="6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>
      <c r="A88" s="2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>
      <c r="A89" s="2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>
      <c r="A90" s="2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>
      <c r="A91" s="2"/>
      <c r="B91" s="3" t="s">
        <v>1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5"/>
      <c r="S91" s="98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>
      <c r="A92" s="2"/>
      <c r="B92" s="8"/>
      <c r="F92" s="9"/>
      <c r="G92" s="9"/>
      <c r="H92" s="9"/>
      <c r="I92" s="9"/>
      <c r="J92" s="9" t="s">
        <v>2</v>
      </c>
      <c r="N92" s="6"/>
      <c r="R92" s="10"/>
      <c r="S92" s="6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>
      <c r="A93" s="2"/>
      <c r="B93" s="13"/>
      <c r="F93" s="9"/>
      <c r="G93" s="9"/>
      <c r="H93" s="9"/>
      <c r="I93" s="9"/>
      <c r="J93" s="9" t="s">
        <v>3</v>
      </c>
      <c r="N93" s="6"/>
      <c r="R93" s="10"/>
      <c r="S93" s="6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>
      <c r="A94" s="2"/>
      <c r="B94" s="13" t="s">
        <v>4</v>
      </c>
      <c r="R94" s="10"/>
      <c r="S94" s="99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>
      <c r="A95" s="2"/>
      <c r="B95" s="16" t="s">
        <v>5</v>
      </c>
      <c r="C95" s="17" t="s">
        <v>6</v>
      </c>
      <c r="D95" s="4"/>
      <c r="E95" s="4"/>
      <c r="F95" s="4"/>
      <c r="G95" s="4"/>
      <c r="H95" s="4"/>
      <c r="I95" s="4"/>
      <c r="J95" s="4"/>
      <c r="K95" s="5"/>
      <c r="L95" s="18" t="s">
        <v>7</v>
      </c>
      <c r="M95" s="19">
        <v>4.0</v>
      </c>
      <c r="N95" s="20"/>
      <c r="O95" s="4"/>
      <c r="P95" s="4"/>
      <c r="Q95" s="4"/>
      <c r="R95" s="5"/>
      <c r="S95" s="100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>
      <c r="A96" s="2"/>
      <c r="B96" s="26"/>
      <c r="C96" s="27" t="s">
        <v>8</v>
      </c>
      <c r="K96" s="10"/>
      <c r="L96" s="18" t="s">
        <v>9</v>
      </c>
      <c r="M96" s="9" t="s">
        <v>10</v>
      </c>
      <c r="N96" s="6"/>
      <c r="R96" s="10"/>
      <c r="S96" s="100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>
      <c r="A97" s="2"/>
      <c r="B97" s="16" t="s">
        <v>11</v>
      </c>
      <c r="C97" s="30" t="s">
        <v>12</v>
      </c>
      <c r="D97" s="31"/>
      <c r="E97" s="31"/>
      <c r="F97" s="31"/>
      <c r="G97" s="31"/>
      <c r="H97" s="31"/>
      <c r="I97" s="31"/>
      <c r="J97" s="31"/>
      <c r="K97" s="32"/>
      <c r="L97" s="18" t="s">
        <v>13</v>
      </c>
      <c r="M97" s="33" t="s">
        <v>14</v>
      </c>
      <c r="N97" s="34"/>
      <c r="O97" s="31"/>
      <c r="P97" s="31"/>
      <c r="Q97" s="31"/>
      <c r="R97" s="32"/>
      <c r="S97" s="101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>
      <c r="A98" s="2"/>
      <c r="B98" s="8"/>
      <c r="R98" s="10"/>
      <c r="S98" s="100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>
      <c r="A99" s="2"/>
      <c r="B99" s="39" t="s">
        <v>15</v>
      </c>
      <c r="C99" s="40" t="s">
        <v>16</v>
      </c>
      <c r="D99" s="41" t="s">
        <v>17</v>
      </c>
      <c r="E99" s="41" t="s">
        <v>18</v>
      </c>
      <c r="F99" s="42" t="s">
        <v>19</v>
      </c>
      <c r="G99" s="43"/>
      <c r="H99" s="43"/>
      <c r="I99" s="43"/>
      <c r="J99" s="44"/>
      <c r="K99" s="41" t="s">
        <v>20</v>
      </c>
      <c r="L99" s="41" t="s">
        <v>21</v>
      </c>
      <c r="M99" s="41" t="s">
        <v>22</v>
      </c>
      <c r="N99" s="41" t="s">
        <v>23</v>
      </c>
      <c r="O99" s="41" t="s">
        <v>24</v>
      </c>
      <c r="P99" s="41" t="s">
        <v>25</v>
      </c>
      <c r="Q99" s="41" t="s">
        <v>26</v>
      </c>
      <c r="R99" s="45" t="s">
        <v>27</v>
      </c>
      <c r="S99" s="10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>
      <c r="A100" s="2"/>
      <c r="B100" s="52">
        <v>1.0</v>
      </c>
      <c r="C100" s="53">
        <v>1.00478139E9</v>
      </c>
      <c r="D100" s="54">
        <v>46088.0</v>
      </c>
      <c r="E100" s="53" t="s">
        <v>35</v>
      </c>
      <c r="F100" s="53" t="s">
        <v>36</v>
      </c>
      <c r="G100" s="53" t="s">
        <v>40</v>
      </c>
      <c r="H100" s="53"/>
      <c r="I100" s="55"/>
      <c r="J100" s="55"/>
      <c r="K100" s="53" t="s">
        <v>38</v>
      </c>
      <c r="L100" s="53" t="s">
        <v>96</v>
      </c>
      <c r="M100" s="53">
        <v>3229.0</v>
      </c>
      <c r="N100" s="53">
        <v>150.0</v>
      </c>
      <c r="O100" s="53">
        <v>20.39</v>
      </c>
      <c r="P100" s="53">
        <v>3058.5</v>
      </c>
      <c r="Q100" s="53"/>
      <c r="R100" s="94">
        <v>3058.5</v>
      </c>
      <c r="S100" s="10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>
      <c r="A101" s="2"/>
      <c r="B101" s="52">
        <v>2.0</v>
      </c>
      <c r="C101" s="53">
        <v>1.004781387E9</v>
      </c>
      <c r="D101" s="54">
        <v>46088.0</v>
      </c>
      <c r="E101" s="53" t="s">
        <v>35</v>
      </c>
      <c r="F101" s="53" t="s">
        <v>37</v>
      </c>
      <c r="G101" s="53" t="s">
        <v>36</v>
      </c>
      <c r="H101" s="53"/>
      <c r="I101" s="55"/>
      <c r="J101" s="55"/>
      <c r="K101" s="53" t="s">
        <v>38</v>
      </c>
      <c r="L101" s="53" t="s">
        <v>97</v>
      </c>
      <c r="M101" s="53">
        <v>3482.0</v>
      </c>
      <c r="N101" s="53">
        <v>200.0</v>
      </c>
      <c r="O101" s="53">
        <v>20.39</v>
      </c>
      <c r="P101" s="53">
        <v>4078.0</v>
      </c>
      <c r="Q101" s="55"/>
      <c r="R101" s="94">
        <v>4078.0</v>
      </c>
      <c r="S101" s="10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>
      <c r="A102" s="2"/>
      <c r="B102" s="52">
        <v>3.0</v>
      </c>
      <c r="C102" s="53">
        <v>1.004781393E9</v>
      </c>
      <c r="D102" s="54">
        <v>46088.0</v>
      </c>
      <c r="E102" s="53" t="s">
        <v>35</v>
      </c>
      <c r="F102" s="53" t="s">
        <v>36</v>
      </c>
      <c r="G102" s="53"/>
      <c r="H102" s="55"/>
      <c r="I102" s="55"/>
      <c r="J102" s="55"/>
      <c r="K102" s="53" t="s">
        <v>80</v>
      </c>
      <c r="L102" s="53" t="s">
        <v>41</v>
      </c>
      <c r="M102" s="53">
        <v>2869.0</v>
      </c>
      <c r="N102" s="53">
        <v>130.0</v>
      </c>
      <c r="O102" s="53">
        <v>19.39</v>
      </c>
      <c r="P102" s="53">
        <v>2520.7</v>
      </c>
      <c r="Q102" s="55"/>
      <c r="R102" s="94">
        <v>2520.7</v>
      </c>
      <c r="S102" s="103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>
      <c r="A103" s="2"/>
      <c r="B103" s="52">
        <v>4.0</v>
      </c>
      <c r="C103" s="53">
        <v>1.004781717E9</v>
      </c>
      <c r="D103" s="54">
        <v>46088.0</v>
      </c>
      <c r="E103" s="53" t="s">
        <v>42</v>
      </c>
      <c r="F103" s="53" t="s">
        <v>44</v>
      </c>
      <c r="G103" s="53" t="s">
        <v>43</v>
      </c>
      <c r="H103" s="55"/>
      <c r="I103" s="55"/>
      <c r="J103" s="55"/>
      <c r="K103" s="53" t="s">
        <v>45</v>
      </c>
      <c r="L103" s="53" t="s">
        <v>98</v>
      </c>
      <c r="M103" s="53">
        <v>1689.0</v>
      </c>
      <c r="N103" s="53">
        <v>299.0</v>
      </c>
      <c r="O103" s="53">
        <v>16.5</v>
      </c>
      <c r="P103" s="53">
        <v>4933.5</v>
      </c>
      <c r="Q103" s="55"/>
      <c r="R103" s="94">
        <v>4933.5</v>
      </c>
      <c r="S103" s="100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>
      <c r="A104" s="2"/>
      <c r="B104" s="52">
        <v>5.0</v>
      </c>
      <c r="C104" s="53">
        <v>1.004781732E9</v>
      </c>
      <c r="D104" s="54">
        <v>46088.0</v>
      </c>
      <c r="E104" s="53" t="s">
        <v>51</v>
      </c>
      <c r="F104" s="53" t="s">
        <v>44</v>
      </c>
      <c r="G104" s="53" t="s">
        <v>49</v>
      </c>
      <c r="H104" s="55"/>
      <c r="I104" s="55"/>
      <c r="J104" s="55"/>
      <c r="K104" s="53" t="s">
        <v>45</v>
      </c>
      <c r="L104" s="53" t="s">
        <v>50</v>
      </c>
      <c r="M104" s="53">
        <v>1556.0</v>
      </c>
      <c r="N104" s="53">
        <v>230.0</v>
      </c>
      <c r="O104" s="53">
        <v>16.5</v>
      </c>
      <c r="P104" s="53">
        <v>3795.0</v>
      </c>
      <c r="Q104" s="55"/>
      <c r="R104" s="94">
        <v>3795.0</v>
      </c>
      <c r="S104" s="100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>
      <c r="A105" s="2"/>
      <c r="B105" s="52">
        <v>6.0</v>
      </c>
      <c r="C105" s="53">
        <v>1.004782558E9</v>
      </c>
      <c r="D105" s="54">
        <v>46088.0</v>
      </c>
      <c r="E105" s="53" t="s">
        <v>51</v>
      </c>
      <c r="F105" s="53" t="s">
        <v>44</v>
      </c>
      <c r="G105" s="55"/>
      <c r="H105" s="55"/>
      <c r="I105" s="55"/>
      <c r="J105" s="55"/>
      <c r="K105" s="53" t="s">
        <v>45</v>
      </c>
      <c r="L105" s="53" t="s">
        <v>53</v>
      </c>
      <c r="M105" s="53">
        <v>1858.0</v>
      </c>
      <c r="N105" s="53">
        <v>230.0</v>
      </c>
      <c r="O105" s="53">
        <v>16.5</v>
      </c>
      <c r="P105" s="53">
        <v>3795.0</v>
      </c>
      <c r="Q105" s="55"/>
      <c r="R105" s="53">
        <v>3795.0</v>
      </c>
      <c r="S105" s="100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>
      <c r="A106" s="2"/>
      <c r="B106" s="52">
        <v>7.0</v>
      </c>
      <c r="C106" s="53">
        <v>1.004781911E9</v>
      </c>
      <c r="D106" s="54">
        <v>46088.0</v>
      </c>
      <c r="E106" s="53" t="s">
        <v>51</v>
      </c>
      <c r="F106" s="53" t="s">
        <v>44</v>
      </c>
      <c r="G106" s="53"/>
      <c r="H106" s="53"/>
      <c r="I106" s="55"/>
      <c r="J106" s="55"/>
      <c r="K106" s="53" t="s">
        <v>45</v>
      </c>
      <c r="L106" s="53" t="s">
        <v>54</v>
      </c>
      <c r="M106" s="53">
        <v>1590.0</v>
      </c>
      <c r="N106" s="53">
        <v>230.0</v>
      </c>
      <c r="O106" s="53">
        <v>16.5</v>
      </c>
      <c r="P106" s="53">
        <v>3795.0</v>
      </c>
      <c r="Q106" s="55"/>
      <c r="R106" s="53">
        <v>3795.0</v>
      </c>
      <c r="S106" s="100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>
      <c r="A107" s="2"/>
      <c r="B107" s="52">
        <v>8.0</v>
      </c>
      <c r="C107" s="53">
        <v>1.004782424E9</v>
      </c>
      <c r="D107" s="54">
        <v>46088.0</v>
      </c>
      <c r="E107" s="53" t="s">
        <v>51</v>
      </c>
      <c r="F107" s="53" t="s">
        <v>44</v>
      </c>
      <c r="G107" s="53"/>
      <c r="H107" s="53"/>
      <c r="I107" s="55"/>
      <c r="J107" s="55"/>
      <c r="K107" s="53" t="s">
        <v>45</v>
      </c>
      <c r="L107" s="53" t="s">
        <v>52</v>
      </c>
      <c r="M107" s="53">
        <v>1660.0</v>
      </c>
      <c r="N107" s="53">
        <v>230.0</v>
      </c>
      <c r="O107" s="53">
        <v>16.5</v>
      </c>
      <c r="P107" s="53">
        <v>3795.0</v>
      </c>
      <c r="Q107" s="55"/>
      <c r="R107" s="53">
        <v>3795.0</v>
      </c>
      <c r="S107" s="100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>
      <c r="A108" s="2"/>
      <c r="B108" s="52">
        <v>9.0</v>
      </c>
      <c r="C108" s="53">
        <v>1.004781226E9</v>
      </c>
      <c r="D108" s="54">
        <v>46060.0</v>
      </c>
      <c r="E108" s="53" t="s">
        <v>77</v>
      </c>
      <c r="F108" s="53" t="s">
        <v>78</v>
      </c>
      <c r="G108" s="53"/>
      <c r="H108" s="53"/>
      <c r="I108" s="55"/>
      <c r="J108" s="55"/>
      <c r="K108" s="53" t="s">
        <v>38</v>
      </c>
      <c r="L108" s="53" t="s">
        <v>89</v>
      </c>
      <c r="M108" s="53">
        <v>1985.0</v>
      </c>
      <c r="N108" s="53">
        <v>266.0</v>
      </c>
      <c r="O108" s="53">
        <v>20.39</v>
      </c>
      <c r="P108" s="53">
        <v>5423.74</v>
      </c>
      <c r="Q108" s="53">
        <v>505.0</v>
      </c>
      <c r="R108" s="94">
        <v>5928.74</v>
      </c>
      <c r="S108" s="100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>
      <c r="A109" s="2"/>
      <c r="B109" s="52">
        <v>10.0</v>
      </c>
      <c r="C109" s="53">
        <v>1.004782586E9</v>
      </c>
      <c r="D109" s="54">
        <v>46088.0</v>
      </c>
      <c r="E109" s="53" t="s">
        <v>61</v>
      </c>
      <c r="F109" s="53" t="s">
        <v>74</v>
      </c>
      <c r="G109" s="53" t="s">
        <v>62</v>
      </c>
      <c r="H109" s="53" t="s">
        <v>75</v>
      </c>
      <c r="I109" s="55"/>
      <c r="J109" s="55"/>
      <c r="K109" s="53" t="s">
        <v>33</v>
      </c>
      <c r="L109" s="53" t="s">
        <v>111</v>
      </c>
      <c r="M109" s="53">
        <v>1996.0</v>
      </c>
      <c r="N109" s="53">
        <v>430.0</v>
      </c>
      <c r="O109" s="53">
        <v>16.5</v>
      </c>
      <c r="P109" s="53">
        <v>7095.0</v>
      </c>
      <c r="Q109" s="53">
        <v>820.0</v>
      </c>
      <c r="R109" s="94">
        <v>7915.0</v>
      </c>
      <c r="S109" s="100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>
      <c r="A110" s="2"/>
      <c r="B110" s="8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5"/>
      <c r="S110" s="100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>
      <c r="A111" s="2"/>
      <c r="B111" s="67" t="s">
        <v>64</v>
      </c>
      <c r="C111" s="68"/>
      <c r="D111" s="69" t="str">
        <f>MONEYTEXT(R111, "INR")</f>
        <v>Forty-three thousand six hundred fourteen Indian rupees and forty-four paise</v>
      </c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76"/>
      <c r="P111" s="70" t="s">
        <v>65</v>
      </c>
      <c r="Q111" s="4"/>
      <c r="R111" s="96">
        <f>SUM(R100:R109)</f>
        <v>43614.44</v>
      </c>
      <c r="S111" s="100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>
      <c r="A112" s="2"/>
      <c r="B112" s="67" t="s">
        <v>66</v>
      </c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76"/>
      <c r="P112" s="97" t="s">
        <v>67</v>
      </c>
      <c r="Q112" s="31"/>
      <c r="R112" s="32"/>
      <c r="S112" s="10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>
      <c r="A113" s="2"/>
      <c r="B113" s="79" t="s">
        <v>68</v>
      </c>
      <c r="P113" s="27"/>
      <c r="Q113" s="27"/>
      <c r="R113" s="83"/>
      <c r="S113" s="10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>
      <c r="A114" s="2"/>
      <c r="B114" s="79" t="s">
        <v>70</v>
      </c>
      <c r="P114" s="27"/>
      <c r="Q114" s="27"/>
      <c r="R114" s="83"/>
      <c r="S114" s="10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>
      <c r="A115" s="2"/>
      <c r="B115" s="8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5"/>
      <c r="S115" s="104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>
      <c r="A116" s="2"/>
      <c r="B116" s="8"/>
      <c r="C116" s="6"/>
      <c r="D116" s="6"/>
      <c r="E116" s="6"/>
      <c r="F116" s="6"/>
      <c r="G116" s="6"/>
      <c r="H116" s="6"/>
      <c r="I116" s="6"/>
      <c r="J116" s="6"/>
      <c r="K116" s="19" t="s">
        <v>71</v>
      </c>
      <c r="L116" s="6"/>
      <c r="M116" s="6"/>
      <c r="N116" s="6"/>
      <c r="O116" s="6"/>
      <c r="P116" s="9" t="s">
        <v>72</v>
      </c>
      <c r="R116" s="10"/>
      <c r="S116" s="10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>
      <c r="A117" s="2"/>
      <c r="B117" s="88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89"/>
      <c r="S117" s="100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>
      <c r="A118" s="2"/>
      <c r="B118" s="6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>
      <c r="A119" s="2"/>
      <c r="B119" s="6"/>
      <c r="C119" s="100"/>
      <c r="D119" s="100"/>
      <c r="E119" s="100"/>
      <c r="F119" s="100"/>
      <c r="G119" s="100"/>
      <c r="H119" s="100"/>
      <c r="I119" s="100"/>
      <c r="J119" s="100"/>
      <c r="K119" s="100"/>
      <c r="L119" s="104"/>
      <c r="M119" s="100"/>
      <c r="N119" s="100"/>
      <c r="O119" s="100"/>
      <c r="P119" s="100"/>
      <c r="Q119" s="104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>
      <c r="A120" s="2"/>
      <c r="B120" s="6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>
      <c r="A121" s="2"/>
      <c r="B121" s="3" t="s">
        <v>1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5"/>
      <c r="S121" s="6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>
      <c r="A122" s="2"/>
      <c r="B122" s="8"/>
      <c r="F122" s="9"/>
      <c r="G122" s="9"/>
      <c r="H122" s="9"/>
      <c r="I122" s="9"/>
      <c r="J122" s="9" t="s">
        <v>2</v>
      </c>
      <c r="N122" s="6"/>
      <c r="R122" s="10"/>
      <c r="S122" s="6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>
      <c r="A123" s="2"/>
      <c r="B123" s="13"/>
      <c r="F123" s="9"/>
      <c r="G123" s="9"/>
      <c r="H123" s="9"/>
      <c r="I123" s="9"/>
      <c r="J123" s="9" t="s">
        <v>3</v>
      </c>
      <c r="N123" s="6"/>
      <c r="R123" s="10"/>
      <c r="S123" s="6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>
      <c r="A124" s="2"/>
      <c r="B124" s="13" t="s">
        <v>4</v>
      </c>
      <c r="R124" s="10"/>
      <c r="S124" s="6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>
      <c r="A125" s="2"/>
      <c r="B125" s="16" t="s">
        <v>5</v>
      </c>
      <c r="C125" s="17" t="s">
        <v>6</v>
      </c>
      <c r="D125" s="4"/>
      <c r="E125" s="4"/>
      <c r="F125" s="4"/>
      <c r="G125" s="4"/>
      <c r="H125" s="4"/>
      <c r="I125" s="4"/>
      <c r="J125" s="4"/>
      <c r="K125" s="5"/>
      <c r="L125" s="18" t="s">
        <v>7</v>
      </c>
      <c r="M125" s="19">
        <v>5.0</v>
      </c>
      <c r="N125" s="20"/>
      <c r="O125" s="4"/>
      <c r="P125" s="4"/>
      <c r="Q125" s="4"/>
      <c r="R125" s="5"/>
      <c r="S125" s="6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>
      <c r="A126" s="2"/>
      <c r="B126" s="26"/>
      <c r="C126" s="27" t="s">
        <v>8</v>
      </c>
      <c r="K126" s="10"/>
      <c r="L126" s="18" t="s">
        <v>9</v>
      </c>
      <c r="M126" s="9" t="s">
        <v>10</v>
      </c>
      <c r="N126" s="6"/>
      <c r="R126" s="10"/>
      <c r="S126" s="6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>
      <c r="A127" s="2"/>
      <c r="B127" s="16" t="s">
        <v>11</v>
      </c>
      <c r="C127" s="30" t="s">
        <v>12</v>
      </c>
      <c r="D127" s="31"/>
      <c r="E127" s="31"/>
      <c r="F127" s="31"/>
      <c r="G127" s="31"/>
      <c r="H127" s="31"/>
      <c r="I127" s="31"/>
      <c r="J127" s="31"/>
      <c r="K127" s="32"/>
      <c r="L127" s="18" t="s">
        <v>13</v>
      </c>
      <c r="M127" s="33" t="s">
        <v>14</v>
      </c>
      <c r="N127" s="34"/>
      <c r="O127" s="31"/>
      <c r="P127" s="31"/>
      <c r="Q127" s="31"/>
      <c r="R127" s="32"/>
      <c r="S127" s="6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>
      <c r="A128" s="2"/>
      <c r="B128" s="8"/>
      <c r="R128" s="10"/>
      <c r="S128" s="6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>
      <c r="A129" s="2"/>
      <c r="B129" s="39" t="s">
        <v>15</v>
      </c>
      <c r="C129" s="40" t="s">
        <v>16</v>
      </c>
      <c r="D129" s="41" t="s">
        <v>17</v>
      </c>
      <c r="E129" s="41" t="s">
        <v>18</v>
      </c>
      <c r="F129" s="42" t="s">
        <v>19</v>
      </c>
      <c r="G129" s="43"/>
      <c r="H129" s="43"/>
      <c r="I129" s="43"/>
      <c r="J129" s="44"/>
      <c r="K129" s="41" t="s">
        <v>20</v>
      </c>
      <c r="L129" s="41" t="s">
        <v>21</v>
      </c>
      <c r="M129" s="41" t="s">
        <v>22</v>
      </c>
      <c r="N129" s="41" t="s">
        <v>23</v>
      </c>
      <c r="O129" s="41" t="s">
        <v>24</v>
      </c>
      <c r="P129" s="41" t="s">
        <v>25</v>
      </c>
      <c r="Q129" s="41" t="s">
        <v>26</v>
      </c>
      <c r="R129" s="45" t="s">
        <v>27</v>
      </c>
      <c r="S129" s="6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>
      <c r="A130" s="2"/>
      <c r="B130" s="52">
        <v>1.0</v>
      </c>
      <c r="C130" s="53">
        <v>1.004782585E9</v>
      </c>
      <c r="D130" s="54">
        <v>46088.0</v>
      </c>
      <c r="E130" s="53" t="s">
        <v>61</v>
      </c>
      <c r="F130" s="53" t="s">
        <v>73</v>
      </c>
      <c r="G130" s="53" t="s">
        <v>75</v>
      </c>
      <c r="H130" s="53"/>
      <c r="I130" s="55"/>
      <c r="J130" s="55"/>
      <c r="K130" s="53" t="s">
        <v>38</v>
      </c>
      <c r="L130" s="53" t="s">
        <v>76</v>
      </c>
      <c r="M130" s="53">
        <v>3214.0</v>
      </c>
      <c r="N130" s="53">
        <v>560.0</v>
      </c>
      <c r="O130" s="53">
        <v>20.39</v>
      </c>
      <c r="P130" s="53">
        <v>11418.4</v>
      </c>
      <c r="Q130" s="53">
        <v>1085.0</v>
      </c>
      <c r="R130" s="94">
        <v>12503.4</v>
      </c>
      <c r="S130" s="6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>
      <c r="A131" s="2"/>
      <c r="B131" s="52">
        <v>2.0</v>
      </c>
      <c r="C131" s="53">
        <v>1.004782816E9</v>
      </c>
      <c r="D131" s="54">
        <v>46088.0</v>
      </c>
      <c r="E131" s="53" t="s">
        <v>100</v>
      </c>
      <c r="F131" s="53" t="s">
        <v>83</v>
      </c>
      <c r="G131" s="53" t="s">
        <v>86</v>
      </c>
      <c r="H131" s="53" t="s">
        <v>87</v>
      </c>
      <c r="I131" s="53" t="s">
        <v>84</v>
      </c>
      <c r="J131" s="55"/>
      <c r="K131" s="53" t="s">
        <v>80</v>
      </c>
      <c r="L131" s="53" t="s">
        <v>95</v>
      </c>
      <c r="M131" s="53">
        <v>2686.0</v>
      </c>
      <c r="N131" s="53">
        <v>428.0</v>
      </c>
      <c r="O131" s="53">
        <v>19.39</v>
      </c>
      <c r="P131" s="53">
        <v>8298.92</v>
      </c>
      <c r="Q131" s="53"/>
      <c r="R131" s="53">
        <v>8298.92</v>
      </c>
      <c r="S131" s="6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>
      <c r="A132" s="2"/>
      <c r="B132" s="52">
        <v>3.0</v>
      </c>
      <c r="C132" s="53">
        <v>1.004782808E9</v>
      </c>
      <c r="D132" s="54">
        <v>46088.0</v>
      </c>
      <c r="E132" s="53" t="s">
        <v>77</v>
      </c>
      <c r="F132" s="53" t="s">
        <v>78</v>
      </c>
      <c r="G132" s="53" t="s">
        <v>79</v>
      </c>
      <c r="H132" s="55"/>
      <c r="I132" s="55"/>
      <c r="J132" s="55"/>
      <c r="K132" s="53" t="s">
        <v>38</v>
      </c>
      <c r="L132" s="53" t="s">
        <v>81</v>
      </c>
      <c r="M132" s="53">
        <v>3563.0</v>
      </c>
      <c r="N132" s="53">
        <v>416.0</v>
      </c>
      <c r="O132" s="53">
        <v>20.39</v>
      </c>
      <c r="P132" s="53">
        <v>8482.24</v>
      </c>
      <c r="Q132" s="53">
        <v>505.0</v>
      </c>
      <c r="R132" s="94">
        <v>8987.24</v>
      </c>
      <c r="S132" s="6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>
      <c r="A133" s="2"/>
      <c r="B133" s="52">
        <v>4.0</v>
      </c>
      <c r="C133" s="53">
        <v>1.004783626E9</v>
      </c>
      <c r="D133" s="54">
        <v>46119.0</v>
      </c>
      <c r="E133" s="53" t="s">
        <v>28</v>
      </c>
      <c r="F133" s="53" t="s">
        <v>29</v>
      </c>
      <c r="G133" s="53" t="s">
        <v>30</v>
      </c>
      <c r="H133" s="53" t="s">
        <v>31</v>
      </c>
      <c r="I133" s="53" t="s">
        <v>32</v>
      </c>
      <c r="J133" s="55"/>
      <c r="K133" s="53" t="s">
        <v>80</v>
      </c>
      <c r="L133" s="53" t="s">
        <v>34</v>
      </c>
      <c r="M133" s="53">
        <v>2736.0</v>
      </c>
      <c r="N133" s="53">
        <v>246.0</v>
      </c>
      <c r="O133" s="53">
        <v>19.39</v>
      </c>
      <c r="P133" s="53">
        <v>4769.94</v>
      </c>
      <c r="Q133" s="53"/>
      <c r="R133" s="53">
        <v>4769.94</v>
      </c>
      <c r="S133" s="6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>
      <c r="A134" s="2"/>
      <c r="B134" s="52">
        <v>5.0</v>
      </c>
      <c r="C134" s="53">
        <v>1.004783251E9</v>
      </c>
      <c r="D134" s="54">
        <v>46119.0</v>
      </c>
      <c r="E134" s="53" t="s">
        <v>35</v>
      </c>
      <c r="F134" s="53" t="s">
        <v>36</v>
      </c>
      <c r="G134" s="53" t="s">
        <v>40</v>
      </c>
      <c r="H134" s="53"/>
      <c r="I134" s="55"/>
      <c r="J134" s="55"/>
      <c r="K134" s="53" t="s">
        <v>38</v>
      </c>
      <c r="L134" s="53" t="s">
        <v>96</v>
      </c>
      <c r="M134" s="53">
        <v>3359.0</v>
      </c>
      <c r="N134" s="53">
        <v>150.0</v>
      </c>
      <c r="O134" s="53">
        <v>20.39</v>
      </c>
      <c r="P134" s="53">
        <v>3058.5</v>
      </c>
      <c r="Q134" s="55"/>
      <c r="R134" s="94">
        <v>3058.5</v>
      </c>
      <c r="S134" s="6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>
      <c r="A135" s="2"/>
      <c r="B135" s="52">
        <v>6.0</v>
      </c>
      <c r="C135" s="53">
        <v>1.004783245E9</v>
      </c>
      <c r="D135" s="54">
        <v>46119.0</v>
      </c>
      <c r="E135" s="53" t="s">
        <v>35</v>
      </c>
      <c r="F135" s="53" t="s">
        <v>36</v>
      </c>
      <c r="G135" s="53" t="s">
        <v>37</v>
      </c>
      <c r="H135" s="55"/>
      <c r="I135" s="55"/>
      <c r="J135" s="55"/>
      <c r="K135" s="53" t="s">
        <v>38</v>
      </c>
      <c r="L135" s="53" t="s">
        <v>97</v>
      </c>
      <c r="M135" s="53">
        <v>3280.0</v>
      </c>
      <c r="N135" s="53">
        <v>200.0</v>
      </c>
      <c r="O135" s="53">
        <v>20.39</v>
      </c>
      <c r="P135" s="53">
        <v>4078.0</v>
      </c>
      <c r="Q135" s="55"/>
      <c r="R135" s="94">
        <v>4078.0</v>
      </c>
      <c r="S135" s="6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>
      <c r="A136" s="2"/>
      <c r="B136" s="52">
        <v>7.0</v>
      </c>
      <c r="C136" s="53">
        <v>1.004783256E9</v>
      </c>
      <c r="D136" s="54">
        <v>46119.0</v>
      </c>
      <c r="E136" s="53" t="s">
        <v>35</v>
      </c>
      <c r="F136" s="53" t="s">
        <v>36</v>
      </c>
      <c r="G136" s="53"/>
      <c r="H136" s="53"/>
      <c r="I136" s="55"/>
      <c r="J136" s="55"/>
      <c r="K136" s="53" t="s">
        <v>80</v>
      </c>
      <c r="L136" s="53" t="s">
        <v>41</v>
      </c>
      <c r="M136" s="53">
        <v>2713.0</v>
      </c>
      <c r="N136" s="53">
        <v>130.0</v>
      </c>
      <c r="O136" s="53">
        <v>19.39</v>
      </c>
      <c r="P136" s="53">
        <v>2520.7</v>
      </c>
      <c r="Q136" s="55"/>
      <c r="R136" s="94">
        <v>2520.7</v>
      </c>
      <c r="S136" s="6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>
      <c r="A137" s="2"/>
      <c r="B137" s="52">
        <v>8.0</v>
      </c>
      <c r="C137" s="53">
        <v>1.004784086E9</v>
      </c>
      <c r="D137" s="54">
        <v>46119.0</v>
      </c>
      <c r="E137" s="53" t="s">
        <v>35</v>
      </c>
      <c r="F137" s="53" t="s">
        <v>36</v>
      </c>
      <c r="G137" s="53"/>
      <c r="H137" s="53"/>
      <c r="I137" s="55"/>
      <c r="J137" s="55"/>
      <c r="K137" s="53" t="s">
        <v>80</v>
      </c>
      <c r="L137" s="53" t="s">
        <v>85</v>
      </c>
      <c r="M137" s="53">
        <v>2734.0</v>
      </c>
      <c r="N137" s="53">
        <v>130.0</v>
      </c>
      <c r="O137" s="53">
        <v>19.39</v>
      </c>
      <c r="P137" s="53">
        <v>2520.7</v>
      </c>
      <c r="Q137" s="55"/>
      <c r="R137" s="53">
        <v>2520.7</v>
      </c>
      <c r="S137" s="6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>
      <c r="A138" s="2"/>
      <c r="B138" s="52">
        <v>9.0</v>
      </c>
      <c r="C138" s="53">
        <v>1.004783768E9</v>
      </c>
      <c r="D138" s="54">
        <v>46119.0</v>
      </c>
      <c r="E138" s="53" t="s">
        <v>47</v>
      </c>
      <c r="F138" s="53" t="s">
        <v>48</v>
      </c>
      <c r="G138" s="53" t="s">
        <v>44</v>
      </c>
      <c r="H138" s="53"/>
      <c r="I138" s="55"/>
      <c r="J138" s="55"/>
      <c r="K138" s="53" t="s">
        <v>45</v>
      </c>
      <c r="L138" s="53" t="s">
        <v>98</v>
      </c>
      <c r="M138" s="53">
        <v>1537.0</v>
      </c>
      <c r="N138" s="53">
        <v>250.0</v>
      </c>
      <c r="O138" s="53">
        <v>16.5</v>
      </c>
      <c r="P138" s="53">
        <v>4125.0</v>
      </c>
      <c r="Q138" s="53"/>
      <c r="R138" s="94">
        <v>4125.0</v>
      </c>
      <c r="S138" s="6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>
      <c r="A139" s="2"/>
      <c r="B139" s="52">
        <v>10.0</v>
      </c>
      <c r="C139" s="53">
        <v>1.004783778E9</v>
      </c>
      <c r="D139" s="54">
        <v>46119.0</v>
      </c>
      <c r="E139" s="53" t="s">
        <v>51</v>
      </c>
      <c r="F139" s="53" t="s">
        <v>44</v>
      </c>
      <c r="G139" s="53" t="s">
        <v>49</v>
      </c>
      <c r="H139" s="55"/>
      <c r="I139" s="55"/>
      <c r="J139" s="55"/>
      <c r="K139" s="53" t="s">
        <v>45</v>
      </c>
      <c r="L139" s="53" t="s">
        <v>50</v>
      </c>
      <c r="M139" s="53">
        <v>1584.0</v>
      </c>
      <c r="N139" s="53">
        <v>230.0</v>
      </c>
      <c r="O139" s="53">
        <v>16.5</v>
      </c>
      <c r="P139" s="53">
        <v>3795.0</v>
      </c>
      <c r="Q139" s="53"/>
      <c r="R139" s="94">
        <v>3795.0</v>
      </c>
      <c r="S139" s="6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>
      <c r="A140" s="2"/>
      <c r="B140" s="8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5"/>
      <c r="S140" s="6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>
      <c r="A141" s="2"/>
      <c r="B141" s="67" t="s">
        <v>64</v>
      </c>
      <c r="C141" s="68"/>
      <c r="D141" s="69" t="str">
        <f>MONEYTEXT(R141, "INR")</f>
        <v/>
      </c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76"/>
      <c r="P141" s="70" t="s">
        <v>65</v>
      </c>
      <c r="Q141" s="4"/>
      <c r="R141" s="96">
        <f>SUM(R130:R139)</f>
        <v>54657.4</v>
      </c>
      <c r="S141" s="6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>
      <c r="A142" s="2"/>
      <c r="B142" s="67" t="s">
        <v>66</v>
      </c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76"/>
      <c r="P142" s="97" t="s">
        <v>67</v>
      </c>
      <c r="Q142" s="31"/>
      <c r="R142" s="32"/>
      <c r="S142" s="6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>
      <c r="A143" s="2"/>
      <c r="B143" s="79" t="s">
        <v>68</v>
      </c>
      <c r="P143" s="27"/>
      <c r="Q143" s="27"/>
      <c r="R143" s="83"/>
      <c r="S143" s="6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>
      <c r="A144" s="2"/>
      <c r="B144" s="79" t="s">
        <v>70</v>
      </c>
      <c r="P144" s="27"/>
      <c r="Q144" s="27"/>
      <c r="R144" s="83"/>
      <c r="S144" s="6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>
      <c r="A145" s="2"/>
      <c r="B145" s="8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5"/>
      <c r="S145" s="6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>
      <c r="A146" s="2"/>
      <c r="B146" s="8"/>
      <c r="C146" s="6"/>
      <c r="D146" s="6"/>
      <c r="E146" s="6"/>
      <c r="F146" s="6"/>
      <c r="G146" s="6"/>
      <c r="H146" s="6"/>
      <c r="I146" s="6"/>
      <c r="J146" s="6"/>
      <c r="K146" s="19" t="s">
        <v>71</v>
      </c>
      <c r="L146" s="6"/>
      <c r="M146" s="6"/>
      <c r="N146" s="6"/>
      <c r="O146" s="6"/>
      <c r="P146" s="9" t="s">
        <v>72</v>
      </c>
      <c r="R146" s="10"/>
      <c r="S146" s="6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>
      <c r="A147" s="2"/>
      <c r="B147" s="88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89"/>
      <c r="S147" s="6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>
      <c r="A148" s="2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>
      <c r="A149" s="2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>
      <c r="A150" s="2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>
      <c r="A151" s="2"/>
      <c r="B151" s="3" t="s">
        <v>1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5"/>
      <c r="S151" s="6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>
      <c r="A152" s="2"/>
      <c r="B152" s="8"/>
      <c r="F152" s="9"/>
      <c r="G152" s="9"/>
      <c r="H152" s="9"/>
      <c r="I152" s="9"/>
      <c r="J152" s="9" t="s">
        <v>2</v>
      </c>
      <c r="N152" s="6"/>
      <c r="R152" s="10"/>
      <c r="S152" s="6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>
      <c r="A153" s="2"/>
      <c r="B153" s="13"/>
      <c r="F153" s="9"/>
      <c r="G153" s="9"/>
      <c r="H153" s="9"/>
      <c r="I153" s="9"/>
      <c r="J153" s="9" t="s">
        <v>3</v>
      </c>
      <c r="N153" s="6"/>
      <c r="R153" s="10"/>
      <c r="S153" s="6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>
      <c r="A154" s="2"/>
      <c r="B154" s="13" t="s">
        <v>4</v>
      </c>
      <c r="R154" s="10"/>
      <c r="S154" s="6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>
      <c r="A155" s="2"/>
      <c r="B155" s="16" t="s">
        <v>5</v>
      </c>
      <c r="C155" s="17" t="s">
        <v>6</v>
      </c>
      <c r="D155" s="4"/>
      <c r="E155" s="4"/>
      <c r="F155" s="4"/>
      <c r="G155" s="4"/>
      <c r="H155" s="4"/>
      <c r="I155" s="4"/>
      <c r="J155" s="4"/>
      <c r="K155" s="5"/>
      <c r="L155" s="18" t="s">
        <v>7</v>
      </c>
      <c r="M155" s="19">
        <v>6.0</v>
      </c>
      <c r="N155" s="20"/>
      <c r="O155" s="4"/>
      <c r="P155" s="4"/>
      <c r="Q155" s="4"/>
      <c r="R155" s="5"/>
      <c r="S155" s="6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>
      <c r="A156" s="2"/>
      <c r="B156" s="26"/>
      <c r="C156" s="27" t="s">
        <v>8</v>
      </c>
      <c r="K156" s="10"/>
      <c r="L156" s="18" t="s">
        <v>9</v>
      </c>
      <c r="M156" s="9" t="s">
        <v>10</v>
      </c>
      <c r="N156" s="6"/>
      <c r="R156" s="10"/>
      <c r="S156" s="6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>
      <c r="A157" s="2"/>
      <c r="B157" s="16" t="s">
        <v>11</v>
      </c>
      <c r="C157" s="30" t="s">
        <v>12</v>
      </c>
      <c r="D157" s="31"/>
      <c r="E157" s="31"/>
      <c r="F157" s="31"/>
      <c r="G157" s="31"/>
      <c r="H157" s="31"/>
      <c r="I157" s="31"/>
      <c r="J157" s="31"/>
      <c r="K157" s="32"/>
      <c r="L157" s="18" t="s">
        <v>13</v>
      </c>
      <c r="M157" s="33" t="s">
        <v>14</v>
      </c>
      <c r="N157" s="34"/>
      <c r="O157" s="31"/>
      <c r="P157" s="31"/>
      <c r="Q157" s="31"/>
      <c r="R157" s="32"/>
      <c r="S157" s="6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>
      <c r="A158" s="2"/>
      <c r="B158" s="8"/>
      <c r="R158" s="10"/>
      <c r="S158" s="6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>
      <c r="A159" s="2"/>
      <c r="B159" s="39" t="s">
        <v>15</v>
      </c>
      <c r="C159" s="40" t="s">
        <v>16</v>
      </c>
      <c r="D159" s="41" t="s">
        <v>17</v>
      </c>
      <c r="E159" s="41" t="s">
        <v>18</v>
      </c>
      <c r="F159" s="42" t="s">
        <v>19</v>
      </c>
      <c r="G159" s="43"/>
      <c r="H159" s="43"/>
      <c r="I159" s="43"/>
      <c r="J159" s="44"/>
      <c r="K159" s="41" t="s">
        <v>20</v>
      </c>
      <c r="L159" s="41" t="s">
        <v>21</v>
      </c>
      <c r="M159" s="41" t="s">
        <v>22</v>
      </c>
      <c r="N159" s="41" t="s">
        <v>23</v>
      </c>
      <c r="O159" s="41" t="s">
        <v>24</v>
      </c>
      <c r="P159" s="41" t="s">
        <v>25</v>
      </c>
      <c r="Q159" s="41" t="s">
        <v>26</v>
      </c>
      <c r="R159" s="45" t="s">
        <v>27</v>
      </c>
      <c r="S159" s="6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>
      <c r="A160" s="2"/>
      <c r="B160" s="52">
        <v>1.0</v>
      </c>
      <c r="C160" s="53">
        <v>1.004784374E9</v>
      </c>
      <c r="D160" s="54">
        <v>46119.0</v>
      </c>
      <c r="E160" s="53" t="s">
        <v>51</v>
      </c>
      <c r="F160" s="53" t="s">
        <v>44</v>
      </c>
      <c r="G160" s="53" t="s">
        <v>49</v>
      </c>
      <c r="H160" s="53"/>
      <c r="I160" s="55"/>
      <c r="J160" s="55"/>
      <c r="K160" s="53" t="s">
        <v>45</v>
      </c>
      <c r="L160" s="53" t="s">
        <v>52</v>
      </c>
      <c r="M160" s="53">
        <v>1592.0</v>
      </c>
      <c r="N160" s="53">
        <v>230.0</v>
      </c>
      <c r="O160" s="53">
        <v>16.5</v>
      </c>
      <c r="P160" s="53">
        <v>3795.0</v>
      </c>
      <c r="Q160" s="53"/>
      <c r="R160" s="94">
        <v>3795.0</v>
      </c>
      <c r="S160" s="6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>
      <c r="A161" s="2"/>
      <c r="B161" s="52">
        <v>2.0</v>
      </c>
      <c r="C161" s="53">
        <v>1.004784379E9</v>
      </c>
      <c r="D161" s="54">
        <v>46119.0</v>
      </c>
      <c r="E161" s="53" t="s">
        <v>51</v>
      </c>
      <c r="F161" s="53" t="s">
        <v>44</v>
      </c>
      <c r="G161" s="53"/>
      <c r="H161" s="53"/>
      <c r="I161" s="55"/>
      <c r="J161" s="55"/>
      <c r="K161" s="53" t="s">
        <v>45</v>
      </c>
      <c r="L161" s="53" t="s">
        <v>99</v>
      </c>
      <c r="M161" s="53">
        <v>1424.0</v>
      </c>
      <c r="N161" s="53">
        <v>230.0</v>
      </c>
      <c r="O161" s="53">
        <v>16.5</v>
      </c>
      <c r="P161" s="53">
        <v>3795.0</v>
      </c>
      <c r="Q161" s="55"/>
      <c r="R161" s="94">
        <v>3795.0</v>
      </c>
      <c r="S161" s="6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>
      <c r="A162" s="2"/>
      <c r="B162" s="52">
        <v>3.0</v>
      </c>
      <c r="C162" s="53">
        <v>1.004783281E9</v>
      </c>
      <c r="D162" s="54">
        <v>46119.0</v>
      </c>
      <c r="E162" s="53" t="s">
        <v>51</v>
      </c>
      <c r="F162" s="53" t="s">
        <v>44</v>
      </c>
      <c r="G162" s="53"/>
      <c r="H162" s="55"/>
      <c r="I162" s="55"/>
      <c r="J162" s="55"/>
      <c r="K162" s="53" t="s">
        <v>45</v>
      </c>
      <c r="L162" s="53" t="s">
        <v>54</v>
      </c>
      <c r="M162" s="53">
        <v>1469.0</v>
      </c>
      <c r="N162" s="53">
        <v>230.0</v>
      </c>
      <c r="O162" s="53">
        <v>16.5</v>
      </c>
      <c r="P162" s="53">
        <v>3795.0</v>
      </c>
      <c r="Q162" s="55"/>
      <c r="R162" s="94">
        <v>3795.0</v>
      </c>
      <c r="S162" s="6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>
      <c r="A163" s="2"/>
      <c r="B163" s="52">
        <v>4.0</v>
      </c>
      <c r="C163" s="53">
        <v>1.004783759E9</v>
      </c>
      <c r="D163" s="54">
        <v>46119.0</v>
      </c>
      <c r="E163" s="53" t="s">
        <v>51</v>
      </c>
      <c r="F163" s="53" t="s">
        <v>44</v>
      </c>
      <c r="G163" s="53"/>
      <c r="H163" s="55"/>
      <c r="I163" s="55"/>
      <c r="J163" s="55"/>
      <c r="K163" s="53" t="s">
        <v>45</v>
      </c>
      <c r="L163" s="53" t="s">
        <v>112</v>
      </c>
      <c r="M163" s="53">
        <v>1508.0</v>
      </c>
      <c r="N163" s="53">
        <v>230.0</v>
      </c>
      <c r="O163" s="53">
        <v>16.5</v>
      </c>
      <c r="P163" s="53">
        <v>3795.0</v>
      </c>
      <c r="Q163" s="55"/>
      <c r="R163" s="94">
        <v>3795.0</v>
      </c>
      <c r="S163" s="6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>
      <c r="A164" s="2"/>
      <c r="B164" s="52">
        <v>5.0</v>
      </c>
      <c r="C164" s="53">
        <v>1.004784505E9</v>
      </c>
      <c r="D164" s="54">
        <v>46119.0</v>
      </c>
      <c r="E164" s="53" t="s">
        <v>106</v>
      </c>
      <c r="F164" s="53" t="s">
        <v>107</v>
      </c>
      <c r="G164" s="53" t="s">
        <v>108</v>
      </c>
      <c r="H164" s="53" t="s">
        <v>109</v>
      </c>
      <c r="I164" s="55"/>
      <c r="J164" s="55"/>
      <c r="K164" s="53" t="s">
        <v>38</v>
      </c>
      <c r="L164" s="53" t="s">
        <v>110</v>
      </c>
      <c r="M164" s="53">
        <v>3384.0</v>
      </c>
      <c r="N164" s="53">
        <v>482.0</v>
      </c>
      <c r="O164" s="53">
        <v>20.39</v>
      </c>
      <c r="P164" s="53">
        <v>9827.98</v>
      </c>
      <c r="Q164" s="53">
        <v>1025.0</v>
      </c>
      <c r="R164" s="94">
        <v>10852.98</v>
      </c>
      <c r="S164" s="6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>
      <c r="A165" s="2"/>
      <c r="B165" s="52">
        <v>6.0</v>
      </c>
      <c r="C165" s="53">
        <v>1.004784736E9</v>
      </c>
      <c r="D165" s="54">
        <v>46119.0</v>
      </c>
      <c r="E165" s="53" t="s">
        <v>90</v>
      </c>
      <c r="F165" s="53" t="s">
        <v>91</v>
      </c>
      <c r="G165" s="53" t="s">
        <v>92</v>
      </c>
      <c r="H165" s="53" t="s">
        <v>93</v>
      </c>
      <c r="I165" s="53" t="s">
        <v>83</v>
      </c>
      <c r="J165" s="53" t="s">
        <v>94</v>
      </c>
      <c r="K165" s="53" t="s">
        <v>38</v>
      </c>
      <c r="L165" s="53" t="s">
        <v>102</v>
      </c>
      <c r="M165" s="53">
        <v>3380.0</v>
      </c>
      <c r="N165" s="53">
        <v>405.0</v>
      </c>
      <c r="O165" s="53">
        <v>20.39</v>
      </c>
      <c r="P165" s="53">
        <v>8257.95</v>
      </c>
      <c r="Q165" s="53">
        <v>500.0</v>
      </c>
      <c r="R165" s="94">
        <v>8757.95</v>
      </c>
      <c r="S165" s="6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>
      <c r="A166" s="2"/>
      <c r="B166" s="52">
        <v>7.0</v>
      </c>
      <c r="C166" s="53">
        <v>1.004784781E9</v>
      </c>
      <c r="D166" s="54">
        <v>46119.0</v>
      </c>
      <c r="E166" s="53" t="s">
        <v>55</v>
      </c>
      <c r="F166" s="53" t="s">
        <v>56</v>
      </c>
      <c r="G166" s="53" t="s">
        <v>58</v>
      </c>
      <c r="H166" s="53" t="s">
        <v>57</v>
      </c>
      <c r="I166" s="53" t="s">
        <v>103</v>
      </c>
      <c r="J166" s="53" t="s">
        <v>59</v>
      </c>
      <c r="K166" s="53" t="s">
        <v>80</v>
      </c>
      <c r="L166" s="53" t="s">
        <v>60</v>
      </c>
      <c r="M166" s="53">
        <v>2692.0</v>
      </c>
      <c r="N166" s="53">
        <v>572.0</v>
      </c>
      <c r="O166" s="53">
        <v>19.39</v>
      </c>
      <c r="P166" s="53">
        <v>11091.08</v>
      </c>
      <c r="Q166" s="53">
        <v>330.0</v>
      </c>
      <c r="R166" s="94">
        <v>11421.08</v>
      </c>
      <c r="S166" s="6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>
      <c r="A167" s="2"/>
      <c r="B167" s="52">
        <v>8.0</v>
      </c>
      <c r="C167" s="53">
        <v>1.004785263E9</v>
      </c>
      <c r="D167" s="54">
        <v>46180.0</v>
      </c>
      <c r="E167" s="53" t="s">
        <v>28</v>
      </c>
      <c r="F167" s="53" t="s">
        <v>29</v>
      </c>
      <c r="G167" s="53" t="s">
        <v>30</v>
      </c>
      <c r="H167" s="53" t="s">
        <v>31</v>
      </c>
      <c r="I167" s="53" t="s">
        <v>32</v>
      </c>
      <c r="J167" s="55"/>
      <c r="K167" s="53" t="s">
        <v>33</v>
      </c>
      <c r="L167" s="53" t="s">
        <v>34</v>
      </c>
      <c r="M167" s="53">
        <v>2024.0</v>
      </c>
      <c r="N167" s="53">
        <v>246.0</v>
      </c>
      <c r="O167" s="53">
        <v>16.5</v>
      </c>
      <c r="P167" s="53">
        <v>4059.0</v>
      </c>
      <c r="Q167" s="55"/>
      <c r="R167" s="94">
        <v>4059.0</v>
      </c>
      <c r="S167" s="6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>
      <c r="A168" s="2"/>
      <c r="B168" s="52">
        <v>9.0</v>
      </c>
      <c r="C168" s="53">
        <v>1.004785308E9</v>
      </c>
      <c r="D168" s="54">
        <v>46180.0</v>
      </c>
      <c r="E168" s="53" t="s">
        <v>35</v>
      </c>
      <c r="F168" s="53" t="s">
        <v>36</v>
      </c>
      <c r="G168" s="53" t="s">
        <v>40</v>
      </c>
      <c r="H168" s="53" t="s">
        <v>37</v>
      </c>
      <c r="I168" s="55"/>
      <c r="J168" s="55"/>
      <c r="K168" s="53" t="s">
        <v>38</v>
      </c>
      <c r="L168" s="53" t="s">
        <v>97</v>
      </c>
      <c r="M168" s="53">
        <v>3253.0</v>
      </c>
      <c r="N168" s="53">
        <v>200.0</v>
      </c>
      <c r="O168" s="53">
        <v>20.39</v>
      </c>
      <c r="P168" s="53">
        <v>4078.0</v>
      </c>
      <c r="Q168" s="53"/>
      <c r="R168" s="94">
        <v>4078.0</v>
      </c>
      <c r="S168" s="6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>
      <c r="A169" s="2"/>
      <c r="B169" s="52">
        <v>10.0</v>
      </c>
      <c r="C169" s="53">
        <v>1.004785478E9</v>
      </c>
      <c r="D169" s="54">
        <v>46180.0</v>
      </c>
      <c r="E169" s="53" t="s">
        <v>42</v>
      </c>
      <c r="F169" s="53" t="s">
        <v>43</v>
      </c>
      <c r="G169" s="53" t="s">
        <v>44</v>
      </c>
      <c r="H169" s="53"/>
      <c r="I169" s="55"/>
      <c r="J169" s="55"/>
      <c r="K169" s="53" t="s">
        <v>45</v>
      </c>
      <c r="L169" s="53" t="s">
        <v>98</v>
      </c>
      <c r="M169" s="53">
        <v>1673.0</v>
      </c>
      <c r="N169" s="53">
        <v>299.0</v>
      </c>
      <c r="O169" s="53">
        <v>16.5</v>
      </c>
      <c r="P169" s="53">
        <v>4933.5</v>
      </c>
      <c r="Q169" s="53"/>
      <c r="R169" s="94">
        <v>4933.5</v>
      </c>
      <c r="S169" s="6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>
      <c r="A170" s="2"/>
      <c r="B170" s="8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5"/>
      <c r="S170" s="6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>
      <c r="A171" s="2"/>
      <c r="B171" s="67" t="s">
        <v>64</v>
      </c>
      <c r="C171" s="68"/>
      <c r="D171" s="69" t="str">
        <f>MONEYTEXT(R171, "INR")</f>
        <v>Fifty-nine thousand two hundred eighty-two Indian rupees and fifty-one paise</v>
      </c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76"/>
      <c r="P171" s="70" t="s">
        <v>65</v>
      </c>
      <c r="Q171" s="4"/>
      <c r="R171" s="96">
        <f>SUM(R160:R169)</f>
        <v>59282.51</v>
      </c>
      <c r="S171" s="6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>
      <c r="A172" s="2"/>
      <c r="B172" s="67" t="s">
        <v>66</v>
      </c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76"/>
      <c r="P172" s="97" t="s">
        <v>67</v>
      </c>
      <c r="Q172" s="31"/>
      <c r="R172" s="32"/>
      <c r="S172" s="6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>
      <c r="A173" s="2"/>
      <c r="B173" s="79" t="s">
        <v>68</v>
      </c>
      <c r="P173" s="27"/>
      <c r="Q173" s="27"/>
      <c r="R173" s="83"/>
      <c r="S173" s="6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>
      <c r="A174" s="2"/>
      <c r="B174" s="79" t="s">
        <v>70</v>
      </c>
      <c r="P174" s="27"/>
      <c r="Q174" s="27"/>
      <c r="R174" s="83"/>
      <c r="S174" s="6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>
      <c r="A175" s="2"/>
      <c r="B175" s="8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5"/>
      <c r="S175" s="6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>
      <c r="A176" s="2"/>
      <c r="B176" s="8"/>
      <c r="C176" s="6"/>
      <c r="D176" s="6"/>
      <c r="E176" s="6"/>
      <c r="F176" s="6"/>
      <c r="G176" s="6"/>
      <c r="H176" s="6"/>
      <c r="I176" s="6"/>
      <c r="J176" s="6"/>
      <c r="K176" s="19" t="s">
        <v>71</v>
      </c>
      <c r="L176" s="6"/>
      <c r="M176" s="6"/>
      <c r="N176" s="6"/>
      <c r="O176" s="6"/>
      <c r="P176" s="9" t="s">
        <v>72</v>
      </c>
      <c r="R176" s="10"/>
      <c r="S176" s="6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>
      <c r="A177" s="2"/>
      <c r="B177" s="88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89"/>
      <c r="S177" s="6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>
      <c r="A178" s="2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>
      <c r="A179" s="2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>
      <c r="A180" s="2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>
      <c r="A181" s="2"/>
      <c r="B181" s="3" t="s">
        <v>1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5"/>
      <c r="S181" s="6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>
      <c r="A182" s="2"/>
      <c r="B182" s="8"/>
      <c r="F182" s="9"/>
      <c r="G182" s="9"/>
      <c r="H182" s="9"/>
      <c r="I182" s="9"/>
      <c r="J182" s="9" t="s">
        <v>2</v>
      </c>
      <c r="N182" s="6"/>
      <c r="R182" s="10"/>
      <c r="S182" s="6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>
      <c r="A183" s="2"/>
      <c r="B183" s="13"/>
      <c r="F183" s="9"/>
      <c r="G183" s="9"/>
      <c r="H183" s="9"/>
      <c r="I183" s="9"/>
      <c r="J183" s="9" t="s">
        <v>3</v>
      </c>
      <c r="N183" s="6"/>
      <c r="R183" s="10"/>
      <c r="S183" s="6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>
      <c r="A184" s="2"/>
      <c r="B184" s="13" t="s">
        <v>4</v>
      </c>
      <c r="R184" s="10"/>
      <c r="S184" s="6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>
      <c r="A185" s="2"/>
      <c r="B185" s="16" t="s">
        <v>5</v>
      </c>
      <c r="C185" s="17" t="s">
        <v>6</v>
      </c>
      <c r="D185" s="4"/>
      <c r="E185" s="4"/>
      <c r="F185" s="4"/>
      <c r="G185" s="4"/>
      <c r="H185" s="4"/>
      <c r="I185" s="4"/>
      <c r="J185" s="4"/>
      <c r="K185" s="5"/>
      <c r="L185" s="18" t="s">
        <v>7</v>
      </c>
      <c r="M185" s="19">
        <v>7.0</v>
      </c>
      <c r="N185" s="20"/>
      <c r="O185" s="4"/>
      <c r="P185" s="4"/>
      <c r="Q185" s="4"/>
      <c r="R185" s="5"/>
      <c r="S185" s="6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>
      <c r="A186" s="2"/>
      <c r="B186" s="26"/>
      <c r="C186" s="27" t="s">
        <v>8</v>
      </c>
      <c r="K186" s="10"/>
      <c r="L186" s="18" t="s">
        <v>9</v>
      </c>
      <c r="M186" s="9" t="s">
        <v>10</v>
      </c>
      <c r="N186" s="6"/>
      <c r="R186" s="10"/>
      <c r="S186" s="6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>
      <c r="A187" s="2"/>
      <c r="B187" s="16" t="s">
        <v>11</v>
      </c>
      <c r="C187" s="30" t="s">
        <v>12</v>
      </c>
      <c r="D187" s="31"/>
      <c r="E187" s="31"/>
      <c r="F187" s="31"/>
      <c r="G187" s="31"/>
      <c r="H187" s="31"/>
      <c r="I187" s="31"/>
      <c r="J187" s="31"/>
      <c r="K187" s="32"/>
      <c r="L187" s="18" t="s">
        <v>13</v>
      </c>
      <c r="M187" s="33" t="s">
        <v>14</v>
      </c>
      <c r="N187" s="34"/>
      <c r="O187" s="31"/>
      <c r="P187" s="31"/>
      <c r="Q187" s="31"/>
      <c r="R187" s="32"/>
      <c r="S187" s="6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>
      <c r="A188" s="2"/>
      <c r="B188" s="8"/>
      <c r="R188" s="10"/>
      <c r="S188" s="6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>
      <c r="A189" s="2"/>
      <c r="B189" s="39" t="s">
        <v>15</v>
      </c>
      <c r="C189" s="40" t="s">
        <v>16</v>
      </c>
      <c r="D189" s="41" t="s">
        <v>17</v>
      </c>
      <c r="E189" s="41" t="s">
        <v>18</v>
      </c>
      <c r="F189" s="42" t="s">
        <v>19</v>
      </c>
      <c r="G189" s="43"/>
      <c r="H189" s="43"/>
      <c r="I189" s="43"/>
      <c r="J189" s="44"/>
      <c r="K189" s="41" t="s">
        <v>20</v>
      </c>
      <c r="L189" s="41" t="s">
        <v>21</v>
      </c>
      <c r="M189" s="41" t="s">
        <v>22</v>
      </c>
      <c r="N189" s="41" t="s">
        <v>23</v>
      </c>
      <c r="O189" s="41" t="s">
        <v>24</v>
      </c>
      <c r="P189" s="41" t="s">
        <v>25</v>
      </c>
      <c r="Q189" s="41" t="s">
        <v>26</v>
      </c>
      <c r="R189" s="45" t="s">
        <v>27</v>
      </c>
      <c r="S189" s="6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>
      <c r="A190" s="2"/>
      <c r="B190" s="52">
        <v>1.0</v>
      </c>
      <c r="C190" s="53">
        <v>1.004785486E9</v>
      </c>
      <c r="D190" s="54">
        <v>46180.0</v>
      </c>
      <c r="E190" s="53" t="s">
        <v>51</v>
      </c>
      <c r="F190" s="53" t="s">
        <v>44</v>
      </c>
      <c r="G190" s="53"/>
      <c r="H190" s="53"/>
      <c r="I190" s="55"/>
      <c r="J190" s="55"/>
      <c r="K190" s="53" t="s">
        <v>45</v>
      </c>
      <c r="L190" s="53" t="s">
        <v>50</v>
      </c>
      <c r="M190" s="53">
        <v>1675.0</v>
      </c>
      <c r="N190" s="53">
        <v>230.0</v>
      </c>
      <c r="O190" s="53">
        <v>16.5</v>
      </c>
      <c r="P190" s="53">
        <v>3795.0</v>
      </c>
      <c r="Q190" s="55"/>
      <c r="R190" s="94">
        <v>3795.0</v>
      </c>
      <c r="S190" s="6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>
      <c r="A191" s="2"/>
      <c r="B191" s="52">
        <v>2.0</v>
      </c>
      <c r="C191" s="53">
        <v>1.004785799E9</v>
      </c>
      <c r="D191" s="54">
        <v>46180.0</v>
      </c>
      <c r="E191" s="53" t="s">
        <v>51</v>
      </c>
      <c r="F191" s="53" t="s">
        <v>44</v>
      </c>
      <c r="G191" s="53"/>
      <c r="H191" s="55"/>
      <c r="I191" s="55"/>
      <c r="J191" s="55"/>
      <c r="K191" s="53" t="s">
        <v>45</v>
      </c>
      <c r="L191" s="53" t="s">
        <v>52</v>
      </c>
      <c r="M191" s="53">
        <v>1434.0</v>
      </c>
      <c r="N191" s="53">
        <v>230.0</v>
      </c>
      <c r="O191" s="53">
        <v>16.5</v>
      </c>
      <c r="P191" s="53">
        <v>3795.0</v>
      </c>
      <c r="Q191" s="55"/>
      <c r="R191" s="94">
        <v>3795.0</v>
      </c>
      <c r="S191" s="6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>
      <c r="A192" s="2"/>
      <c r="B192" s="52">
        <v>3.0</v>
      </c>
      <c r="C192" s="53">
        <v>1.004786227E9</v>
      </c>
      <c r="D192" s="54">
        <v>46180.0</v>
      </c>
      <c r="E192" s="53" t="s">
        <v>51</v>
      </c>
      <c r="F192" s="53" t="s">
        <v>44</v>
      </c>
      <c r="G192" s="53" t="s">
        <v>49</v>
      </c>
      <c r="H192" s="55"/>
      <c r="I192" s="55"/>
      <c r="J192" s="55"/>
      <c r="K192" s="53" t="s">
        <v>45</v>
      </c>
      <c r="L192" s="53" t="s">
        <v>53</v>
      </c>
      <c r="M192" s="53">
        <v>1657.0</v>
      </c>
      <c r="N192" s="53">
        <v>230.0</v>
      </c>
      <c r="O192" s="53">
        <v>16.5</v>
      </c>
      <c r="P192" s="53">
        <v>3795.0</v>
      </c>
      <c r="Q192" s="53"/>
      <c r="R192" s="94">
        <v>3795.0</v>
      </c>
      <c r="S192" s="6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>
      <c r="A193" s="2"/>
      <c r="B193" s="52">
        <v>4.0</v>
      </c>
      <c r="C193" s="53">
        <v>1.004785481E9</v>
      </c>
      <c r="D193" s="54">
        <v>46180.0</v>
      </c>
      <c r="E193" s="53" t="s">
        <v>51</v>
      </c>
      <c r="F193" s="53" t="s">
        <v>44</v>
      </c>
      <c r="G193" s="53"/>
      <c r="H193" s="55"/>
      <c r="I193" s="55"/>
      <c r="J193" s="55"/>
      <c r="K193" s="53" t="s">
        <v>45</v>
      </c>
      <c r="L193" s="53" t="s">
        <v>54</v>
      </c>
      <c r="M193" s="53">
        <v>1464.0</v>
      </c>
      <c r="N193" s="53">
        <v>230.0</v>
      </c>
      <c r="O193" s="53">
        <v>16.5</v>
      </c>
      <c r="P193" s="53">
        <v>3795.0</v>
      </c>
      <c r="Q193" s="55"/>
      <c r="R193" s="94">
        <v>3795.0</v>
      </c>
      <c r="S193" s="6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>
      <c r="A194" s="2"/>
      <c r="B194" s="52">
        <v>5.0</v>
      </c>
      <c r="C194" s="53">
        <v>1.004785795E9</v>
      </c>
      <c r="D194" s="54">
        <v>46180.0</v>
      </c>
      <c r="E194" s="53" t="s">
        <v>51</v>
      </c>
      <c r="F194" s="53" t="s">
        <v>44</v>
      </c>
      <c r="G194" s="53"/>
      <c r="H194" s="53"/>
      <c r="I194" s="55"/>
      <c r="J194" s="55"/>
      <c r="K194" s="53" t="s">
        <v>45</v>
      </c>
      <c r="L194" s="53" t="s">
        <v>112</v>
      </c>
      <c r="M194" s="53">
        <v>1444.0</v>
      </c>
      <c r="N194" s="53">
        <v>230.0</v>
      </c>
      <c r="O194" s="53">
        <v>16.5</v>
      </c>
      <c r="P194" s="53">
        <v>3795.0</v>
      </c>
      <c r="Q194" s="55"/>
      <c r="R194" s="94">
        <v>3795.0</v>
      </c>
      <c r="S194" s="6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>
      <c r="A195" s="2"/>
      <c r="B195" s="52">
        <v>6.0</v>
      </c>
      <c r="C195" s="53">
        <v>1.00478601E9</v>
      </c>
      <c r="D195" s="54">
        <v>46180.0</v>
      </c>
      <c r="E195" s="53" t="s">
        <v>51</v>
      </c>
      <c r="F195" s="53" t="s">
        <v>44</v>
      </c>
      <c r="G195" s="53"/>
      <c r="H195" s="53"/>
      <c r="I195" s="55"/>
      <c r="J195" s="55"/>
      <c r="K195" s="53" t="s">
        <v>45</v>
      </c>
      <c r="L195" s="53" t="s">
        <v>113</v>
      </c>
      <c r="M195" s="53">
        <v>1517.0</v>
      </c>
      <c r="N195" s="53">
        <v>230.0</v>
      </c>
      <c r="O195" s="53">
        <v>16.5</v>
      </c>
      <c r="P195" s="53">
        <v>3795.0</v>
      </c>
      <c r="Q195" s="53"/>
      <c r="R195" s="94">
        <v>3795.0</v>
      </c>
      <c r="S195" s="6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>
      <c r="A196" s="2"/>
      <c r="B196" s="52">
        <v>7.0</v>
      </c>
      <c r="C196" s="53">
        <v>1.004786009E9</v>
      </c>
      <c r="D196" s="54">
        <v>46180.0</v>
      </c>
      <c r="E196" s="53" t="s">
        <v>51</v>
      </c>
      <c r="F196" s="53" t="s">
        <v>44</v>
      </c>
      <c r="G196" s="53"/>
      <c r="H196" s="53"/>
      <c r="I196" s="55"/>
      <c r="J196" s="55"/>
      <c r="K196" s="53" t="s">
        <v>45</v>
      </c>
      <c r="L196" s="53" t="s">
        <v>114</v>
      </c>
      <c r="M196" s="53">
        <v>1390.0</v>
      </c>
      <c r="N196" s="53">
        <v>230.0</v>
      </c>
      <c r="O196" s="53">
        <v>16.5</v>
      </c>
      <c r="P196" s="53">
        <v>3795.0</v>
      </c>
      <c r="Q196" s="53"/>
      <c r="R196" s="94">
        <v>3795.0</v>
      </c>
      <c r="S196" s="6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>
      <c r="A197" s="2"/>
      <c r="B197" s="52">
        <v>8.0</v>
      </c>
      <c r="C197" s="53">
        <v>1.00478643E9</v>
      </c>
      <c r="D197" s="54">
        <v>46180.0</v>
      </c>
      <c r="E197" s="53" t="s">
        <v>61</v>
      </c>
      <c r="F197" s="53" t="s">
        <v>73</v>
      </c>
      <c r="G197" s="53" t="s">
        <v>74</v>
      </c>
      <c r="H197" s="53" t="s">
        <v>62</v>
      </c>
      <c r="I197" s="53" t="s">
        <v>75</v>
      </c>
      <c r="J197" s="53" t="s">
        <v>44</v>
      </c>
      <c r="K197" s="53" t="s">
        <v>38</v>
      </c>
      <c r="L197" s="53" t="s">
        <v>110</v>
      </c>
      <c r="M197" s="53">
        <v>3614.0</v>
      </c>
      <c r="N197" s="53">
        <v>560.0</v>
      </c>
      <c r="O197" s="53">
        <v>20.39</v>
      </c>
      <c r="P197" s="53">
        <v>11418.4</v>
      </c>
      <c r="Q197" s="53">
        <v>1085.0</v>
      </c>
      <c r="R197" s="94">
        <v>12503.4</v>
      </c>
      <c r="S197" s="6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>
      <c r="A198" s="2"/>
      <c r="B198" s="52">
        <v>9.0</v>
      </c>
      <c r="C198" s="53">
        <v>1.004786713E9</v>
      </c>
      <c r="D198" s="54">
        <v>46180.0</v>
      </c>
      <c r="E198" s="53" t="s">
        <v>100</v>
      </c>
      <c r="F198" s="53" t="s">
        <v>87</v>
      </c>
      <c r="G198" s="55"/>
      <c r="H198" s="55"/>
      <c r="I198" s="55"/>
      <c r="J198" s="55"/>
      <c r="K198" s="53" t="s">
        <v>38</v>
      </c>
      <c r="L198" s="53" t="s">
        <v>63</v>
      </c>
      <c r="M198" s="53">
        <v>3287.0</v>
      </c>
      <c r="N198" s="53">
        <v>428.0</v>
      </c>
      <c r="O198" s="53">
        <v>20.39</v>
      </c>
      <c r="P198" s="53">
        <v>8726.92</v>
      </c>
      <c r="Q198" s="53"/>
      <c r="R198" s="94">
        <v>8726.92</v>
      </c>
      <c r="S198" s="6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>
      <c r="A199" s="2"/>
      <c r="B199" s="52">
        <v>10.0</v>
      </c>
      <c r="C199" s="53">
        <v>1.004786732E9</v>
      </c>
      <c r="D199" s="54">
        <v>46180.0</v>
      </c>
      <c r="E199" s="53" t="s">
        <v>100</v>
      </c>
      <c r="F199" s="53" t="s">
        <v>86</v>
      </c>
      <c r="G199" s="53" t="s">
        <v>87</v>
      </c>
      <c r="H199" s="53" t="s">
        <v>84</v>
      </c>
      <c r="I199" s="55"/>
      <c r="J199" s="55"/>
      <c r="K199" s="53" t="s">
        <v>33</v>
      </c>
      <c r="L199" s="53" t="s">
        <v>101</v>
      </c>
      <c r="M199" s="53">
        <v>2243.0</v>
      </c>
      <c r="N199" s="53">
        <v>428.0</v>
      </c>
      <c r="O199" s="53">
        <v>16.5</v>
      </c>
      <c r="P199" s="53">
        <v>7062.0</v>
      </c>
      <c r="Q199" s="53">
        <v>755.0</v>
      </c>
      <c r="R199" s="94">
        <v>7817.0</v>
      </c>
      <c r="S199" s="6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>
      <c r="A200" s="2"/>
      <c r="B200" s="8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5"/>
      <c r="S200" s="6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>
      <c r="A201" s="2"/>
      <c r="B201" s="67" t="s">
        <v>64</v>
      </c>
      <c r="C201" s="68"/>
      <c r="D201" s="69" t="str">
        <f>MONEYTEXT(R201, "INR")</f>
        <v>Fifty-five thousand six hundred twelve Indian rupees and thirty-two paise</v>
      </c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76"/>
      <c r="P201" s="70" t="s">
        <v>65</v>
      </c>
      <c r="Q201" s="4"/>
      <c r="R201" s="96">
        <f>SUM(R190:R199)</f>
        <v>55612.32</v>
      </c>
      <c r="S201" s="6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>
      <c r="A202" s="2"/>
      <c r="B202" s="67" t="s">
        <v>66</v>
      </c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76"/>
      <c r="P202" s="97" t="s">
        <v>67</v>
      </c>
      <c r="Q202" s="31"/>
      <c r="R202" s="32"/>
      <c r="S202" s="6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>
      <c r="A203" s="2"/>
      <c r="B203" s="79" t="s">
        <v>68</v>
      </c>
      <c r="P203" s="27"/>
      <c r="Q203" s="27"/>
      <c r="R203" s="83"/>
      <c r="S203" s="6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>
      <c r="A204" s="2"/>
      <c r="B204" s="79" t="s">
        <v>70</v>
      </c>
      <c r="P204" s="27"/>
      <c r="Q204" s="27"/>
      <c r="R204" s="83"/>
      <c r="S204" s="6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>
      <c r="A205" s="2"/>
      <c r="B205" s="8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5"/>
      <c r="S205" s="6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>
      <c r="A206" s="2"/>
      <c r="B206" s="8"/>
      <c r="C206" s="6"/>
      <c r="D206" s="6"/>
      <c r="E206" s="6"/>
      <c r="F206" s="6"/>
      <c r="G206" s="6"/>
      <c r="H206" s="6"/>
      <c r="I206" s="6"/>
      <c r="J206" s="6"/>
      <c r="K206" s="19" t="s">
        <v>71</v>
      </c>
      <c r="L206" s="6"/>
      <c r="M206" s="6"/>
      <c r="N206" s="6"/>
      <c r="O206" s="6"/>
      <c r="P206" s="9" t="s">
        <v>72</v>
      </c>
      <c r="R206" s="10"/>
      <c r="S206" s="6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>
      <c r="A207" s="2"/>
      <c r="B207" s="88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89"/>
      <c r="S207" s="6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>
      <c r="A208" s="2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>
      <c r="A209" s="2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>
      <c r="A210" s="2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>
      <c r="A211" s="2"/>
      <c r="B211" s="3" t="s">
        <v>1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5"/>
      <c r="S211" s="6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>
      <c r="A212" s="2"/>
      <c r="B212" s="8"/>
      <c r="F212" s="9"/>
      <c r="G212" s="9"/>
      <c r="H212" s="9"/>
      <c r="I212" s="9"/>
      <c r="J212" s="9" t="s">
        <v>2</v>
      </c>
      <c r="N212" s="6"/>
      <c r="R212" s="10"/>
      <c r="S212" s="6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>
      <c r="A213" s="2"/>
      <c r="B213" s="13"/>
      <c r="F213" s="9"/>
      <c r="G213" s="9"/>
      <c r="H213" s="9"/>
      <c r="I213" s="9"/>
      <c r="J213" s="9" t="s">
        <v>3</v>
      </c>
      <c r="N213" s="6"/>
      <c r="R213" s="10"/>
      <c r="S213" s="6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>
      <c r="A214" s="2"/>
      <c r="B214" s="13" t="s">
        <v>4</v>
      </c>
      <c r="R214" s="10"/>
      <c r="S214" s="6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>
      <c r="A215" s="2"/>
      <c r="B215" s="16" t="s">
        <v>115</v>
      </c>
      <c r="C215" s="17" t="s">
        <v>6</v>
      </c>
      <c r="D215" s="4"/>
      <c r="E215" s="4"/>
      <c r="F215" s="4"/>
      <c r="G215" s="4"/>
      <c r="H215" s="4"/>
      <c r="I215" s="4"/>
      <c r="J215" s="4"/>
      <c r="K215" s="5"/>
      <c r="L215" s="18" t="s">
        <v>7</v>
      </c>
      <c r="M215" s="19">
        <v>8.0</v>
      </c>
      <c r="N215" s="20"/>
      <c r="O215" s="4"/>
      <c r="P215" s="4"/>
      <c r="Q215" s="4"/>
      <c r="R215" s="5"/>
      <c r="S215" s="6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>
      <c r="A216" s="2"/>
      <c r="B216" s="26"/>
      <c r="C216" s="27" t="s">
        <v>8</v>
      </c>
      <c r="K216" s="10"/>
      <c r="L216" s="18" t="s">
        <v>9</v>
      </c>
      <c r="M216" s="9" t="s">
        <v>10</v>
      </c>
      <c r="N216" s="6"/>
      <c r="R216" s="10"/>
      <c r="S216" s="6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>
      <c r="A217" s="2"/>
      <c r="B217" s="16" t="s">
        <v>11</v>
      </c>
      <c r="C217" s="30" t="s">
        <v>12</v>
      </c>
      <c r="D217" s="31"/>
      <c r="E217" s="31"/>
      <c r="F217" s="31"/>
      <c r="G217" s="31"/>
      <c r="H217" s="31"/>
      <c r="I217" s="31"/>
      <c r="J217" s="31"/>
      <c r="K217" s="32"/>
      <c r="L217" s="18" t="s">
        <v>13</v>
      </c>
      <c r="M217" s="33" t="s">
        <v>14</v>
      </c>
      <c r="N217" s="34"/>
      <c r="O217" s="31"/>
      <c r="P217" s="31"/>
      <c r="Q217" s="31"/>
      <c r="R217" s="32"/>
      <c r="S217" s="6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>
      <c r="A218" s="2"/>
      <c r="B218" s="8"/>
      <c r="R218" s="10"/>
      <c r="S218" s="6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>
      <c r="A219" s="2"/>
      <c r="B219" s="39" t="s">
        <v>15</v>
      </c>
      <c r="C219" s="40" t="s">
        <v>16</v>
      </c>
      <c r="D219" s="41" t="s">
        <v>17</v>
      </c>
      <c r="E219" s="41" t="s">
        <v>18</v>
      </c>
      <c r="F219" s="42" t="s">
        <v>19</v>
      </c>
      <c r="G219" s="43"/>
      <c r="H219" s="43"/>
      <c r="I219" s="43"/>
      <c r="J219" s="44"/>
      <c r="K219" s="41" t="s">
        <v>20</v>
      </c>
      <c r="L219" s="41" t="s">
        <v>21</v>
      </c>
      <c r="M219" s="41" t="s">
        <v>22</v>
      </c>
      <c r="N219" s="41" t="s">
        <v>23</v>
      </c>
      <c r="O219" s="41" t="s">
        <v>24</v>
      </c>
      <c r="P219" s="41" t="s">
        <v>25</v>
      </c>
      <c r="Q219" s="41" t="s">
        <v>26</v>
      </c>
      <c r="R219" s="45" t="s">
        <v>27</v>
      </c>
      <c r="S219" s="6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>
      <c r="A220" s="2"/>
      <c r="B220" s="52">
        <v>1.0</v>
      </c>
      <c r="C220" s="53">
        <v>1.004786642E9</v>
      </c>
      <c r="D220" s="54">
        <v>46180.0</v>
      </c>
      <c r="E220" s="53" t="s">
        <v>55</v>
      </c>
      <c r="F220" s="53" t="s">
        <v>57</v>
      </c>
      <c r="G220" s="53" t="s">
        <v>103</v>
      </c>
      <c r="H220" s="53" t="s">
        <v>56</v>
      </c>
      <c r="I220" s="53" t="s">
        <v>58</v>
      </c>
      <c r="J220" s="53" t="s">
        <v>59</v>
      </c>
      <c r="K220" s="53" t="s">
        <v>38</v>
      </c>
      <c r="L220" s="53" t="s">
        <v>60</v>
      </c>
      <c r="M220" s="53">
        <v>3053.0</v>
      </c>
      <c r="N220" s="53">
        <v>572.0</v>
      </c>
      <c r="O220" s="53">
        <v>20.39</v>
      </c>
      <c r="P220" s="55">
        <f t="shared" ref="P220:P229" si="4">(N220 * O220)</f>
        <v>11663.08</v>
      </c>
      <c r="Q220" s="53">
        <v>330.0</v>
      </c>
      <c r="R220" s="105">
        <f t="shared" ref="R220:R228" si="5">(P220 + Q220)</f>
        <v>11993.08</v>
      </c>
      <c r="S220" s="6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>
      <c r="A221" s="2"/>
      <c r="B221" s="52">
        <v>2.0</v>
      </c>
      <c r="C221" s="53">
        <v>1.004786817E9</v>
      </c>
      <c r="D221" s="54">
        <v>46180.0</v>
      </c>
      <c r="E221" s="53" t="s">
        <v>77</v>
      </c>
      <c r="F221" s="53" t="s">
        <v>116</v>
      </c>
      <c r="G221" s="53" t="s">
        <v>78</v>
      </c>
      <c r="H221" s="53" t="s">
        <v>79</v>
      </c>
      <c r="I221" s="55"/>
      <c r="J221" s="55"/>
      <c r="K221" s="53" t="s">
        <v>38</v>
      </c>
      <c r="L221" s="53" t="s">
        <v>81</v>
      </c>
      <c r="M221" s="53">
        <v>3501.0</v>
      </c>
      <c r="N221" s="53">
        <v>416.0</v>
      </c>
      <c r="O221" s="53">
        <v>20.39</v>
      </c>
      <c r="P221" s="53">
        <f t="shared" si="4"/>
        <v>8482.24</v>
      </c>
      <c r="Q221" s="53">
        <v>505.0</v>
      </c>
      <c r="R221" s="105">
        <f t="shared" si="5"/>
        <v>8987.24</v>
      </c>
      <c r="S221" s="6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>
      <c r="A222" s="2"/>
      <c r="B222" s="52">
        <v>3.0</v>
      </c>
      <c r="C222" s="53">
        <v>1.004787267E9</v>
      </c>
      <c r="D222" s="54">
        <v>46210.0</v>
      </c>
      <c r="E222" s="53" t="s">
        <v>28</v>
      </c>
      <c r="F222" s="53" t="s">
        <v>29</v>
      </c>
      <c r="G222" s="53" t="s">
        <v>30</v>
      </c>
      <c r="H222" s="53" t="s">
        <v>32</v>
      </c>
      <c r="I222" s="53" t="s">
        <v>31</v>
      </c>
      <c r="J222" s="55"/>
      <c r="K222" s="53" t="s">
        <v>33</v>
      </c>
      <c r="L222" s="53" t="s">
        <v>34</v>
      </c>
      <c r="M222" s="53">
        <v>1756.0</v>
      </c>
      <c r="N222" s="53">
        <v>246.0</v>
      </c>
      <c r="O222" s="53">
        <v>16.5</v>
      </c>
      <c r="P222" s="55">
        <f t="shared" si="4"/>
        <v>4059</v>
      </c>
      <c r="Q222" s="55"/>
      <c r="R222" s="105">
        <f t="shared" si="5"/>
        <v>4059</v>
      </c>
      <c r="S222" s="6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>
      <c r="A223" s="2"/>
      <c r="B223" s="52">
        <v>4.0</v>
      </c>
      <c r="C223" s="53">
        <v>1.004787265E9</v>
      </c>
      <c r="D223" s="54">
        <v>46210.0</v>
      </c>
      <c r="E223" s="53" t="s">
        <v>35</v>
      </c>
      <c r="F223" s="53" t="s">
        <v>36</v>
      </c>
      <c r="G223" s="53" t="s">
        <v>40</v>
      </c>
      <c r="H223" s="53" t="s">
        <v>37</v>
      </c>
      <c r="I223" s="55"/>
      <c r="J223" s="55"/>
      <c r="K223" s="53" t="s">
        <v>38</v>
      </c>
      <c r="L223" s="53" t="s">
        <v>97</v>
      </c>
      <c r="M223" s="53">
        <v>3492.0</v>
      </c>
      <c r="N223" s="53">
        <v>200.0</v>
      </c>
      <c r="O223" s="53">
        <v>20.39</v>
      </c>
      <c r="P223" s="55">
        <f t="shared" si="4"/>
        <v>4078</v>
      </c>
      <c r="Q223" s="55"/>
      <c r="R223" s="105">
        <f t="shared" si="5"/>
        <v>4078</v>
      </c>
      <c r="S223" s="6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>
      <c r="A224" s="2"/>
      <c r="B224" s="52">
        <v>5.0</v>
      </c>
      <c r="C224" s="53">
        <v>1.004787762E9</v>
      </c>
      <c r="D224" s="54">
        <v>46210.0</v>
      </c>
      <c r="E224" s="53" t="s">
        <v>35</v>
      </c>
      <c r="F224" s="53" t="s">
        <v>36</v>
      </c>
      <c r="G224" s="53"/>
      <c r="H224" s="55"/>
      <c r="I224" s="55"/>
      <c r="J224" s="55"/>
      <c r="K224" s="53" t="s">
        <v>33</v>
      </c>
      <c r="L224" s="53" t="s">
        <v>41</v>
      </c>
      <c r="M224" s="53">
        <v>2019.0</v>
      </c>
      <c r="N224" s="53">
        <v>130.0</v>
      </c>
      <c r="O224" s="53">
        <v>16.5</v>
      </c>
      <c r="P224" s="55">
        <f t="shared" si="4"/>
        <v>2145</v>
      </c>
      <c r="Q224" s="55"/>
      <c r="R224" s="105">
        <f t="shared" si="5"/>
        <v>2145</v>
      </c>
      <c r="S224" s="6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>
      <c r="A225" s="2"/>
      <c r="B225" s="52">
        <v>6.0</v>
      </c>
      <c r="C225" s="53">
        <v>1.004787521E9</v>
      </c>
      <c r="D225" s="54">
        <v>46210.0</v>
      </c>
      <c r="E225" s="53" t="s">
        <v>47</v>
      </c>
      <c r="F225" s="53" t="s">
        <v>44</v>
      </c>
      <c r="G225" s="53" t="s">
        <v>48</v>
      </c>
      <c r="H225" s="55"/>
      <c r="I225" s="55"/>
      <c r="J225" s="55"/>
      <c r="K225" s="53" t="s">
        <v>45</v>
      </c>
      <c r="L225" s="53" t="s">
        <v>98</v>
      </c>
      <c r="M225" s="53">
        <v>1753.0</v>
      </c>
      <c r="N225" s="53">
        <v>250.0</v>
      </c>
      <c r="O225" s="53">
        <v>16.5</v>
      </c>
      <c r="P225" s="55">
        <f t="shared" si="4"/>
        <v>4125</v>
      </c>
      <c r="Q225" s="55"/>
      <c r="R225" s="105">
        <f t="shared" si="5"/>
        <v>4125</v>
      </c>
      <c r="S225" s="6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>
      <c r="A226" s="2"/>
      <c r="B226" s="52">
        <v>7.0</v>
      </c>
      <c r="C226" s="53">
        <v>1.004787523E9</v>
      </c>
      <c r="D226" s="54">
        <v>46210.0</v>
      </c>
      <c r="E226" s="53" t="s">
        <v>51</v>
      </c>
      <c r="F226" s="53" t="s">
        <v>44</v>
      </c>
      <c r="G226" s="53" t="s">
        <v>49</v>
      </c>
      <c r="H226" s="53"/>
      <c r="I226" s="55"/>
      <c r="J226" s="55"/>
      <c r="K226" s="53" t="s">
        <v>45</v>
      </c>
      <c r="L226" s="53" t="s">
        <v>50</v>
      </c>
      <c r="M226" s="53">
        <v>1644.0</v>
      </c>
      <c r="N226" s="53">
        <v>230.0</v>
      </c>
      <c r="O226" s="53">
        <v>16.5</v>
      </c>
      <c r="P226" s="55">
        <f t="shared" si="4"/>
        <v>3795</v>
      </c>
      <c r="Q226" s="55"/>
      <c r="R226" s="105">
        <f t="shared" si="5"/>
        <v>3795</v>
      </c>
      <c r="S226" s="6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>
      <c r="A227" s="2"/>
      <c r="B227" s="52">
        <v>8.0</v>
      </c>
      <c r="C227" s="53">
        <v>1.004787829E9</v>
      </c>
      <c r="D227" s="54">
        <v>46210.0</v>
      </c>
      <c r="E227" s="53" t="s">
        <v>51</v>
      </c>
      <c r="F227" s="53" t="s">
        <v>44</v>
      </c>
      <c r="G227" s="53" t="s">
        <v>49</v>
      </c>
      <c r="H227" s="53"/>
      <c r="I227" s="55"/>
      <c r="J227" s="55"/>
      <c r="K227" s="53" t="s">
        <v>45</v>
      </c>
      <c r="L227" s="53" t="s">
        <v>52</v>
      </c>
      <c r="M227" s="53">
        <v>1522.0</v>
      </c>
      <c r="N227" s="53">
        <v>230.0</v>
      </c>
      <c r="O227" s="53">
        <v>16.5</v>
      </c>
      <c r="P227" s="55">
        <f t="shared" si="4"/>
        <v>3795</v>
      </c>
      <c r="Q227" s="55"/>
      <c r="R227" s="105">
        <f t="shared" si="5"/>
        <v>3795</v>
      </c>
      <c r="S227" s="6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>
      <c r="A228" s="2"/>
      <c r="B228" s="52">
        <v>9.0</v>
      </c>
      <c r="C228" s="53">
        <v>1.004788207E9</v>
      </c>
      <c r="D228" s="54">
        <v>46210.0</v>
      </c>
      <c r="E228" s="53" t="s">
        <v>51</v>
      </c>
      <c r="F228" s="53" t="s">
        <v>44</v>
      </c>
      <c r="G228" s="55"/>
      <c r="H228" s="53"/>
      <c r="I228" s="55"/>
      <c r="J228" s="55"/>
      <c r="K228" s="53" t="s">
        <v>45</v>
      </c>
      <c r="L228" s="53" t="s">
        <v>117</v>
      </c>
      <c r="M228" s="53">
        <v>1703.0</v>
      </c>
      <c r="N228" s="53">
        <v>230.0</v>
      </c>
      <c r="O228" s="53">
        <v>16.5</v>
      </c>
      <c r="P228" s="55">
        <f t="shared" si="4"/>
        <v>3795</v>
      </c>
      <c r="Q228" s="53"/>
      <c r="R228" s="105">
        <f t="shared" si="5"/>
        <v>3795</v>
      </c>
      <c r="S228" s="6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>
      <c r="A229" s="2"/>
      <c r="B229" s="52">
        <v>10.0</v>
      </c>
      <c r="C229" s="53">
        <v>1.004788219E9</v>
      </c>
      <c r="D229" s="54">
        <v>46210.0</v>
      </c>
      <c r="E229" s="53" t="s">
        <v>51</v>
      </c>
      <c r="F229" s="53" t="s">
        <v>44</v>
      </c>
      <c r="G229" s="53"/>
      <c r="H229" s="55"/>
      <c r="I229" s="55"/>
      <c r="J229" s="55"/>
      <c r="K229" s="53" t="s">
        <v>45</v>
      </c>
      <c r="L229" s="53" t="s">
        <v>54</v>
      </c>
      <c r="M229" s="53">
        <v>1443.0</v>
      </c>
      <c r="N229" s="53">
        <v>230.0</v>
      </c>
      <c r="O229" s="53">
        <v>16.5</v>
      </c>
      <c r="P229" s="55">
        <f t="shared" si="4"/>
        <v>3795</v>
      </c>
      <c r="Q229" s="53"/>
      <c r="R229" s="105">
        <f>(P229+ Q229)</f>
        <v>3795</v>
      </c>
      <c r="S229" s="6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>
      <c r="A230" s="2"/>
      <c r="B230" s="8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5"/>
      <c r="S230" s="6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>
      <c r="A231" s="2"/>
      <c r="B231" s="67" t="s">
        <v>64</v>
      </c>
      <c r="C231" s="68"/>
      <c r="D231" s="69" t="str">
        <f>MONEYTEXT(R231, "INR")</f>
        <v>Fifty thousand five hundred sixty-seven Indian rupees and thirty-two paise</v>
      </c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76"/>
      <c r="P231" s="70" t="s">
        <v>65</v>
      </c>
      <c r="Q231" s="4"/>
      <c r="R231" s="96">
        <f>SUM(R220:R229)</f>
        <v>50567.32</v>
      </c>
      <c r="S231" s="6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>
      <c r="A232" s="2"/>
      <c r="B232" s="67" t="s">
        <v>66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76"/>
      <c r="P232" s="97" t="s">
        <v>67</v>
      </c>
      <c r="Q232" s="31"/>
      <c r="R232" s="32"/>
      <c r="S232" s="6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>
      <c r="A233" s="2"/>
      <c r="B233" s="79" t="s">
        <v>68</v>
      </c>
      <c r="P233" s="27"/>
      <c r="Q233" s="27"/>
      <c r="R233" s="83"/>
      <c r="S233" s="6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>
      <c r="A234" s="2"/>
      <c r="B234" s="79" t="s">
        <v>70</v>
      </c>
      <c r="P234" s="27"/>
      <c r="Q234" s="27"/>
      <c r="R234" s="83"/>
      <c r="S234" s="6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>
      <c r="A235" s="2"/>
      <c r="B235" s="8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5"/>
      <c r="S235" s="6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>
      <c r="A236" s="2"/>
      <c r="B236" s="8"/>
      <c r="C236" s="6"/>
      <c r="D236" s="6"/>
      <c r="E236" s="6"/>
      <c r="F236" s="6"/>
      <c r="G236" s="6"/>
      <c r="H236" s="6"/>
      <c r="I236" s="6"/>
      <c r="J236" s="6"/>
      <c r="K236" s="19" t="s">
        <v>71</v>
      </c>
      <c r="L236" s="6"/>
      <c r="M236" s="6"/>
      <c r="N236" s="6"/>
      <c r="O236" s="6"/>
      <c r="P236" s="9" t="s">
        <v>72</v>
      </c>
      <c r="R236" s="10"/>
      <c r="S236" s="6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>
      <c r="A237" s="2"/>
      <c r="B237" s="88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89"/>
      <c r="S237" s="6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>
      <c r="A238" s="2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>
      <c r="A239" s="2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>
      <c r="A240" s="2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>
      <c r="A241" s="2"/>
      <c r="B241" s="3" t="s">
        <v>1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5"/>
      <c r="S241" s="6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>
      <c r="A242" s="2"/>
      <c r="B242" s="8"/>
      <c r="F242" s="9"/>
      <c r="G242" s="9"/>
      <c r="H242" s="9"/>
      <c r="I242" s="9"/>
      <c r="J242" s="9" t="s">
        <v>2</v>
      </c>
      <c r="N242" s="6"/>
      <c r="R242" s="10"/>
      <c r="S242" s="6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>
      <c r="A243" s="2"/>
      <c r="B243" s="13"/>
      <c r="F243" s="9"/>
      <c r="G243" s="9"/>
      <c r="H243" s="9"/>
      <c r="I243" s="9"/>
      <c r="J243" s="9" t="s">
        <v>3</v>
      </c>
      <c r="N243" s="6"/>
      <c r="R243" s="10"/>
      <c r="S243" s="6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>
      <c r="A244" s="2"/>
      <c r="B244" s="13" t="s">
        <v>4</v>
      </c>
      <c r="R244" s="10"/>
      <c r="S244" s="6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>
      <c r="A245" s="2"/>
      <c r="B245" s="16" t="s">
        <v>5</v>
      </c>
      <c r="C245" s="17" t="s">
        <v>6</v>
      </c>
      <c r="D245" s="4"/>
      <c r="E245" s="4"/>
      <c r="F245" s="4"/>
      <c r="G245" s="4"/>
      <c r="H245" s="4"/>
      <c r="I245" s="4"/>
      <c r="J245" s="4"/>
      <c r="K245" s="5"/>
      <c r="L245" s="18" t="s">
        <v>7</v>
      </c>
      <c r="M245" s="19">
        <v>9.0</v>
      </c>
      <c r="N245" s="20"/>
      <c r="O245" s="4"/>
      <c r="P245" s="4"/>
      <c r="Q245" s="4"/>
      <c r="R245" s="5"/>
      <c r="S245" s="6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>
      <c r="A246" s="2"/>
      <c r="B246" s="26"/>
      <c r="C246" s="27" t="s">
        <v>8</v>
      </c>
      <c r="K246" s="10"/>
      <c r="L246" s="18" t="s">
        <v>9</v>
      </c>
      <c r="M246" s="9" t="s">
        <v>10</v>
      </c>
      <c r="N246" s="6"/>
      <c r="R246" s="10"/>
      <c r="S246" s="6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>
      <c r="A247" s="2"/>
      <c r="B247" s="16" t="s">
        <v>11</v>
      </c>
      <c r="C247" s="30" t="s">
        <v>12</v>
      </c>
      <c r="D247" s="31"/>
      <c r="E247" s="31"/>
      <c r="F247" s="31"/>
      <c r="G247" s="31"/>
      <c r="H247" s="31"/>
      <c r="I247" s="31"/>
      <c r="J247" s="31"/>
      <c r="K247" s="32"/>
      <c r="L247" s="18" t="s">
        <v>13</v>
      </c>
      <c r="M247" s="33" t="s">
        <v>14</v>
      </c>
      <c r="N247" s="34"/>
      <c r="O247" s="31"/>
      <c r="P247" s="31"/>
      <c r="Q247" s="31"/>
      <c r="R247" s="32"/>
      <c r="S247" s="6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>
      <c r="A248" s="2"/>
      <c r="B248" s="8"/>
      <c r="R248" s="10"/>
      <c r="S248" s="6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>
      <c r="A249" s="2"/>
      <c r="B249" s="39" t="s">
        <v>15</v>
      </c>
      <c r="C249" s="40" t="s">
        <v>16</v>
      </c>
      <c r="D249" s="41" t="s">
        <v>17</v>
      </c>
      <c r="E249" s="41" t="s">
        <v>18</v>
      </c>
      <c r="F249" s="42" t="s">
        <v>19</v>
      </c>
      <c r="G249" s="43"/>
      <c r="H249" s="43"/>
      <c r="I249" s="43"/>
      <c r="J249" s="44"/>
      <c r="K249" s="41" t="s">
        <v>20</v>
      </c>
      <c r="L249" s="41" t="s">
        <v>21</v>
      </c>
      <c r="M249" s="41" t="s">
        <v>22</v>
      </c>
      <c r="N249" s="41" t="s">
        <v>23</v>
      </c>
      <c r="O249" s="41" t="s">
        <v>24</v>
      </c>
      <c r="P249" s="41" t="s">
        <v>25</v>
      </c>
      <c r="Q249" s="41" t="s">
        <v>26</v>
      </c>
      <c r="R249" s="45" t="s">
        <v>27</v>
      </c>
      <c r="S249" s="6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>
      <c r="A250" s="2"/>
      <c r="B250" s="52">
        <v>1.0</v>
      </c>
      <c r="C250" s="53">
        <v>1.004788285E9</v>
      </c>
      <c r="D250" s="54">
        <v>46210.0</v>
      </c>
      <c r="E250" s="53" t="s">
        <v>77</v>
      </c>
      <c r="F250" s="53" t="s">
        <v>78</v>
      </c>
      <c r="G250" s="53"/>
      <c r="H250" s="53"/>
      <c r="I250" s="55"/>
      <c r="J250" s="55"/>
      <c r="K250" s="53" t="s">
        <v>33</v>
      </c>
      <c r="L250" s="53" t="s">
        <v>104</v>
      </c>
      <c r="M250" s="53">
        <v>1597.0</v>
      </c>
      <c r="N250" s="53">
        <v>266.0</v>
      </c>
      <c r="O250" s="53">
        <v>16.5</v>
      </c>
      <c r="P250" s="53">
        <v>4389.0</v>
      </c>
      <c r="Q250" s="53">
        <v>505.0</v>
      </c>
      <c r="R250" s="105">
        <f t="shared" ref="R250:R259" si="6">(P250 + Q250)</f>
        <v>4894</v>
      </c>
      <c r="S250" s="6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>
      <c r="A251" s="2"/>
      <c r="B251" s="52">
        <v>2.0</v>
      </c>
      <c r="C251" s="53">
        <v>1.004788445E9</v>
      </c>
      <c r="D251" s="54">
        <v>46210.0</v>
      </c>
      <c r="E251" s="53" t="s">
        <v>106</v>
      </c>
      <c r="F251" s="53" t="s">
        <v>107</v>
      </c>
      <c r="G251" s="53" t="s">
        <v>108</v>
      </c>
      <c r="H251" s="53" t="s">
        <v>109</v>
      </c>
      <c r="I251" s="55"/>
      <c r="J251" s="55"/>
      <c r="K251" s="53" t="s">
        <v>80</v>
      </c>
      <c r="L251" s="53" t="s">
        <v>118</v>
      </c>
      <c r="M251" s="53">
        <v>2817.0</v>
      </c>
      <c r="N251" s="53">
        <v>482.0</v>
      </c>
      <c r="O251" s="53">
        <v>19.39</v>
      </c>
      <c r="P251" s="55">
        <f t="shared" ref="P251:P259" si="7">(N251*O251)</f>
        <v>9345.98</v>
      </c>
      <c r="Q251" s="53">
        <v>1025.0</v>
      </c>
      <c r="R251" s="105">
        <f t="shared" si="6"/>
        <v>10370.98</v>
      </c>
      <c r="S251" s="6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>
      <c r="A252" s="2"/>
      <c r="B252" s="52">
        <v>3.0</v>
      </c>
      <c r="C252" s="53">
        <v>1.004788471E9</v>
      </c>
      <c r="D252" s="54">
        <v>46210.0</v>
      </c>
      <c r="E252" s="53" t="s">
        <v>90</v>
      </c>
      <c r="F252" s="53" t="s">
        <v>91</v>
      </c>
      <c r="G252" s="53" t="s">
        <v>92</v>
      </c>
      <c r="H252" s="53" t="s">
        <v>93</v>
      </c>
      <c r="I252" s="53" t="s">
        <v>83</v>
      </c>
      <c r="J252" s="53" t="s">
        <v>94</v>
      </c>
      <c r="K252" s="53" t="s">
        <v>80</v>
      </c>
      <c r="L252" s="53" t="s">
        <v>102</v>
      </c>
      <c r="M252" s="53">
        <v>2799.0</v>
      </c>
      <c r="N252" s="53">
        <v>405.0</v>
      </c>
      <c r="O252" s="53">
        <v>18.39</v>
      </c>
      <c r="P252" s="55">
        <f t="shared" si="7"/>
        <v>7447.95</v>
      </c>
      <c r="Q252" s="53">
        <v>500.0</v>
      </c>
      <c r="R252" s="105">
        <f t="shared" si="6"/>
        <v>7947.95</v>
      </c>
      <c r="S252" s="6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>
      <c r="A253" s="2"/>
      <c r="B253" s="52">
        <v>4.0</v>
      </c>
      <c r="C253" s="53">
        <v>1.004789124E9</v>
      </c>
      <c r="D253" s="53" t="s">
        <v>119</v>
      </c>
      <c r="E253" s="53" t="s">
        <v>28</v>
      </c>
      <c r="F253" s="53" t="s">
        <v>29</v>
      </c>
      <c r="G253" s="53" t="s">
        <v>30</v>
      </c>
      <c r="H253" s="53" t="s">
        <v>31</v>
      </c>
      <c r="I253" s="55"/>
      <c r="J253" s="55"/>
      <c r="K253" s="53" t="s">
        <v>33</v>
      </c>
      <c r="L253" s="53" t="s">
        <v>34</v>
      </c>
      <c r="M253" s="53">
        <v>1922.0</v>
      </c>
      <c r="N253" s="53">
        <v>246.0</v>
      </c>
      <c r="O253" s="53">
        <v>16.5</v>
      </c>
      <c r="P253" s="55">
        <f t="shared" si="7"/>
        <v>4059</v>
      </c>
      <c r="Q253" s="53"/>
      <c r="R253" s="105">
        <f t="shared" si="6"/>
        <v>4059</v>
      </c>
      <c r="S253" s="6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>
      <c r="A254" s="2"/>
      <c r="B254" s="52">
        <v>5.0</v>
      </c>
      <c r="C254" s="53">
        <v>1.004789341E9</v>
      </c>
      <c r="D254" s="54">
        <v>46241.0</v>
      </c>
      <c r="E254" s="53" t="s">
        <v>35</v>
      </c>
      <c r="F254" s="53" t="s">
        <v>37</v>
      </c>
      <c r="G254" s="53" t="s">
        <v>36</v>
      </c>
      <c r="H254" s="55"/>
      <c r="I254" s="55"/>
      <c r="J254" s="55"/>
      <c r="K254" s="53" t="s">
        <v>38</v>
      </c>
      <c r="L254" s="53" t="s">
        <v>97</v>
      </c>
      <c r="M254" s="53">
        <v>3516.0</v>
      </c>
      <c r="N254" s="53">
        <v>200.0</v>
      </c>
      <c r="O254" s="53">
        <v>20.39</v>
      </c>
      <c r="P254" s="55">
        <f t="shared" si="7"/>
        <v>4078</v>
      </c>
      <c r="Q254" s="53"/>
      <c r="R254" s="105">
        <f t="shared" si="6"/>
        <v>4078</v>
      </c>
      <c r="S254" s="6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>
      <c r="A255" s="2"/>
      <c r="B255" s="52">
        <v>6.0</v>
      </c>
      <c r="C255" s="53">
        <v>1.004789347E9</v>
      </c>
      <c r="D255" s="54">
        <v>46241.0</v>
      </c>
      <c r="E255" s="53" t="s">
        <v>35</v>
      </c>
      <c r="F255" s="53" t="s">
        <v>40</v>
      </c>
      <c r="G255" s="53" t="s">
        <v>36</v>
      </c>
      <c r="H255" s="53"/>
      <c r="I255" s="55"/>
      <c r="J255" s="55"/>
      <c r="K255" s="53" t="s">
        <v>33</v>
      </c>
      <c r="L255" s="53" t="s">
        <v>41</v>
      </c>
      <c r="M255" s="53">
        <v>2050.0</v>
      </c>
      <c r="N255" s="53">
        <v>150.0</v>
      </c>
      <c r="O255" s="53">
        <v>16.5</v>
      </c>
      <c r="P255" s="55">
        <f t="shared" si="7"/>
        <v>2475</v>
      </c>
      <c r="Q255" s="53"/>
      <c r="R255" s="105">
        <f t="shared" si="6"/>
        <v>2475</v>
      </c>
      <c r="S255" s="6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>
      <c r="A256" s="2"/>
      <c r="B256" s="52">
        <v>7.0</v>
      </c>
      <c r="C256" s="53">
        <v>1.004789465E9</v>
      </c>
      <c r="D256" s="54">
        <v>46241.0</v>
      </c>
      <c r="E256" s="53" t="s">
        <v>42</v>
      </c>
      <c r="F256" s="53" t="s">
        <v>43</v>
      </c>
      <c r="G256" s="53" t="s">
        <v>44</v>
      </c>
      <c r="H256" s="53"/>
      <c r="I256" s="53"/>
      <c r="J256" s="55"/>
      <c r="K256" s="53" t="s">
        <v>45</v>
      </c>
      <c r="L256" s="53" t="s">
        <v>98</v>
      </c>
      <c r="M256" s="53">
        <v>1692.0</v>
      </c>
      <c r="N256" s="53">
        <v>299.0</v>
      </c>
      <c r="O256" s="53">
        <v>16.5</v>
      </c>
      <c r="P256" s="55">
        <f t="shared" si="7"/>
        <v>4933.5</v>
      </c>
      <c r="Q256" s="53"/>
      <c r="R256" s="105">
        <f t="shared" si="6"/>
        <v>4933.5</v>
      </c>
      <c r="S256" s="6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>
      <c r="A257" s="2"/>
      <c r="B257" s="52">
        <v>8.0</v>
      </c>
      <c r="C257" s="53">
        <v>1.004789473E9</v>
      </c>
      <c r="D257" s="54">
        <v>46241.0</v>
      </c>
      <c r="E257" s="53" t="s">
        <v>51</v>
      </c>
      <c r="F257" s="53" t="s">
        <v>44</v>
      </c>
      <c r="G257" s="53"/>
      <c r="H257" s="53"/>
      <c r="I257" s="55"/>
      <c r="J257" s="55"/>
      <c r="K257" s="53" t="s">
        <v>45</v>
      </c>
      <c r="L257" s="53" t="s">
        <v>50</v>
      </c>
      <c r="M257" s="53">
        <v>1799.0</v>
      </c>
      <c r="N257" s="53">
        <v>230.0</v>
      </c>
      <c r="O257" s="53">
        <v>16.5</v>
      </c>
      <c r="P257" s="55">
        <f t="shared" si="7"/>
        <v>3795</v>
      </c>
      <c r="Q257" s="53"/>
      <c r="R257" s="105">
        <f t="shared" si="6"/>
        <v>3795</v>
      </c>
      <c r="S257" s="6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>
      <c r="A258" s="2"/>
      <c r="B258" s="52">
        <v>9.0</v>
      </c>
      <c r="C258" s="53">
        <v>1.004789479E9</v>
      </c>
      <c r="D258" s="54">
        <v>46241.0</v>
      </c>
      <c r="E258" s="53" t="s">
        <v>51</v>
      </c>
      <c r="F258" s="53" t="s">
        <v>49</v>
      </c>
      <c r="G258" s="53" t="s">
        <v>44</v>
      </c>
      <c r="H258" s="53"/>
      <c r="I258" s="55"/>
      <c r="J258" s="55"/>
      <c r="K258" s="53" t="s">
        <v>45</v>
      </c>
      <c r="L258" s="53" t="s">
        <v>52</v>
      </c>
      <c r="M258" s="53">
        <v>1566.0</v>
      </c>
      <c r="N258" s="53">
        <v>230.0</v>
      </c>
      <c r="O258" s="53">
        <v>16.5</v>
      </c>
      <c r="P258" s="55">
        <f t="shared" si="7"/>
        <v>3795</v>
      </c>
      <c r="Q258" s="53"/>
      <c r="R258" s="105">
        <f t="shared" si="6"/>
        <v>3795</v>
      </c>
      <c r="S258" s="6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>
      <c r="A259" s="2"/>
      <c r="B259" s="52">
        <v>10.0</v>
      </c>
      <c r="C259" s="53">
        <v>1.004790047E9</v>
      </c>
      <c r="D259" s="54">
        <v>46241.0</v>
      </c>
      <c r="E259" s="53" t="s">
        <v>51</v>
      </c>
      <c r="F259" s="53" t="s">
        <v>44</v>
      </c>
      <c r="G259" s="55"/>
      <c r="H259" s="55"/>
      <c r="I259" s="55"/>
      <c r="J259" s="55"/>
      <c r="K259" s="53" t="s">
        <v>45</v>
      </c>
      <c r="L259" s="53" t="s">
        <v>99</v>
      </c>
      <c r="M259" s="53">
        <v>1567.0</v>
      </c>
      <c r="N259" s="53">
        <v>230.0</v>
      </c>
      <c r="O259" s="53">
        <v>16.5</v>
      </c>
      <c r="P259" s="55">
        <f t="shared" si="7"/>
        <v>3795</v>
      </c>
      <c r="Q259" s="53"/>
      <c r="R259" s="105">
        <f t="shared" si="6"/>
        <v>3795</v>
      </c>
      <c r="S259" s="6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>
      <c r="A260" s="2"/>
      <c r="B260" s="8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5"/>
      <c r="S260" s="6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>
      <c r="A261" s="2"/>
      <c r="B261" s="67" t="s">
        <v>64</v>
      </c>
      <c r="C261" s="68"/>
      <c r="D261" s="69" t="str">
        <f>MONEYTEXT(R261, "INR")</f>
        <v>Fifty thousand one hundred forty-three Indian rupees and forty-three paise</v>
      </c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76"/>
      <c r="P261" s="70" t="s">
        <v>65</v>
      </c>
      <c r="Q261" s="4"/>
      <c r="R261" s="96">
        <f>SUM(R250:R259)</f>
        <v>50143.43</v>
      </c>
      <c r="S261" s="6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>
      <c r="A262" s="2"/>
      <c r="B262" s="67" t="s">
        <v>66</v>
      </c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76"/>
      <c r="P262" s="97" t="s">
        <v>67</v>
      </c>
      <c r="Q262" s="31"/>
      <c r="R262" s="32"/>
      <c r="S262" s="6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>
      <c r="A263" s="2"/>
      <c r="B263" s="79" t="s">
        <v>68</v>
      </c>
      <c r="P263" s="27"/>
      <c r="Q263" s="27"/>
      <c r="R263" s="83"/>
      <c r="S263" s="6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>
      <c r="A264" s="2"/>
      <c r="B264" s="79" t="s">
        <v>70</v>
      </c>
      <c r="P264" s="27"/>
      <c r="Q264" s="27"/>
      <c r="R264" s="83"/>
      <c r="S264" s="6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>
      <c r="A265" s="2"/>
      <c r="B265" s="8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5"/>
      <c r="S265" s="6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>
      <c r="A266" s="2"/>
      <c r="B266" s="8"/>
      <c r="C266" s="6"/>
      <c r="D266" s="6"/>
      <c r="E266" s="6"/>
      <c r="F266" s="6"/>
      <c r="G266" s="6"/>
      <c r="H266" s="6"/>
      <c r="I266" s="6"/>
      <c r="J266" s="6"/>
      <c r="K266" s="19" t="s">
        <v>71</v>
      </c>
      <c r="L266" s="6"/>
      <c r="M266" s="6"/>
      <c r="N266" s="6"/>
      <c r="O266" s="6"/>
      <c r="P266" s="9" t="s">
        <v>72</v>
      </c>
      <c r="R266" s="10"/>
      <c r="S266" s="6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ht="33.0" customHeight="1">
      <c r="A267" s="2"/>
      <c r="B267" s="88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89"/>
      <c r="S267" s="6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>
      <c r="A268" s="2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>
      <c r="A269" s="2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ht="41.25" customHeight="1">
      <c r="A270" s="2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>
      <c r="A271" s="2"/>
      <c r="B271" s="3" t="s">
        <v>1</v>
      </c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5"/>
      <c r="S271" s="6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>
      <c r="A272" s="2"/>
      <c r="B272" s="106"/>
      <c r="F272" s="100"/>
      <c r="G272" s="100"/>
      <c r="H272" s="100"/>
      <c r="I272" s="100"/>
      <c r="J272" s="104" t="s">
        <v>2</v>
      </c>
      <c r="N272" s="100"/>
      <c r="R272" s="10"/>
      <c r="S272" s="6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>
      <c r="A273" s="2"/>
      <c r="B273" s="106"/>
      <c r="F273" s="100"/>
      <c r="G273" s="100"/>
      <c r="H273" s="100"/>
      <c r="I273" s="100"/>
      <c r="J273" s="104" t="s">
        <v>3</v>
      </c>
      <c r="N273" s="100"/>
      <c r="R273" s="10"/>
      <c r="S273" s="6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>
      <c r="A274" s="2"/>
      <c r="B274" s="107" t="s">
        <v>4</v>
      </c>
      <c r="R274" s="10"/>
      <c r="S274" s="6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>
      <c r="A275" s="2"/>
      <c r="B275" s="108" t="s">
        <v>5</v>
      </c>
      <c r="C275" s="109" t="s">
        <v>6</v>
      </c>
      <c r="D275" s="4"/>
      <c r="E275" s="4"/>
      <c r="F275" s="4"/>
      <c r="G275" s="4"/>
      <c r="H275" s="4"/>
      <c r="I275" s="4"/>
      <c r="J275" s="4"/>
      <c r="K275" s="5"/>
      <c r="L275" s="110" t="s">
        <v>7</v>
      </c>
      <c r="M275" s="111">
        <v>10.0</v>
      </c>
      <c r="N275" s="112"/>
      <c r="O275" s="4"/>
      <c r="P275" s="4"/>
      <c r="Q275" s="4"/>
      <c r="R275" s="5"/>
      <c r="S275" s="6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>
      <c r="A276" s="2"/>
      <c r="B276" s="113"/>
      <c r="C276" s="114" t="s">
        <v>8</v>
      </c>
      <c r="K276" s="10"/>
      <c r="L276" s="110" t="s">
        <v>9</v>
      </c>
      <c r="M276" s="9" t="s">
        <v>10</v>
      </c>
      <c r="N276" s="100"/>
      <c r="R276" s="10"/>
      <c r="S276" s="6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>
      <c r="A277" s="2"/>
      <c r="B277" s="108" t="s">
        <v>11</v>
      </c>
      <c r="C277" s="115" t="s">
        <v>12</v>
      </c>
      <c r="D277" s="31"/>
      <c r="E277" s="31"/>
      <c r="F277" s="31"/>
      <c r="G277" s="31"/>
      <c r="H277" s="31"/>
      <c r="I277" s="31"/>
      <c r="J277" s="31"/>
      <c r="K277" s="32"/>
      <c r="L277" s="110" t="s">
        <v>13</v>
      </c>
      <c r="M277" s="33" t="s">
        <v>14</v>
      </c>
      <c r="N277" s="116"/>
      <c r="O277" s="31"/>
      <c r="P277" s="31"/>
      <c r="Q277" s="31"/>
      <c r="R277" s="32"/>
      <c r="S277" s="6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>
      <c r="A278" s="2"/>
      <c r="B278" s="106"/>
      <c r="R278" s="10"/>
      <c r="S278" s="6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>
      <c r="A279" s="2"/>
      <c r="B279" s="117" t="s">
        <v>15</v>
      </c>
      <c r="C279" s="118" t="s">
        <v>16</v>
      </c>
      <c r="D279" s="119" t="s">
        <v>17</v>
      </c>
      <c r="E279" s="119" t="s">
        <v>18</v>
      </c>
      <c r="F279" s="120" t="s">
        <v>19</v>
      </c>
      <c r="G279" s="43"/>
      <c r="H279" s="43"/>
      <c r="I279" s="43"/>
      <c r="J279" s="44"/>
      <c r="K279" s="119" t="s">
        <v>20</v>
      </c>
      <c r="L279" s="119" t="s">
        <v>21</v>
      </c>
      <c r="M279" s="119" t="s">
        <v>22</v>
      </c>
      <c r="N279" s="119" t="s">
        <v>23</v>
      </c>
      <c r="O279" s="119" t="s">
        <v>24</v>
      </c>
      <c r="P279" s="119" t="s">
        <v>25</v>
      </c>
      <c r="Q279" s="119" t="s">
        <v>26</v>
      </c>
      <c r="R279" s="121" t="s">
        <v>27</v>
      </c>
      <c r="S279" s="6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>
      <c r="A280" s="2"/>
      <c r="B280" s="122">
        <v>1.0</v>
      </c>
      <c r="C280" s="123">
        <v>1.004790051E9</v>
      </c>
      <c r="D280" s="124">
        <v>46241.0</v>
      </c>
      <c r="E280" s="123" t="s">
        <v>51</v>
      </c>
      <c r="F280" s="123" t="s">
        <v>44</v>
      </c>
      <c r="G280" s="123" t="s">
        <v>49</v>
      </c>
      <c r="H280" s="123"/>
      <c r="I280" s="123"/>
      <c r="J280" s="125"/>
      <c r="K280" s="123" t="s">
        <v>45</v>
      </c>
      <c r="L280" s="123" t="s">
        <v>120</v>
      </c>
      <c r="M280" s="123">
        <v>1598.0</v>
      </c>
      <c r="N280" s="123">
        <v>230.0</v>
      </c>
      <c r="O280" s="123">
        <v>16.5</v>
      </c>
      <c r="P280" s="126">
        <v>3795.0</v>
      </c>
      <c r="Q280" s="125"/>
      <c r="R280" s="127">
        <v>3795.0</v>
      </c>
      <c r="S280" s="6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>
      <c r="A281" s="2"/>
      <c r="B281" s="122">
        <v>2.0</v>
      </c>
      <c r="C281" s="123">
        <v>1.004790337E9</v>
      </c>
      <c r="D281" s="124">
        <v>46241.0</v>
      </c>
      <c r="E281" s="123" t="s">
        <v>61</v>
      </c>
      <c r="F281" s="123" t="s">
        <v>74</v>
      </c>
      <c r="G281" s="123" t="s">
        <v>62</v>
      </c>
      <c r="H281" s="125"/>
      <c r="I281" s="125"/>
      <c r="J281" s="125"/>
      <c r="K281" s="123" t="s">
        <v>33</v>
      </c>
      <c r="L281" s="123" t="s">
        <v>76</v>
      </c>
      <c r="M281" s="123">
        <v>2096.0</v>
      </c>
      <c r="N281" s="123">
        <v>330.0</v>
      </c>
      <c r="O281" s="123">
        <v>16.5</v>
      </c>
      <c r="P281" s="126">
        <v>5445.0</v>
      </c>
      <c r="Q281" s="123">
        <v>820.0</v>
      </c>
      <c r="R281" s="127">
        <v>6265.0</v>
      </c>
      <c r="S281" s="6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>
      <c r="A282" s="2"/>
      <c r="B282" s="122">
        <v>3.0</v>
      </c>
      <c r="C282" s="128">
        <v>1.004790333E9</v>
      </c>
      <c r="D282" s="124">
        <v>46241.0</v>
      </c>
      <c r="E282" s="123" t="s">
        <v>61</v>
      </c>
      <c r="F282" s="123" t="s">
        <v>74</v>
      </c>
      <c r="G282" s="123" t="s">
        <v>73</v>
      </c>
      <c r="H282" s="123" t="s">
        <v>75</v>
      </c>
      <c r="I282" s="125"/>
      <c r="J282" s="125"/>
      <c r="K282" s="123" t="s">
        <v>38</v>
      </c>
      <c r="L282" s="123" t="s">
        <v>110</v>
      </c>
      <c r="M282" s="123">
        <v>3421.0</v>
      </c>
      <c r="N282" s="123">
        <v>560.0</v>
      </c>
      <c r="O282" s="123">
        <v>20.39</v>
      </c>
      <c r="P282" s="126">
        <v>11418.4</v>
      </c>
      <c r="Q282" s="123">
        <v>1085.0</v>
      </c>
      <c r="R282" s="127">
        <v>12503.4</v>
      </c>
      <c r="S282" s="6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>
      <c r="A283" s="2"/>
      <c r="B283" s="122">
        <v>4.0</v>
      </c>
      <c r="C283" s="123">
        <v>1.004790386E9</v>
      </c>
      <c r="D283" s="124">
        <v>46241.0</v>
      </c>
      <c r="E283" s="123" t="s">
        <v>55</v>
      </c>
      <c r="F283" s="123" t="s">
        <v>57</v>
      </c>
      <c r="G283" s="123" t="s">
        <v>103</v>
      </c>
      <c r="H283" s="123" t="s">
        <v>59</v>
      </c>
      <c r="I283" s="123" t="s">
        <v>58</v>
      </c>
      <c r="J283" s="123" t="s">
        <v>56</v>
      </c>
      <c r="K283" s="123" t="s">
        <v>38</v>
      </c>
      <c r="L283" s="123" t="s">
        <v>60</v>
      </c>
      <c r="M283" s="123">
        <v>3466.0</v>
      </c>
      <c r="N283" s="123">
        <v>572.0</v>
      </c>
      <c r="O283" s="123">
        <v>20.39</v>
      </c>
      <c r="P283" s="126">
        <v>11663.08</v>
      </c>
      <c r="Q283" s="123">
        <v>330.0</v>
      </c>
      <c r="R283" s="127">
        <v>11993.08</v>
      </c>
      <c r="S283" s="6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>
      <c r="A284" s="2"/>
      <c r="B284" s="122">
        <v>5.0</v>
      </c>
      <c r="C284" s="123">
        <v>1.004790543E9</v>
      </c>
      <c r="D284" s="124">
        <v>46241.0</v>
      </c>
      <c r="E284" s="123" t="s">
        <v>100</v>
      </c>
      <c r="F284" s="123" t="s">
        <v>83</v>
      </c>
      <c r="G284" s="123"/>
      <c r="H284" s="125"/>
      <c r="I284" s="125"/>
      <c r="J284" s="125"/>
      <c r="K284" s="123" t="s">
        <v>80</v>
      </c>
      <c r="L284" s="123" t="s">
        <v>95</v>
      </c>
      <c r="M284" s="123">
        <v>2785.0</v>
      </c>
      <c r="N284" s="123">
        <v>122.0</v>
      </c>
      <c r="O284" s="123">
        <v>19.39</v>
      </c>
      <c r="P284" s="126">
        <v>2365.58</v>
      </c>
      <c r="Q284" s="123">
        <v>115.0</v>
      </c>
      <c r="R284" s="127">
        <v>2480.58</v>
      </c>
      <c r="S284" s="6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>
      <c r="A285" s="2"/>
      <c r="B285" s="122">
        <v>6.0</v>
      </c>
      <c r="C285" s="123">
        <v>1.004790253E9</v>
      </c>
      <c r="D285" s="124">
        <v>46241.0</v>
      </c>
      <c r="E285" s="123" t="s">
        <v>100</v>
      </c>
      <c r="F285" s="123" t="s">
        <v>87</v>
      </c>
      <c r="G285" s="123"/>
      <c r="H285" s="125"/>
      <c r="I285" s="125"/>
      <c r="J285" s="125"/>
      <c r="K285" s="123" t="s">
        <v>38</v>
      </c>
      <c r="L285" s="123" t="s">
        <v>85</v>
      </c>
      <c r="M285" s="123">
        <v>3652.0</v>
      </c>
      <c r="N285" s="123">
        <v>428.0</v>
      </c>
      <c r="O285" s="123">
        <v>20.39</v>
      </c>
      <c r="P285" s="126">
        <v>8726.92</v>
      </c>
      <c r="Q285" s="125"/>
      <c r="R285" s="127">
        <v>8726.92</v>
      </c>
      <c r="S285" s="6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>
      <c r="A286" s="2"/>
      <c r="B286" s="122">
        <v>7.0</v>
      </c>
      <c r="C286" s="123">
        <v>1.004790649E9</v>
      </c>
      <c r="D286" s="124">
        <v>46241.0</v>
      </c>
      <c r="E286" s="123" t="s">
        <v>100</v>
      </c>
      <c r="F286" s="123" t="s">
        <v>87</v>
      </c>
      <c r="G286" s="123" t="s">
        <v>86</v>
      </c>
      <c r="H286" s="125"/>
      <c r="I286" s="125"/>
      <c r="J286" s="125"/>
      <c r="K286" s="123" t="s">
        <v>38</v>
      </c>
      <c r="L286" s="123" t="s">
        <v>104</v>
      </c>
      <c r="M286" s="123">
        <v>3154.0</v>
      </c>
      <c r="N286" s="123">
        <v>428.0</v>
      </c>
      <c r="O286" s="123">
        <v>20.39</v>
      </c>
      <c r="P286" s="126">
        <v>8726.92</v>
      </c>
      <c r="Q286" s="125"/>
      <c r="R286" s="127">
        <v>8726.92</v>
      </c>
      <c r="S286" s="6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>
      <c r="A287" s="2"/>
      <c r="B287" s="122">
        <v>8.0</v>
      </c>
      <c r="C287" s="123">
        <v>1.004790261E9</v>
      </c>
      <c r="D287" s="124">
        <v>46241.0</v>
      </c>
      <c r="E287" s="123" t="s">
        <v>100</v>
      </c>
      <c r="F287" s="123" t="s">
        <v>87</v>
      </c>
      <c r="G287" s="123" t="s">
        <v>86</v>
      </c>
      <c r="H287" s="123" t="s">
        <v>83</v>
      </c>
      <c r="I287" s="123" t="s">
        <v>84</v>
      </c>
      <c r="J287" s="125"/>
      <c r="K287" s="123" t="s">
        <v>38</v>
      </c>
      <c r="L287" s="123" t="s">
        <v>101</v>
      </c>
      <c r="M287" s="123">
        <v>3666.0</v>
      </c>
      <c r="N287" s="123">
        <v>428.0</v>
      </c>
      <c r="O287" s="123">
        <v>20.39</v>
      </c>
      <c r="P287" s="126">
        <v>8726.92</v>
      </c>
      <c r="Q287" s="123">
        <v>755.0</v>
      </c>
      <c r="R287" s="127">
        <v>9481.92</v>
      </c>
      <c r="S287" s="6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>
      <c r="A288" s="2"/>
      <c r="B288" s="122">
        <v>9.0</v>
      </c>
      <c r="C288" s="123">
        <v>1.004791411E9</v>
      </c>
      <c r="D288" s="124">
        <v>46272.0</v>
      </c>
      <c r="E288" s="123" t="s">
        <v>28</v>
      </c>
      <c r="F288" s="123" t="s">
        <v>29</v>
      </c>
      <c r="G288" s="123" t="s">
        <v>31</v>
      </c>
      <c r="H288" s="123" t="s">
        <v>32</v>
      </c>
      <c r="I288" s="125"/>
      <c r="J288" s="125"/>
      <c r="K288" s="123" t="s">
        <v>33</v>
      </c>
      <c r="L288" s="123" t="s">
        <v>34</v>
      </c>
      <c r="M288" s="123">
        <v>2028.0</v>
      </c>
      <c r="N288" s="123">
        <v>246.0</v>
      </c>
      <c r="O288" s="123">
        <v>16.5</v>
      </c>
      <c r="P288" s="126">
        <v>4059.0</v>
      </c>
      <c r="Q288" s="125"/>
      <c r="R288" s="127">
        <v>4059.0</v>
      </c>
      <c r="S288" s="6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>
      <c r="A289" s="2"/>
      <c r="B289" s="122">
        <v>10.0</v>
      </c>
      <c r="C289" s="123">
        <v>1.004791468E9</v>
      </c>
      <c r="D289" s="124">
        <v>46272.0</v>
      </c>
      <c r="E289" s="123" t="s">
        <v>35</v>
      </c>
      <c r="F289" s="123" t="s">
        <v>36</v>
      </c>
      <c r="G289" s="123" t="s">
        <v>40</v>
      </c>
      <c r="H289" s="125"/>
      <c r="I289" s="125"/>
      <c r="J289" s="125"/>
      <c r="K289" s="123" t="s">
        <v>80</v>
      </c>
      <c r="L289" s="123" t="s">
        <v>96</v>
      </c>
      <c r="M289" s="123">
        <v>2770.0</v>
      </c>
      <c r="N289" s="123">
        <v>150.0</v>
      </c>
      <c r="O289" s="123">
        <v>19.39</v>
      </c>
      <c r="P289" s="126">
        <v>2908.5</v>
      </c>
      <c r="Q289" s="125"/>
      <c r="R289" s="127">
        <v>2908.5</v>
      </c>
      <c r="S289" s="6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>
      <c r="A290" s="2"/>
      <c r="B290" s="106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29"/>
      <c r="S290" s="6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>
      <c r="A291" s="2"/>
      <c r="B291" s="130" t="s">
        <v>64</v>
      </c>
      <c r="C291" s="68"/>
      <c r="D291" s="131" t="str">
        <f>MONEYTEXT(R291, "INR")</f>
        <v>Seventy thousand nine hundred forty Indian rupees and thirty-two paise</v>
      </c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76"/>
      <c r="P291" s="132" t="s">
        <v>65</v>
      </c>
      <c r="Q291" s="4"/>
      <c r="R291" s="108">
        <f>SUM(R280:R289)</f>
        <v>70940.32</v>
      </c>
      <c r="S291" s="6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>
      <c r="A292" s="2"/>
      <c r="B292" s="130" t="s">
        <v>66</v>
      </c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76"/>
      <c r="P292" s="133" t="s">
        <v>67</v>
      </c>
      <c r="Q292" s="31"/>
      <c r="R292" s="32"/>
      <c r="S292" s="6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>
      <c r="A293" s="2"/>
      <c r="B293" s="134" t="s">
        <v>68</v>
      </c>
      <c r="P293" s="100"/>
      <c r="Q293" s="100"/>
      <c r="R293" s="129"/>
      <c r="S293" s="6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>
      <c r="A294" s="2"/>
      <c r="B294" s="134" t="s">
        <v>70</v>
      </c>
      <c r="P294" s="100"/>
      <c r="Q294" s="100"/>
      <c r="R294" s="129"/>
      <c r="S294" s="6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>
      <c r="A295" s="2"/>
      <c r="B295" s="106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29"/>
      <c r="S295" s="6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>
      <c r="A296" s="2"/>
      <c r="B296" s="106"/>
      <c r="C296" s="100"/>
      <c r="D296" s="100"/>
      <c r="E296" s="100"/>
      <c r="F296" s="100"/>
      <c r="G296" s="100"/>
      <c r="H296" s="100"/>
      <c r="I296" s="100"/>
      <c r="J296" s="100"/>
      <c r="K296" s="135" t="s">
        <v>71</v>
      </c>
      <c r="L296" s="100"/>
      <c r="M296" s="100"/>
      <c r="N296" s="100"/>
      <c r="O296" s="100"/>
      <c r="P296" s="104" t="s">
        <v>72</v>
      </c>
      <c r="R296" s="10"/>
      <c r="S296" s="6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>
      <c r="A297" s="2"/>
      <c r="B297" s="13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37"/>
      <c r="S297" s="6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ht="21.0" customHeight="1">
      <c r="A298" s="2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>
      <c r="A299" s="2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ht="59.25" customHeight="1">
      <c r="A300" s="2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>
      <c r="A301" s="2"/>
      <c r="B301" s="3" t="s">
        <v>1</v>
      </c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5"/>
      <c r="S301" s="6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>
      <c r="A302" s="2"/>
      <c r="B302" s="138"/>
      <c r="F302" s="139"/>
      <c r="G302" s="139"/>
      <c r="H302" s="139"/>
      <c r="I302" s="139"/>
      <c r="J302" s="140" t="s">
        <v>2</v>
      </c>
      <c r="N302" s="139"/>
      <c r="R302" s="10"/>
      <c r="S302" s="6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>
      <c r="A303" s="2"/>
      <c r="B303" s="138"/>
      <c r="F303" s="139"/>
      <c r="G303" s="139"/>
      <c r="H303" s="139"/>
      <c r="I303" s="139"/>
      <c r="J303" s="140" t="s">
        <v>3</v>
      </c>
      <c r="N303" s="139"/>
      <c r="R303" s="10"/>
      <c r="S303" s="6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>
      <c r="A304" s="2"/>
      <c r="B304" s="141" t="s">
        <v>4</v>
      </c>
      <c r="R304" s="10"/>
      <c r="S304" s="6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>
      <c r="A305" s="2"/>
      <c r="B305" s="142" t="s">
        <v>5</v>
      </c>
      <c r="C305" s="143" t="s">
        <v>6</v>
      </c>
      <c r="D305" s="4"/>
      <c r="E305" s="4"/>
      <c r="F305" s="4"/>
      <c r="G305" s="4"/>
      <c r="H305" s="4"/>
      <c r="I305" s="4"/>
      <c r="J305" s="4"/>
      <c r="K305" s="5"/>
      <c r="L305" s="144" t="s">
        <v>7</v>
      </c>
      <c r="M305" s="145">
        <v>11.0</v>
      </c>
      <c r="N305" s="146"/>
      <c r="O305" s="4"/>
      <c r="P305" s="4"/>
      <c r="Q305" s="4"/>
      <c r="R305" s="5"/>
      <c r="S305" s="6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>
      <c r="A306" s="2"/>
      <c r="B306" s="147"/>
      <c r="C306" s="148" t="s">
        <v>8</v>
      </c>
      <c r="K306" s="10"/>
      <c r="L306" s="144" t="s">
        <v>9</v>
      </c>
      <c r="M306" s="9" t="s">
        <v>10</v>
      </c>
      <c r="N306" s="139"/>
      <c r="R306" s="10"/>
      <c r="S306" s="6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>
      <c r="A307" s="2"/>
      <c r="B307" s="142" t="s">
        <v>11</v>
      </c>
      <c r="C307" s="149" t="s">
        <v>12</v>
      </c>
      <c r="D307" s="31"/>
      <c r="E307" s="31"/>
      <c r="F307" s="31"/>
      <c r="G307" s="31"/>
      <c r="H307" s="31"/>
      <c r="I307" s="31"/>
      <c r="J307" s="31"/>
      <c r="K307" s="32"/>
      <c r="L307" s="144" t="s">
        <v>13</v>
      </c>
      <c r="M307" s="33" t="s">
        <v>14</v>
      </c>
      <c r="N307" s="150"/>
      <c r="O307" s="31"/>
      <c r="P307" s="31"/>
      <c r="Q307" s="31"/>
      <c r="R307" s="32"/>
      <c r="S307" s="6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>
      <c r="A308" s="2"/>
      <c r="B308" s="138"/>
      <c r="R308" s="10"/>
      <c r="S308" s="6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>
      <c r="A309" s="2"/>
      <c r="B309" s="151" t="s">
        <v>15</v>
      </c>
      <c r="C309" s="152" t="s">
        <v>16</v>
      </c>
      <c r="D309" s="153" t="s">
        <v>17</v>
      </c>
      <c r="E309" s="153" t="s">
        <v>18</v>
      </c>
      <c r="F309" s="154" t="s">
        <v>19</v>
      </c>
      <c r="G309" s="43"/>
      <c r="H309" s="43"/>
      <c r="I309" s="43"/>
      <c r="J309" s="44"/>
      <c r="K309" s="153" t="s">
        <v>20</v>
      </c>
      <c r="L309" s="153" t="s">
        <v>21</v>
      </c>
      <c r="M309" s="153" t="s">
        <v>22</v>
      </c>
      <c r="N309" s="153" t="s">
        <v>23</v>
      </c>
      <c r="O309" s="153" t="s">
        <v>24</v>
      </c>
      <c r="P309" s="153" t="s">
        <v>25</v>
      </c>
      <c r="Q309" s="153" t="s">
        <v>26</v>
      </c>
      <c r="R309" s="155" t="s">
        <v>27</v>
      </c>
      <c r="S309" s="6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>
      <c r="A310" s="2"/>
      <c r="B310" s="156">
        <v>1.0</v>
      </c>
      <c r="C310" s="157">
        <v>1.004791461E9</v>
      </c>
      <c r="D310" s="158">
        <v>46272.0</v>
      </c>
      <c r="E310" s="157" t="s">
        <v>35</v>
      </c>
      <c r="F310" s="157" t="s">
        <v>36</v>
      </c>
      <c r="G310" s="157" t="s">
        <v>37</v>
      </c>
      <c r="H310" s="157"/>
      <c r="I310" s="159"/>
      <c r="J310" s="159"/>
      <c r="K310" s="157" t="s">
        <v>38</v>
      </c>
      <c r="L310" s="157" t="s">
        <v>97</v>
      </c>
      <c r="M310" s="157">
        <v>3107.0</v>
      </c>
      <c r="N310" s="157">
        <v>200.0</v>
      </c>
      <c r="O310" s="157">
        <v>20.39</v>
      </c>
      <c r="P310" s="160">
        <v>4078.0</v>
      </c>
      <c r="Q310" s="157"/>
      <c r="R310" s="161">
        <v>4078.0</v>
      </c>
      <c r="S310" s="6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>
      <c r="A311" s="2"/>
      <c r="B311" s="156">
        <v>2.0</v>
      </c>
      <c r="C311" s="157">
        <v>1.00479155E9</v>
      </c>
      <c r="D311" s="158">
        <v>46272.0</v>
      </c>
      <c r="E311" s="157" t="s">
        <v>47</v>
      </c>
      <c r="F311" s="157" t="s">
        <v>48</v>
      </c>
      <c r="G311" s="157" t="s">
        <v>44</v>
      </c>
      <c r="H311" s="159"/>
      <c r="I311" s="159"/>
      <c r="J311" s="159"/>
      <c r="K311" s="157" t="s">
        <v>45</v>
      </c>
      <c r="L311" s="157" t="s">
        <v>98</v>
      </c>
      <c r="M311" s="157">
        <v>1580.0</v>
      </c>
      <c r="N311" s="157">
        <v>250.0</v>
      </c>
      <c r="O311" s="157">
        <v>16.5</v>
      </c>
      <c r="P311" s="160">
        <v>4125.0</v>
      </c>
      <c r="Q311" s="157"/>
      <c r="R311" s="161">
        <v>4125.0</v>
      </c>
      <c r="S311" s="6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>
      <c r="A312" s="2"/>
      <c r="B312" s="156">
        <v>3.0</v>
      </c>
      <c r="C312" s="157">
        <v>1.004791584E9</v>
      </c>
      <c r="D312" s="158">
        <v>46272.0</v>
      </c>
      <c r="E312" s="157" t="s">
        <v>51</v>
      </c>
      <c r="F312" s="157" t="s">
        <v>44</v>
      </c>
      <c r="G312" s="157" t="s">
        <v>49</v>
      </c>
      <c r="H312" s="159"/>
      <c r="I312" s="159"/>
      <c r="J312" s="159"/>
      <c r="K312" s="157" t="s">
        <v>45</v>
      </c>
      <c r="L312" s="157" t="s">
        <v>50</v>
      </c>
      <c r="M312" s="157">
        <v>1795.0</v>
      </c>
      <c r="N312" s="157">
        <v>230.0</v>
      </c>
      <c r="O312" s="157">
        <v>16.5</v>
      </c>
      <c r="P312" s="160">
        <v>3795.0</v>
      </c>
      <c r="Q312" s="157"/>
      <c r="R312" s="161">
        <v>3795.0</v>
      </c>
      <c r="S312" s="6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>
      <c r="A313" s="2"/>
      <c r="B313" s="156">
        <v>4.0</v>
      </c>
      <c r="C313" s="157">
        <v>1.004792307E9</v>
      </c>
      <c r="D313" s="158">
        <v>46272.0</v>
      </c>
      <c r="E313" s="157" t="s">
        <v>51</v>
      </c>
      <c r="F313" s="157" t="s">
        <v>44</v>
      </c>
      <c r="G313" s="157" t="s">
        <v>49</v>
      </c>
      <c r="H313" s="157"/>
      <c r="I313" s="159"/>
      <c r="J313" s="159"/>
      <c r="K313" s="157" t="s">
        <v>45</v>
      </c>
      <c r="L313" s="157" t="s">
        <v>52</v>
      </c>
      <c r="M313" s="157">
        <v>1468.0</v>
      </c>
      <c r="N313" s="157">
        <v>230.0</v>
      </c>
      <c r="O313" s="157">
        <v>16.5</v>
      </c>
      <c r="P313" s="160">
        <v>3795.0</v>
      </c>
      <c r="Q313" s="157"/>
      <c r="R313" s="161">
        <v>3795.0</v>
      </c>
      <c r="S313" s="6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>
      <c r="A314" s="2"/>
      <c r="B314" s="156">
        <v>5.0</v>
      </c>
      <c r="C314" s="157">
        <v>1.004792316E9</v>
      </c>
      <c r="D314" s="158">
        <v>46272.0</v>
      </c>
      <c r="E314" s="157" t="s">
        <v>51</v>
      </c>
      <c r="F314" s="157" t="s">
        <v>44</v>
      </c>
      <c r="G314" s="157"/>
      <c r="H314" s="159"/>
      <c r="I314" s="159"/>
      <c r="J314" s="159"/>
      <c r="K314" s="157" t="s">
        <v>45</v>
      </c>
      <c r="L314" s="157" t="s">
        <v>53</v>
      </c>
      <c r="M314" s="157">
        <v>1655.0</v>
      </c>
      <c r="N314" s="157">
        <v>230.0</v>
      </c>
      <c r="O314" s="157">
        <v>16.5</v>
      </c>
      <c r="P314" s="160">
        <v>3795.0</v>
      </c>
      <c r="Q314" s="159"/>
      <c r="R314" s="161">
        <v>3795.0</v>
      </c>
      <c r="S314" s="6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>
      <c r="A315" s="2"/>
      <c r="B315" s="156">
        <v>6.0</v>
      </c>
      <c r="C315" s="157">
        <v>1.004791578E9</v>
      </c>
      <c r="D315" s="158">
        <v>46272.0</v>
      </c>
      <c r="E315" s="157" t="s">
        <v>51</v>
      </c>
      <c r="F315" s="157" t="s">
        <v>44</v>
      </c>
      <c r="G315" s="159"/>
      <c r="H315" s="159"/>
      <c r="I315" s="159"/>
      <c r="J315" s="159"/>
      <c r="K315" s="157" t="s">
        <v>45</v>
      </c>
      <c r="L315" s="157" t="s">
        <v>54</v>
      </c>
      <c r="M315" s="157">
        <v>1625.0</v>
      </c>
      <c r="N315" s="157">
        <v>230.0</v>
      </c>
      <c r="O315" s="157">
        <v>16.5</v>
      </c>
      <c r="P315" s="160">
        <v>3795.0</v>
      </c>
      <c r="Q315" s="157"/>
      <c r="R315" s="161">
        <v>3795.0</v>
      </c>
      <c r="S315" s="6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>
      <c r="A316" s="2"/>
      <c r="B316" s="156">
        <v>7.0</v>
      </c>
      <c r="C316" s="157">
        <v>1.004792292E9</v>
      </c>
      <c r="D316" s="158">
        <v>46272.0</v>
      </c>
      <c r="E316" s="157" t="s">
        <v>51</v>
      </c>
      <c r="F316" s="157" t="s">
        <v>44</v>
      </c>
      <c r="G316" s="159"/>
      <c r="H316" s="159"/>
      <c r="I316" s="159"/>
      <c r="J316" s="159"/>
      <c r="K316" s="157" t="s">
        <v>45</v>
      </c>
      <c r="L316" s="157" t="s">
        <v>112</v>
      </c>
      <c r="M316" s="157">
        <v>1629.0</v>
      </c>
      <c r="N316" s="157">
        <v>230.0</v>
      </c>
      <c r="O316" s="157">
        <v>16.5</v>
      </c>
      <c r="P316" s="160">
        <v>3795.0</v>
      </c>
      <c r="Q316" s="159"/>
      <c r="R316" s="161">
        <v>3795.0</v>
      </c>
      <c r="S316" s="6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>
      <c r="A317" s="2"/>
      <c r="B317" s="156">
        <v>8.0</v>
      </c>
      <c r="C317" s="157">
        <v>1.004792574E9</v>
      </c>
      <c r="D317" s="158">
        <v>46272.0</v>
      </c>
      <c r="E317" s="157" t="s">
        <v>100</v>
      </c>
      <c r="F317" s="157" t="s">
        <v>88</v>
      </c>
      <c r="G317" s="157" t="s">
        <v>87</v>
      </c>
      <c r="H317" s="157" t="s">
        <v>84</v>
      </c>
      <c r="I317" s="159"/>
      <c r="J317" s="159"/>
      <c r="K317" s="157" t="s">
        <v>38</v>
      </c>
      <c r="L317" s="157" t="s">
        <v>89</v>
      </c>
      <c r="M317" s="157">
        <v>3492.0</v>
      </c>
      <c r="N317" s="157">
        <v>484.0</v>
      </c>
      <c r="O317" s="157">
        <v>20.39</v>
      </c>
      <c r="P317" s="160">
        <v>9868.76</v>
      </c>
      <c r="Q317" s="157">
        <v>930.0</v>
      </c>
      <c r="R317" s="161">
        <v>10798.76</v>
      </c>
      <c r="S317" s="6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>
      <c r="A318" s="2"/>
      <c r="B318" s="156">
        <v>9.0</v>
      </c>
      <c r="C318" s="157">
        <v>1.004792538E9</v>
      </c>
      <c r="D318" s="158">
        <v>46272.0</v>
      </c>
      <c r="E318" s="157" t="s">
        <v>106</v>
      </c>
      <c r="F318" s="157" t="s">
        <v>108</v>
      </c>
      <c r="G318" s="157" t="s">
        <v>107</v>
      </c>
      <c r="H318" s="157" t="s">
        <v>109</v>
      </c>
      <c r="I318" s="159"/>
      <c r="J318" s="159"/>
      <c r="K318" s="157" t="s">
        <v>80</v>
      </c>
      <c r="L318" s="157" t="s">
        <v>118</v>
      </c>
      <c r="M318" s="157">
        <v>2873.0</v>
      </c>
      <c r="N318" s="157">
        <v>482.0</v>
      </c>
      <c r="O318" s="157">
        <v>19.39</v>
      </c>
      <c r="P318" s="160">
        <v>9345.98</v>
      </c>
      <c r="Q318" s="157">
        <v>1025.0</v>
      </c>
      <c r="R318" s="161">
        <v>10370.98</v>
      </c>
      <c r="S318" s="6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>
      <c r="A319" s="2"/>
      <c r="B319" s="156">
        <v>10.0</v>
      </c>
      <c r="C319" s="157">
        <v>1.004792556E9</v>
      </c>
      <c r="D319" s="158">
        <v>46272.0</v>
      </c>
      <c r="E319" s="157" t="s">
        <v>55</v>
      </c>
      <c r="F319" s="157" t="s">
        <v>57</v>
      </c>
      <c r="G319" s="157" t="s">
        <v>103</v>
      </c>
      <c r="H319" s="157" t="s">
        <v>58</v>
      </c>
      <c r="I319" s="157" t="s">
        <v>59</v>
      </c>
      <c r="J319" s="157" t="s">
        <v>56</v>
      </c>
      <c r="K319" s="157" t="s">
        <v>80</v>
      </c>
      <c r="L319" s="157" t="s">
        <v>105</v>
      </c>
      <c r="M319" s="157">
        <v>2677.0</v>
      </c>
      <c r="N319" s="157">
        <v>572.0</v>
      </c>
      <c r="O319" s="157">
        <v>19.39</v>
      </c>
      <c r="P319" s="160">
        <v>11091.08</v>
      </c>
      <c r="Q319" s="157">
        <v>330.0</v>
      </c>
      <c r="R319" s="161">
        <v>11421.08</v>
      </c>
      <c r="S319" s="6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>
      <c r="A320" s="2"/>
      <c r="B320" s="138"/>
      <c r="C320" s="139"/>
      <c r="D320" s="139"/>
      <c r="E320" s="139"/>
      <c r="F320" s="139"/>
      <c r="G320" s="139"/>
      <c r="H320" s="139"/>
      <c r="I320" s="139"/>
      <c r="J320" s="139"/>
      <c r="K320" s="139"/>
      <c r="L320" s="139"/>
      <c r="M320" s="139"/>
      <c r="N320" s="139"/>
      <c r="O320" s="139"/>
      <c r="P320" s="139"/>
      <c r="Q320" s="139"/>
      <c r="R320" s="162"/>
      <c r="S320" s="6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>
      <c r="A321" s="2"/>
      <c r="B321" s="163" t="s">
        <v>64</v>
      </c>
      <c r="C321" s="68"/>
      <c r="D321" s="131" t="str">
        <f>MONEYTEXT(R321, "INR")</f>
        <v/>
      </c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76"/>
      <c r="P321" s="164" t="s">
        <v>65</v>
      </c>
      <c r="Q321" s="4"/>
      <c r="R321" s="142">
        <f>SUM(R310:R319)</f>
        <v>59768.82</v>
      </c>
      <c r="S321" s="6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>
      <c r="A322" s="2"/>
      <c r="B322" s="163" t="s">
        <v>66</v>
      </c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76"/>
      <c r="P322" s="165" t="s">
        <v>67</v>
      </c>
      <c r="Q322" s="31"/>
      <c r="R322" s="32"/>
      <c r="S322" s="6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>
      <c r="A323" s="2"/>
      <c r="B323" s="166" t="s">
        <v>68</v>
      </c>
      <c r="P323" s="139"/>
      <c r="Q323" s="139"/>
      <c r="R323" s="162"/>
      <c r="S323" s="6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>
      <c r="A324" s="2"/>
      <c r="B324" s="166" t="s">
        <v>70</v>
      </c>
      <c r="P324" s="139"/>
      <c r="Q324" s="139"/>
      <c r="R324" s="162"/>
      <c r="S324" s="6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>
      <c r="A325" s="2"/>
      <c r="B325" s="138"/>
      <c r="C325" s="139"/>
      <c r="D325" s="139"/>
      <c r="E325" s="139"/>
      <c r="F325" s="139"/>
      <c r="G325" s="139"/>
      <c r="H325" s="139"/>
      <c r="I325" s="139"/>
      <c r="J325" s="139"/>
      <c r="K325" s="139"/>
      <c r="L325" s="139"/>
      <c r="M325" s="139"/>
      <c r="N325" s="139"/>
      <c r="O325" s="139"/>
      <c r="P325" s="139"/>
      <c r="Q325" s="139"/>
      <c r="R325" s="162"/>
      <c r="S325" s="6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>
      <c r="A326" s="2"/>
      <c r="B326" s="138"/>
      <c r="C326" s="139"/>
      <c r="D326" s="139"/>
      <c r="E326" s="139"/>
      <c r="F326" s="139"/>
      <c r="G326" s="139"/>
      <c r="H326" s="139"/>
      <c r="I326" s="139"/>
      <c r="J326" s="139"/>
      <c r="K326" s="167" t="s">
        <v>71</v>
      </c>
      <c r="L326" s="139"/>
      <c r="M326" s="139"/>
      <c r="N326" s="139"/>
      <c r="O326" s="139"/>
      <c r="P326" s="140" t="s">
        <v>72</v>
      </c>
      <c r="R326" s="10"/>
      <c r="S326" s="6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>
      <c r="A327" s="2"/>
      <c r="B327" s="168"/>
      <c r="C327" s="150"/>
      <c r="D327" s="150"/>
      <c r="E327" s="150"/>
      <c r="F327" s="150"/>
      <c r="G327" s="150"/>
      <c r="H327" s="150"/>
      <c r="I327" s="150"/>
      <c r="J327" s="150"/>
      <c r="K327" s="150"/>
      <c r="L327" s="150"/>
      <c r="M327" s="150"/>
      <c r="N327" s="150"/>
      <c r="O327" s="150"/>
      <c r="P327" s="150"/>
      <c r="Q327" s="150"/>
      <c r="R327" s="169"/>
      <c r="S327" s="6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ht="34.5" customHeight="1">
      <c r="A328" s="2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>
      <c r="A329" s="2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ht="33.0" customHeight="1">
      <c r="A330" s="2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>
      <c r="A331" s="2"/>
      <c r="B331" s="3" t="s">
        <v>1</v>
      </c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5"/>
      <c r="S331" s="6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>
      <c r="A332" s="2"/>
      <c r="B332" s="138"/>
      <c r="F332" s="139"/>
      <c r="G332" s="139"/>
      <c r="H332" s="139"/>
      <c r="I332" s="139"/>
      <c r="J332" s="140" t="s">
        <v>2</v>
      </c>
      <c r="N332" s="139"/>
      <c r="R332" s="10"/>
      <c r="S332" s="6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>
      <c r="A333" s="2"/>
      <c r="B333" s="138"/>
      <c r="F333" s="139"/>
      <c r="G333" s="139"/>
      <c r="H333" s="139"/>
      <c r="I333" s="139"/>
      <c r="J333" s="140" t="s">
        <v>3</v>
      </c>
      <c r="N333" s="139"/>
      <c r="R333" s="10"/>
      <c r="S333" s="6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>
      <c r="A334" s="2"/>
      <c r="B334" s="141" t="s">
        <v>4</v>
      </c>
      <c r="R334" s="10"/>
      <c r="S334" s="6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>
      <c r="A335" s="2"/>
      <c r="B335" s="142" t="s">
        <v>5</v>
      </c>
      <c r="C335" s="143" t="s">
        <v>6</v>
      </c>
      <c r="D335" s="4"/>
      <c r="E335" s="4"/>
      <c r="F335" s="4"/>
      <c r="G335" s="4"/>
      <c r="H335" s="4"/>
      <c r="I335" s="4"/>
      <c r="J335" s="4"/>
      <c r="K335" s="5"/>
      <c r="L335" s="144" t="s">
        <v>7</v>
      </c>
      <c r="M335" s="145">
        <v>12.0</v>
      </c>
      <c r="N335" s="146"/>
      <c r="O335" s="4"/>
      <c r="P335" s="4"/>
      <c r="Q335" s="4"/>
      <c r="R335" s="5"/>
      <c r="S335" s="6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>
      <c r="A336" s="2"/>
      <c r="B336" s="147"/>
      <c r="C336" s="148" t="s">
        <v>8</v>
      </c>
      <c r="K336" s="10"/>
      <c r="L336" s="144" t="s">
        <v>9</v>
      </c>
      <c r="M336" s="9" t="s">
        <v>10</v>
      </c>
      <c r="N336" s="139"/>
      <c r="R336" s="10"/>
      <c r="S336" s="6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>
      <c r="A337" s="2"/>
      <c r="B337" s="142" t="s">
        <v>11</v>
      </c>
      <c r="C337" s="149" t="s">
        <v>12</v>
      </c>
      <c r="D337" s="31"/>
      <c r="E337" s="31"/>
      <c r="F337" s="31"/>
      <c r="G337" s="31"/>
      <c r="H337" s="31"/>
      <c r="I337" s="31"/>
      <c r="J337" s="31"/>
      <c r="K337" s="32"/>
      <c r="L337" s="144" t="s">
        <v>13</v>
      </c>
      <c r="M337" s="33" t="s">
        <v>14</v>
      </c>
      <c r="N337" s="150"/>
      <c r="O337" s="31"/>
      <c r="P337" s="31"/>
      <c r="Q337" s="31"/>
      <c r="R337" s="32"/>
      <c r="S337" s="6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>
      <c r="A338" s="2"/>
      <c r="B338" s="138"/>
      <c r="R338" s="10"/>
      <c r="S338" s="6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>
      <c r="A339" s="2"/>
      <c r="B339" s="151" t="s">
        <v>15</v>
      </c>
      <c r="C339" s="152" t="s">
        <v>16</v>
      </c>
      <c r="D339" s="153" t="s">
        <v>17</v>
      </c>
      <c r="E339" s="153" t="s">
        <v>18</v>
      </c>
      <c r="F339" s="154" t="s">
        <v>19</v>
      </c>
      <c r="G339" s="43"/>
      <c r="H339" s="43"/>
      <c r="I339" s="43"/>
      <c r="J339" s="44"/>
      <c r="K339" s="153" t="s">
        <v>20</v>
      </c>
      <c r="L339" s="153" t="s">
        <v>21</v>
      </c>
      <c r="M339" s="153" t="s">
        <v>22</v>
      </c>
      <c r="N339" s="153" t="s">
        <v>23</v>
      </c>
      <c r="O339" s="153" t="s">
        <v>24</v>
      </c>
      <c r="P339" s="153" t="s">
        <v>25</v>
      </c>
      <c r="Q339" s="153" t="s">
        <v>26</v>
      </c>
      <c r="R339" s="155" t="s">
        <v>27</v>
      </c>
      <c r="S339" s="6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>
      <c r="A340" s="2"/>
      <c r="B340" s="156">
        <v>1.0</v>
      </c>
      <c r="C340" s="157">
        <v>1.004792569E9</v>
      </c>
      <c r="D340" s="158">
        <v>46272.0</v>
      </c>
      <c r="E340" s="157" t="s">
        <v>100</v>
      </c>
      <c r="F340" s="157" t="s">
        <v>83</v>
      </c>
      <c r="G340" s="157"/>
      <c r="H340" s="159"/>
      <c r="I340" s="159"/>
      <c r="J340" s="159"/>
      <c r="K340" s="157" t="s">
        <v>80</v>
      </c>
      <c r="L340" s="157" t="s">
        <v>96</v>
      </c>
      <c r="M340" s="157">
        <v>2744.0</v>
      </c>
      <c r="N340" s="157">
        <v>122.0</v>
      </c>
      <c r="O340" s="157">
        <v>19.39</v>
      </c>
      <c r="P340" s="160">
        <v>2365.58</v>
      </c>
      <c r="Q340" s="157">
        <v>115.0</v>
      </c>
      <c r="R340" s="161">
        <v>2480.58</v>
      </c>
      <c r="S340" s="6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>
      <c r="A341" s="2"/>
      <c r="B341" s="156">
        <v>2.0</v>
      </c>
      <c r="C341" s="157">
        <v>1.004793443E9</v>
      </c>
      <c r="D341" s="158">
        <v>46302.0</v>
      </c>
      <c r="E341" s="157" t="s">
        <v>28</v>
      </c>
      <c r="F341" s="157" t="s">
        <v>29</v>
      </c>
      <c r="G341" s="157" t="s">
        <v>30</v>
      </c>
      <c r="H341" s="157" t="s">
        <v>32</v>
      </c>
      <c r="I341" s="157" t="s">
        <v>32</v>
      </c>
      <c r="J341" s="159"/>
      <c r="K341" s="157" t="s">
        <v>33</v>
      </c>
      <c r="L341" s="157" t="s">
        <v>34</v>
      </c>
      <c r="M341" s="157">
        <v>2055.0</v>
      </c>
      <c r="N341" s="157">
        <v>246.0</v>
      </c>
      <c r="O341" s="157">
        <v>16.5</v>
      </c>
      <c r="P341" s="160">
        <v>4059.0</v>
      </c>
      <c r="Q341" s="159"/>
      <c r="R341" s="161">
        <v>4059.0</v>
      </c>
      <c r="S341" s="6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>
      <c r="A342" s="2"/>
      <c r="B342" s="156">
        <v>3.0</v>
      </c>
      <c r="C342" s="157">
        <v>1.004793483E9</v>
      </c>
      <c r="D342" s="158">
        <v>46302.0</v>
      </c>
      <c r="E342" s="157" t="s">
        <v>35</v>
      </c>
      <c r="F342" s="157" t="s">
        <v>40</v>
      </c>
      <c r="G342" s="157" t="s">
        <v>36</v>
      </c>
      <c r="H342" s="159"/>
      <c r="I342" s="159"/>
      <c r="J342" s="159"/>
      <c r="K342" s="157" t="s">
        <v>33</v>
      </c>
      <c r="L342" s="157" t="s">
        <v>41</v>
      </c>
      <c r="M342" s="157">
        <v>1711.0</v>
      </c>
      <c r="N342" s="157">
        <v>150.0</v>
      </c>
      <c r="O342" s="157">
        <v>16.5</v>
      </c>
      <c r="P342" s="160">
        <v>2475.0</v>
      </c>
      <c r="Q342" s="159"/>
      <c r="R342" s="161">
        <v>2475.0</v>
      </c>
      <c r="S342" s="6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>
      <c r="A343" s="2"/>
      <c r="B343" s="156">
        <v>4.0</v>
      </c>
      <c r="C343" s="157">
        <v>1.004793475E9</v>
      </c>
      <c r="D343" s="158">
        <v>46302.0</v>
      </c>
      <c r="E343" s="157" t="s">
        <v>35</v>
      </c>
      <c r="F343" s="157" t="s">
        <v>37</v>
      </c>
      <c r="G343" s="157" t="s">
        <v>36</v>
      </c>
      <c r="H343" s="159"/>
      <c r="I343" s="159"/>
      <c r="J343" s="159"/>
      <c r="K343" s="157" t="s">
        <v>38</v>
      </c>
      <c r="L343" s="157" t="s">
        <v>97</v>
      </c>
      <c r="M343" s="157">
        <v>3182.0</v>
      </c>
      <c r="N343" s="157">
        <v>200.0</v>
      </c>
      <c r="O343" s="157">
        <v>20.39</v>
      </c>
      <c r="P343" s="160">
        <v>4078.0</v>
      </c>
      <c r="Q343" s="159"/>
      <c r="R343" s="161">
        <v>4078.0</v>
      </c>
      <c r="S343" s="6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>
      <c r="A344" s="2"/>
      <c r="B344" s="156">
        <v>5.0</v>
      </c>
      <c r="C344" s="157">
        <v>1.004793543E9</v>
      </c>
      <c r="D344" s="158">
        <v>46302.0</v>
      </c>
      <c r="E344" s="157" t="s">
        <v>42</v>
      </c>
      <c r="F344" s="157" t="s">
        <v>44</v>
      </c>
      <c r="G344" s="157" t="s">
        <v>43</v>
      </c>
      <c r="H344" s="157" t="s">
        <v>49</v>
      </c>
      <c r="I344" s="159"/>
      <c r="J344" s="159"/>
      <c r="K344" s="157" t="s">
        <v>45</v>
      </c>
      <c r="L344" s="157" t="s">
        <v>98</v>
      </c>
      <c r="M344" s="157">
        <v>1450.0</v>
      </c>
      <c r="N344" s="157">
        <v>299.0</v>
      </c>
      <c r="O344" s="157">
        <v>16.5</v>
      </c>
      <c r="P344" s="160">
        <v>4933.5</v>
      </c>
      <c r="Q344" s="159"/>
      <c r="R344" s="161">
        <v>4933.5</v>
      </c>
      <c r="S344" s="6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>
      <c r="A345" s="2"/>
      <c r="B345" s="156">
        <v>6.0</v>
      </c>
      <c r="C345" s="157">
        <v>1.004794129E9</v>
      </c>
      <c r="D345" s="158">
        <v>46302.0</v>
      </c>
      <c r="E345" s="157" t="s">
        <v>51</v>
      </c>
      <c r="F345" s="157" t="s">
        <v>44</v>
      </c>
      <c r="G345" s="157" t="s">
        <v>49</v>
      </c>
      <c r="H345" s="157"/>
      <c r="I345" s="159"/>
      <c r="J345" s="159"/>
      <c r="K345" s="157" t="s">
        <v>45</v>
      </c>
      <c r="L345" s="157" t="s">
        <v>50</v>
      </c>
      <c r="M345" s="157">
        <v>1715.0</v>
      </c>
      <c r="N345" s="157">
        <v>230.0</v>
      </c>
      <c r="O345" s="157">
        <v>16.5</v>
      </c>
      <c r="P345" s="160">
        <v>3795.0</v>
      </c>
      <c r="Q345" s="157"/>
      <c r="R345" s="161">
        <v>3795.0</v>
      </c>
      <c r="S345" s="6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>
      <c r="A346" s="2"/>
      <c r="B346" s="156">
        <v>7.0</v>
      </c>
      <c r="C346" s="157">
        <v>1.004794134E9</v>
      </c>
      <c r="D346" s="158">
        <v>46302.0</v>
      </c>
      <c r="E346" s="157" t="s">
        <v>51</v>
      </c>
      <c r="F346" s="157" t="s">
        <v>44</v>
      </c>
      <c r="G346" s="157"/>
      <c r="H346" s="159"/>
      <c r="I346" s="159"/>
      <c r="J346" s="159"/>
      <c r="K346" s="157" t="s">
        <v>45</v>
      </c>
      <c r="L346" s="157" t="s">
        <v>52</v>
      </c>
      <c r="M346" s="157">
        <v>1659.0</v>
      </c>
      <c r="N346" s="157">
        <v>230.0</v>
      </c>
      <c r="O346" s="157">
        <v>16.5</v>
      </c>
      <c r="P346" s="160">
        <v>3795.0</v>
      </c>
      <c r="Q346" s="157"/>
      <c r="R346" s="161">
        <v>3795.0</v>
      </c>
      <c r="S346" s="6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>
      <c r="A347" s="2"/>
      <c r="B347" s="156">
        <v>8.0</v>
      </c>
      <c r="C347" s="157">
        <v>1.004794237E9</v>
      </c>
      <c r="D347" s="158">
        <v>46302.0</v>
      </c>
      <c r="E347" s="157" t="s">
        <v>51</v>
      </c>
      <c r="F347" s="157" t="s">
        <v>44</v>
      </c>
      <c r="G347" s="157" t="s">
        <v>49</v>
      </c>
      <c r="H347" s="157"/>
      <c r="I347" s="157"/>
      <c r="J347" s="159"/>
      <c r="K347" s="157" t="s">
        <v>45</v>
      </c>
      <c r="L347" s="157" t="s">
        <v>53</v>
      </c>
      <c r="M347" s="157">
        <v>1590.0</v>
      </c>
      <c r="N347" s="157">
        <v>230.0</v>
      </c>
      <c r="O347" s="157">
        <v>16.5</v>
      </c>
      <c r="P347" s="160">
        <v>3795.0</v>
      </c>
      <c r="Q347" s="157"/>
      <c r="R347" s="161">
        <v>3795.0</v>
      </c>
      <c r="S347" s="6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>
      <c r="A348" s="2"/>
      <c r="B348" s="156">
        <v>9.0</v>
      </c>
      <c r="C348" s="157">
        <v>1.004793553E9</v>
      </c>
      <c r="D348" s="158">
        <v>46302.0</v>
      </c>
      <c r="E348" s="157" t="s">
        <v>51</v>
      </c>
      <c r="F348" s="157" t="s">
        <v>44</v>
      </c>
      <c r="G348" s="157"/>
      <c r="H348" s="157"/>
      <c r="I348" s="157"/>
      <c r="J348" s="157"/>
      <c r="K348" s="157" t="s">
        <v>45</v>
      </c>
      <c r="L348" s="157" t="s">
        <v>54</v>
      </c>
      <c r="M348" s="157">
        <v>1630.0</v>
      </c>
      <c r="N348" s="157">
        <v>230.0</v>
      </c>
      <c r="O348" s="157">
        <v>16.5</v>
      </c>
      <c r="P348" s="160">
        <v>3795.0</v>
      </c>
      <c r="Q348" s="159"/>
      <c r="R348" s="161">
        <v>3795.0</v>
      </c>
      <c r="S348" s="6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>
      <c r="A349" s="2"/>
      <c r="B349" s="156">
        <v>10.0</v>
      </c>
      <c r="C349" s="157">
        <v>1.004794195E9</v>
      </c>
      <c r="D349" s="158">
        <v>46302.0</v>
      </c>
      <c r="E349" s="157" t="s">
        <v>77</v>
      </c>
      <c r="F349" s="157" t="s">
        <v>78</v>
      </c>
      <c r="G349" s="157" t="s">
        <v>116</v>
      </c>
      <c r="H349" s="159"/>
      <c r="I349" s="159"/>
      <c r="J349" s="159"/>
      <c r="K349" s="157" t="s">
        <v>33</v>
      </c>
      <c r="L349" s="157" t="s">
        <v>104</v>
      </c>
      <c r="M349" s="157">
        <v>2057.0</v>
      </c>
      <c r="N349" s="157">
        <v>266.0</v>
      </c>
      <c r="O349" s="157">
        <v>16.5</v>
      </c>
      <c r="P349" s="160">
        <v>4389.0</v>
      </c>
      <c r="Q349" s="159"/>
      <c r="R349" s="161">
        <v>4389.0</v>
      </c>
      <c r="S349" s="6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>
      <c r="A350" s="2"/>
      <c r="B350" s="138"/>
      <c r="C350" s="139"/>
      <c r="D350" s="139"/>
      <c r="E350" s="139"/>
      <c r="F350" s="139"/>
      <c r="G350" s="139"/>
      <c r="H350" s="139"/>
      <c r="I350" s="139"/>
      <c r="J350" s="139"/>
      <c r="K350" s="139"/>
      <c r="L350" s="139"/>
      <c r="M350" s="139"/>
      <c r="N350" s="139"/>
      <c r="O350" s="139"/>
      <c r="P350" s="139"/>
      <c r="Q350" s="139"/>
      <c r="R350" s="162"/>
      <c r="S350" s="6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>
      <c r="A351" s="2"/>
      <c r="B351" s="163" t="s">
        <v>64</v>
      </c>
      <c r="C351" s="68"/>
      <c r="D351" s="131" t="str">
        <f>MONEYTEXT(R351, "INR")</f>
        <v>Thirty-seven thousand five hundred ninety-five Indian rupees and eight paise</v>
      </c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76"/>
      <c r="P351" s="164" t="s">
        <v>65</v>
      </c>
      <c r="Q351" s="4"/>
      <c r="R351" s="142">
        <f>SUM(R340:R349)</f>
        <v>37595.08</v>
      </c>
      <c r="S351" s="6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>
      <c r="A352" s="2"/>
      <c r="B352" s="163" t="s">
        <v>66</v>
      </c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76"/>
      <c r="P352" s="165" t="s">
        <v>67</v>
      </c>
      <c r="Q352" s="31"/>
      <c r="R352" s="32"/>
      <c r="S352" s="6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>
      <c r="A353" s="2"/>
      <c r="B353" s="166" t="s">
        <v>68</v>
      </c>
      <c r="P353" s="139"/>
      <c r="Q353" s="139"/>
      <c r="R353" s="162"/>
      <c r="S353" s="6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>
      <c r="A354" s="2"/>
      <c r="B354" s="166" t="s">
        <v>70</v>
      </c>
      <c r="P354" s="139"/>
      <c r="Q354" s="139"/>
      <c r="R354" s="162"/>
      <c r="S354" s="6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>
      <c r="A355" s="2"/>
      <c r="B355" s="138"/>
      <c r="C355" s="139"/>
      <c r="D355" s="139"/>
      <c r="E355" s="139"/>
      <c r="F355" s="139"/>
      <c r="G355" s="139"/>
      <c r="H355" s="139"/>
      <c r="I355" s="139"/>
      <c r="J355" s="139"/>
      <c r="K355" s="139"/>
      <c r="L355" s="139"/>
      <c r="M355" s="139"/>
      <c r="N355" s="139"/>
      <c r="O355" s="139"/>
      <c r="P355" s="139"/>
      <c r="Q355" s="139"/>
      <c r="R355" s="162"/>
      <c r="S355" s="6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>
      <c r="A356" s="2"/>
      <c r="B356" s="138"/>
      <c r="C356" s="139"/>
      <c r="D356" s="139"/>
      <c r="E356" s="139"/>
      <c r="F356" s="139"/>
      <c r="G356" s="139"/>
      <c r="H356" s="139"/>
      <c r="I356" s="139"/>
      <c r="J356" s="139"/>
      <c r="K356" s="167" t="s">
        <v>71</v>
      </c>
      <c r="L356" s="139"/>
      <c r="M356" s="139"/>
      <c r="N356" s="139"/>
      <c r="O356" s="139"/>
      <c r="P356" s="140" t="s">
        <v>72</v>
      </c>
      <c r="R356" s="10"/>
      <c r="S356" s="6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>
      <c r="A357" s="2"/>
      <c r="B357" s="168"/>
      <c r="C357" s="150"/>
      <c r="D357" s="150"/>
      <c r="E357" s="150"/>
      <c r="F357" s="150"/>
      <c r="G357" s="150"/>
      <c r="H357" s="150"/>
      <c r="I357" s="150"/>
      <c r="J357" s="150"/>
      <c r="K357" s="150"/>
      <c r="L357" s="150"/>
      <c r="M357" s="150"/>
      <c r="N357" s="150"/>
      <c r="O357" s="150"/>
      <c r="P357" s="150"/>
      <c r="Q357" s="150"/>
      <c r="R357" s="169"/>
      <c r="S357" s="6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>
      <c r="A358" s="2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ht="54.75" customHeight="1">
      <c r="A359" s="2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>
      <c r="A360" s="2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>
      <c r="A361" s="2"/>
      <c r="B361" s="3" t="s">
        <v>1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5"/>
      <c r="S361" s="6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>
      <c r="A362" s="2"/>
      <c r="B362" s="138"/>
      <c r="F362" s="139"/>
      <c r="G362" s="139"/>
      <c r="H362" s="139"/>
      <c r="I362" s="139"/>
      <c r="J362" s="140" t="s">
        <v>2</v>
      </c>
      <c r="N362" s="139"/>
      <c r="R362" s="10"/>
      <c r="S362" s="6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>
      <c r="A363" s="2"/>
      <c r="B363" s="138"/>
      <c r="F363" s="139"/>
      <c r="G363" s="139"/>
      <c r="H363" s="139"/>
      <c r="I363" s="139"/>
      <c r="J363" s="140" t="s">
        <v>3</v>
      </c>
      <c r="N363" s="139"/>
      <c r="R363" s="10"/>
      <c r="S363" s="6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>
      <c r="A364" s="2"/>
      <c r="B364" s="141" t="s">
        <v>4</v>
      </c>
      <c r="R364" s="10"/>
      <c r="S364" s="6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>
      <c r="A365" s="2"/>
      <c r="B365" s="142" t="s">
        <v>5</v>
      </c>
      <c r="C365" s="143" t="s">
        <v>6</v>
      </c>
      <c r="D365" s="4"/>
      <c r="E365" s="4"/>
      <c r="F365" s="4"/>
      <c r="G365" s="4"/>
      <c r="H365" s="4"/>
      <c r="I365" s="4"/>
      <c r="J365" s="4"/>
      <c r="K365" s="5"/>
      <c r="L365" s="144" t="s">
        <v>7</v>
      </c>
      <c r="M365" s="145">
        <v>13.0</v>
      </c>
      <c r="N365" s="146"/>
      <c r="O365" s="4"/>
      <c r="P365" s="4"/>
      <c r="Q365" s="4"/>
      <c r="R365" s="5"/>
      <c r="S365" s="6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>
      <c r="A366" s="2"/>
      <c r="B366" s="147"/>
      <c r="C366" s="148" t="s">
        <v>8</v>
      </c>
      <c r="K366" s="10"/>
      <c r="L366" s="144" t="s">
        <v>9</v>
      </c>
      <c r="M366" s="9" t="s">
        <v>10</v>
      </c>
      <c r="N366" s="139"/>
      <c r="R366" s="10"/>
      <c r="S366" s="6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>
      <c r="A367" s="2"/>
      <c r="B367" s="142" t="s">
        <v>11</v>
      </c>
      <c r="C367" s="149" t="s">
        <v>12</v>
      </c>
      <c r="D367" s="31"/>
      <c r="E367" s="31"/>
      <c r="F367" s="31"/>
      <c r="G367" s="31"/>
      <c r="H367" s="31"/>
      <c r="I367" s="31"/>
      <c r="J367" s="31"/>
      <c r="K367" s="32"/>
      <c r="L367" s="144"/>
      <c r="M367" s="33" t="s">
        <v>14</v>
      </c>
      <c r="N367" s="150"/>
      <c r="O367" s="31"/>
      <c r="P367" s="31"/>
      <c r="Q367" s="31"/>
      <c r="R367" s="32"/>
      <c r="S367" s="6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>
      <c r="A368" s="2"/>
      <c r="B368" s="138"/>
      <c r="R368" s="10"/>
      <c r="S368" s="6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>
      <c r="A369" s="2"/>
      <c r="B369" s="151" t="s">
        <v>15</v>
      </c>
      <c r="C369" s="152" t="s">
        <v>16</v>
      </c>
      <c r="D369" s="153" t="s">
        <v>17</v>
      </c>
      <c r="E369" s="153" t="s">
        <v>18</v>
      </c>
      <c r="F369" s="154" t="s">
        <v>19</v>
      </c>
      <c r="G369" s="43"/>
      <c r="H369" s="43"/>
      <c r="I369" s="43"/>
      <c r="J369" s="44"/>
      <c r="K369" s="153" t="s">
        <v>20</v>
      </c>
      <c r="L369" s="153" t="s">
        <v>21</v>
      </c>
      <c r="M369" s="153" t="s">
        <v>22</v>
      </c>
      <c r="N369" s="153" t="s">
        <v>23</v>
      </c>
      <c r="O369" s="153" t="s">
        <v>24</v>
      </c>
      <c r="P369" s="153" t="s">
        <v>25</v>
      </c>
      <c r="Q369" s="153" t="s">
        <v>26</v>
      </c>
      <c r="R369" s="155" t="s">
        <v>27</v>
      </c>
      <c r="S369" s="6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>
      <c r="A370" s="2"/>
      <c r="B370" s="156">
        <v>1.0</v>
      </c>
      <c r="C370" s="157">
        <v>1.004794493E9</v>
      </c>
      <c r="D370" s="158">
        <v>46302.0</v>
      </c>
      <c r="E370" s="157" t="s">
        <v>77</v>
      </c>
      <c r="F370" s="157" t="s">
        <v>78</v>
      </c>
      <c r="G370" s="157" t="s">
        <v>79</v>
      </c>
      <c r="H370" s="159"/>
      <c r="I370" s="159"/>
      <c r="J370" s="159"/>
      <c r="K370" s="157" t="s">
        <v>38</v>
      </c>
      <c r="L370" s="157" t="s">
        <v>101</v>
      </c>
      <c r="M370" s="157">
        <v>3465.0</v>
      </c>
      <c r="N370" s="157">
        <v>416.0</v>
      </c>
      <c r="O370" s="157">
        <v>20.39</v>
      </c>
      <c r="P370" s="160">
        <v>8482.24</v>
      </c>
      <c r="Q370" s="157">
        <v>505.0</v>
      </c>
      <c r="R370" s="161">
        <v>8987.24</v>
      </c>
      <c r="S370" s="6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>
      <c r="A371" s="2"/>
      <c r="B371" s="156">
        <v>2.0</v>
      </c>
      <c r="C371" s="157">
        <v>1.004794192E9</v>
      </c>
      <c r="D371" s="158">
        <v>46302.0</v>
      </c>
      <c r="E371" s="157" t="s">
        <v>77</v>
      </c>
      <c r="F371" s="157" t="s">
        <v>78</v>
      </c>
      <c r="G371" s="157" t="s">
        <v>79</v>
      </c>
      <c r="H371" s="159"/>
      <c r="I371" s="159"/>
      <c r="J371" s="159"/>
      <c r="K371" s="157" t="s">
        <v>38</v>
      </c>
      <c r="L371" s="157" t="s">
        <v>81</v>
      </c>
      <c r="M371" s="157">
        <v>3480.0</v>
      </c>
      <c r="N371" s="157">
        <v>416.0</v>
      </c>
      <c r="O371" s="157">
        <v>20.39</v>
      </c>
      <c r="P371" s="160">
        <v>8482.24</v>
      </c>
      <c r="Q371" s="157">
        <v>505.0</v>
      </c>
      <c r="R371" s="161">
        <v>8987.24</v>
      </c>
      <c r="S371" s="6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>
      <c r="A372" s="2"/>
      <c r="B372" s="156">
        <v>3.0</v>
      </c>
      <c r="C372" s="157">
        <v>1.004794185E9</v>
      </c>
      <c r="D372" s="158">
        <v>46302.0</v>
      </c>
      <c r="E372" s="157" t="s">
        <v>90</v>
      </c>
      <c r="F372" s="157" t="s">
        <v>91</v>
      </c>
      <c r="G372" s="157" t="s">
        <v>83</v>
      </c>
      <c r="H372" s="159"/>
      <c r="I372" s="159"/>
      <c r="J372" s="159"/>
      <c r="K372" s="157" t="s">
        <v>33</v>
      </c>
      <c r="L372" s="157" t="s">
        <v>121</v>
      </c>
      <c r="M372" s="157">
        <v>1708.0</v>
      </c>
      <c r="N372" s="157">
        <v>216.0</v>
      </c>
      <c r="O372" s="157">
        <v>16.5</v>
      </c>
      <c r="P372" s="160">
        <v>3564.0</v>
      </c>
      <c r="Q372" s="159"/>
      <c r="R372" s="161">
        <v>3564.0</v>
      </c>
      <c r="S372" s="6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>
      <c r="A373" s="2"/>
      <c r="B373" s="156">
        <v>4.0</v>
      </c>
      <c r="C373" s="157">
        <v>1.004794179E9</v>
      </c>
      <c r="D373" s="158">
        <v>46302.0</v>
      </c>
      <c r="E373" s="157" t="s">
        <v>90</v>
      </c>
      <c r="F373" s="157" t="s">
        <v>92</v>
      </c>
      <c r="G373" s="157" t="s">
        <v>91</v>
      </c>
      <c r="H373" s="157" t="s">
        <v>93</v>
      </c>
      <c r="I373" s="157" t="s">
        <v>94</v>
      </c>
      <c r="J373" s="159"/>
      <c r="K373" s="157" t="s">
        <v>38</v>
      </c>
      <c r="L373" s="157" t="s">
        <v>102</v>
      </c>
      <c r="M373" s="157">
        <v>3298.0</v>
      </c>
      <c r="N373" s="157">
        <v>405.0</v>
      </c>
      <c r="O373" s="157">
        <v>20.39</v>
      </c>
      <c r="P373" s="160">
        <v>8257.95</v>
      </c>
      <c r="Q373" s="157">
        <v>500.0</v>
      </c>
      <c r="R373" s="161">
        <v>8757.95</v>
      </c>
      <c r="S373" s="6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>
      <c r="A374" s="2"/>
      <c r="B374" s="156">
        <v>5.0</v>
      </c>
      <c r="C374" s="157">
        <v>1.004794497E9</v>
      </c>
      <c r="D374" s="158">
        <v>46302.0</v>
      </c>
      <c r="E374" s="157" t="s">
        <v>61</v>
      </c>
      <c r="F374" s="157" t="s">
        <v>74</v>
      </c>
      <c r="G374" s="157" t="s">
        <v>73</v>
      </c>
      <c r="H374" s="157" t="s">
        <v>62</v>
      </c>
      <c r="I374" s="157" t="s">
        <v>75</v>
      </c>
      <c r="J374" s="159"/>
      <c r="K374" s="157" t="s">
        <v>33</v>
      </c>
      <c r="L374" s="157" t="s">
        <v>76</v>
      </c>
      <c r="M374" s="157">
        <v>22317.0</v>
      </c>
      <c r="N374" s="157">
        <v>560.0</v>
      </c>
      <c r="O374" s="157">
        <v>16.5</v>
      </c>
      <c r="P374" s="160">
        <v>9240.0</v>
      </c>
      <c r="Q374" s="157">
        <v>1085.0</v>
      </c>
      <c r="R374" s="161">
        <v>10325.0</v>
      </c>
      <c r="S374" s="6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>
      <c r="A375" s="2"/>
      <c r="B375" s="156">
        <v>6.0</v>
      </c>
      <c r="D375" s="158"/>
      <c r="E375" s="157"/>
      <c r="F375" s="157"/>
      <c r="G375" s="157"/>
      <c r="H375" s="157"/>
      <c r="I375" s="159"/>
      <c r="J375" s="159"/>
      <c r="K375" s="157"/>
      <c r="L375" s="157"/>
      <c r="M375" s="157"/>
      <c r="N375" s="157"/>
      <c r="O375" s="157"/>
      <c r="P375" s="160"/>
      <c r="Q375" s="157"/>
      <c r="R375" s="170"/>
      <c r="S375" s="6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>
      <c r="A376" s="2"/>
      <c r="B376" s="156">
        <v>7.0</v>
      </c>
      <c r="C376" s="157"/>
      <c r="D376" s="158"/>
      <c r="E376" s="157"/>
      <c r="F376" s="157"/>
      <c r="G376" s="157"/>
      <c r="H376" s="157"/>
      <c r="I376" s="157"/>
      <c r="J376" s="159"/>
      <c r="K376" s="157"/>
      <c r="L376" s="157"/>
      <c r="M376" s="157"/>
      <c r="N376" s="157"/>
      <c r="O376" s="157"/>
      <c r="P376" s="160"/>
      <c r="Q376" s="157"/>
      <c r="R376" s="170"/>
      <c r="S376" s="6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>
      <c r="A377" s="2"/>
      <c r="B377" s="156">
        <v>8.0</v>
      </c>
      <c r="C377" s="157"/>
      <c r="D377" s="158"/>
      <c r="E377" s="157"/>
      <c r="F377" s="157"/>
      <c r="G377" s="157"/>
      <c r="H377" s="159"/>
      <c r="I377" s="159"/>
      <c r="J377" s="159"/>
      <c r="K377" s="157"/>
      <c r="L377" s="157"/>
      <c r="M377" s="157"/>
      <c r="N377" s="157"/>
      <c r="O377" s="157"/>
      <c r="P377" s="171"/>
      <c r="Q377" s="157"/>
      <c r="R377" s="170"/>
      <c r="S377" s="6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>
      <c r="A378" s="2"/>
      <c r="B378" s="156">
        <v>9.0</v>
      </c>
      <c r="C378" s="157"/>
      <c r="D378" s="158"/>
      <c r="E378" s="157"/>
      <c r="F378" s="157"/>
      <c r="G378" s="157"/>
      <c r="H378" s="159"/>
      <c r="I378" s="159"/>
      <c r="J378" s="159"/>
      <c r="K378" s="157"/>
      <c r="L378" s="157"/>
      <c r="M378" s="157"/>
      <c r="N378" s="157"/>
      <c r="O378" s="157"/>
      <c r="P378" s="171"/>
      <c r="Q378" s="159"/>
      <c r="R378" s="170"/>
      <c r="S378" s="6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>
      <c r="A379" s="2"/>
      <c r="B379" s="156">
        <v>10.0</v>
      </c>
      <c r="C379" s="157"/>
      <c r="D379" s="158"/>
      <c r="E379" s="157"/>
      <c r="F379" s="157"/>
      <c r="G379" s="157"/>
      <c r="H379" s="157"/>
      <c r="I379" s="159"/>
      <c r="J379" s="159"/>
      <c r="K379" s="157"/>
      <c r="L379" s="157"/>
      <c r="M379" s="157"/>
      <c r="N379" s="157"/>
      <c r="O379" s="157"/>
      <c r="P379" s="171"/>
      <c r="Q379" s="159"/>
      <c r="R379" s="170"/>
      <c r="S379" s="6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>
      <c r="A380" s="2"/>
      <c r="B380" s="138"/>
      <c r="C380" s="139"/>
      <c r="D380" s="139"/>
      <c r="E380" s="139"/>
      <c r="F380" s="139"/>
      <c r="G380" s="139"/>
      <c r="H380" s="139"/>
      <c r="I380" s="139"/>
      <c r="J380" s="139"/>
      <c r="K380" s="139"/>
      <c r="L380" s="139"/>
      <c r="M380" s="139"/>
      <c r="N380" s="139"/>
      <c r="O380" s="139"/>
      <c r="P380" s="139"/>
      <c r="Q380" s="139"/>
      <c r="R380" s="162"/>
      <c r="S380" s="6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>
      <c r="A381" s="2"/>
      <c r="B381" s="163" t="s">
        <v>64</v>
      </c>
      <c r="C381" s="68"/>
      <c r="D381" s="131" t="str">
        <f>MONEYTEXT(R381, "INR")</f>
        <v>Forty thousand six hundred twenty-one Indian rupees and forty-three paise</v>
      </c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76"/>
      <c r="P381" s="164" t="s">
        <v>65</v>
      </c>
      <c r="Q381" s="4"/>
      <c r="R381" s="142">
        <f>SUM(R370:R379)</f>
        <v>40621.43</v>
      </c>
      <c r="S381" s="6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>
      <c r="A382" s="2"/>
      <c r="B382" s="163" t="s">
        <v>66</v>
      </c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76"/>
      <c r="P382" s="165" t="s">
        <v>67</v>
      </c>
      <c r="Q382" s="31"/>
      <c r="R382" s="32"/>
      <c r="S382" s="6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>
      <c r="A383" s="2"/>
      <c r="B383" s="166" t="s">
        <v>68</v>
      </c>
      <c r="P383" s="139"/>
      <c r="Q383" s="139"/>
      <c r="R383" s="162"/>
      <c r="S383" s="6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>
      <c r="A384" s="2"/>
      <c r="B384" s="166" t="s">
        <v>70</v>
      </c>
      <c r="P384" s="139"/>
      <c r="Q384" s="139"/>
      <c r="R384" s="162"/>
      <c r="S384" s="6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>
      <c r="A385" s="2"/>
      <c r="B385" s="138"/>
      <c r="C385" s="139"/>
      <c r="D385" s="139"/>
      <c r="E385" s="139"/>
      <c r="F385" s="139"/>
      <c r="G385" s="139"/>
      <c r="H385" s="139"/>
      <c r="I385" s="139"/>
      <c r="J385" s="139"/>
      <c r="K385" s="139"/>
      <c r="L385" s="139"/>
      <c r="M385" s="139"/>
      <c r="N385" s="139"/>
      <c r="O385" s="139"/>
      <c r="P385" s="139"/>
      <c r="Q385" s="139"/>
      <c r="R385" s="162"/>
      <c r="S385" s="6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>
      <c r="A386" s="2"/>
      <c r="B386" s="138"/>
      <c r="C386" s="139"/>
      <c r="D386" s="139"/>
      <c r="E386" s="139"/>
      <c r="F386" s="139"/>
      <c r="G386" s="139"/>
      <c r="H386" s="139"/>
      <c r="I386" s="139"/>
      <c r="J386" s="139"/>
      <c r="K386" s="167" t="s">
        <v>71</v>
      </c>
      <c r="L386" s="139"/>
      <c r="M386" s="139"/>
      <c r="N386" s="139"/>
      <c r="O386" s="139"/>
      <c r="P386" s="140" t="s">
        <v>72</v>
      </c>
      <c r="R386" s="10"/>
      <c r="S386" s="6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>
      <c r="A387" s="2"/>
      <c r="B387" s="168"/>
      <c r="C387" s="150"/>
      <c r="D387" s="150"/>
      <c r="E387" s="150"/>
      <c r="F387" s="150"/>
      <c r="G387" s="150"/>
      <c r="H387" s="150"/>
      <c r="I387" s="150"/>
      <c r="J387" s="150"/>
      <c r="K387" s="150"/>
      <c r="L387" s="150"/>
      <c r="M387" s="150"/>
      <c r="N387" s="150"/>
      <c r="O387" s="150"/>
      <c r="P387" s="150"/>
      <c r="Q387" s="150"/>
      <c r="R387" s="169"/>
      <c r="S387" s="6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>
      <c r="A388" s="2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ht="77.25" customHeight="1">
      <c r="A389" s="2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>
      <c r="A390" s="2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>
      <c r="A391" s="2"/>
      <c r="B391" s="3" t="s">
        <v>1</v>
      </c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5"/>
      <c r="S391" s="6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>
      <c r="A392" s="2"/>
      <c r="B392" s="138"/>
      <c r="F392" s="139"/>
      <c r="G392" s="139"/>
      <c r="H392" s="139"/>
      <c r="I392" s="139"/>
      <c r="J392" s="140" t="s">
        <v>2</v>
      </c>
      <c r="N392" s="139"/>
      <c r="R392" s="10"/>
      <c r="S392" s="6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>
      <c r="A393" s="2"/>
      <c r="B393" s="138"/>
      <c r="F393" s="139"/>
      <c r="G393" s="139"/>
      <c r="H393" s="139"/>
      <c r="I393" s="139"/>
      <c r="J393" s="140" t="s">
        <v>3</v>
      </c>
      <c r="N393" s="139"/>
      <c r="R393" s="10"/>
      <c r="S393" s="6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>
      <c r="A394" s="2"/>
      <c r="B394" s="141" t="s">
        <v>4</v>
      </c>
      <c r="R394" s="10"/>
      <c r="S394" s="6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>
      <c r="A395" s="2"/>
      <c r="B395" s="142" t="s">
        <v>5</v>
      </c>
      <c r="C395" s="143" t="s">
        <v>6</v>
      </c>
      <c r="D395" s="4"/>
      <c r="E395" s="4"/>
      <c r="F395" s="4"/>
      <c r="G395" s="4"/>
      <c r="H395" s="4"/>
      <c r="I395" s="4"/>
      <c r="J395" s="4"/>
      <c r="K395" s="5"/>
      <c r="L395" s="144" t="s">
        <v>7</v>
      </c>
      <c r="M395" s="145">
        <v>14.0</v>
      </c>
      <c r="N395" s="146"/>
      <c r="O395" s="4"/>
      <c r="P395" s="4"/>
      <c r="Q395" s="4"/>
      <c r="R395" s="5"/>
      <c r="S395" s="6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>
      <c r="A396" s="2"/>
      <c r="B396" s="147"/>
      <c r="C396" s="148" t="s">
        <v>8</v>
      </c>
      <c r="K396" s="10"/>
      <c r="L396" s="144" t="s">
        <v>9</v>
      </c>
      <c r="M396" s="9" t="s">
        <v>10</v>
      </c>
      <c r="N396" s="139"/>
      <c r="R396" s="10"/>
      <c r="S396" s="6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>
      <c r="A397" s="2"/>
      <c r="B397" s="142" t="s">
        <v>11</v>
      </c>
      <c r="C397" s="149" t="s">
        <v>12</v>
      </c>
      <c r="D397" s="31"/>
      <c r="E397" s="31"/>
      <c r="F397" s="31"/>
      <c r="G397" s="31"/>
      <c r="H397" s="31"/>
      <c r="I397" s="31"/>
      <c r="J397" s="31"/>
      <c r="K397" s="32"/>
      <c r="L397" s="144" t="s">
        <v>13</v>
      </c>
      <c r="M397" s="33" t="s">
        <v>14</v>
      </c>
      <c r="N397" s="150"/>
      <c r="O397" s="31"/>
      <c r="P397" s="31"/>
      <c r="Q397" s="31"/>
      <c r="R397" s="32"/>
      <c r="S397" s="6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>
      <c r="A398" s="2"/>
      <c r="B398" s="138"/>
      <c r="R398" s="10"/>
      <c r="S398" s="6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>
      <c r="A399" s="2"/>
      <c r="B399" s="151" t="s">
        <v>15</v>
      </c>
      <c r="C399" s="152" t="s">
        <v>16</v>
      </c>
      <c r="D399" s="153" t="s">
        <v>17</v>
      </c>
      <c r="E399" s="153" t="s">
        <v>18</v>
      </c>
      <c r="F399" s="154" t="s">
        <v>19</v>
      </c>
      <c r="G399" s="43"/>
      <c r="H399" s="43"/>
      <c r="I399" s="43"/>
      <c r="J399" s="44"/>
      <c r="K399" s="153" t="s">
        <v>20</v>
      </c>
      <c r="L399" s="153" t="s">
        <v>21</v>
      </c>
      <c r="M399" s="153" t="s">
        <v>22</v>
      </c>
      <c r="N399" s="153" t="s">
        <v>23</v>
      </c>
      <c r="O399" s="153" t="s">
        <v>24</v>
      </c>
      <c r="P399" s="153" t="s">
        <v>25</v>
      </c>
      <c r="Q399" s="153" t="s">
        <v>26</v>
      </c>
      <c r="R399" s="155" t="s">
        <v>27</v>
      </c>
      <c r="S399" s="6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>
      <c r="A400" s="2"/>
      <c r="B400" s="156"/>
      <c r="C400" s="157"/>
      <c r="D400" s="158"/>
      <c r="E400" s="157"/>
      <c r="F400" s="157"/>
      <c r="G400" s="157"/>
      <c r="H400" s="157"/>
      <c r="I400" s="159"/>
      <c r="J400" s="159"/>
      <c r="K400" s="157"/>
      <c r="L400" s="157"/>
      <c r="M400" s="157"/>
      <c r="N400" s="157"/>
      <c r="O400" s="157"/>
      <c r="P400" s="171"/>
      <c r="Q400" s="157"/>
      <c r="R400" s="170"/>
      <c r="S400" s="6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>
      <c r="A401" s="2"/>
      <c r="B401" s="156"/>
      <c r="C401" s="157"/>
      <c r="D401" s="158"/>
      <c r="E401" s="157"/>
      <c r="F401" s="157"/>
      <c r="G401" s="157"/>
      <c r="H401" s="159"/>
      <c r="I401" s="159"/>
      <c r="J401" s="159"/>
      <c r="K401" s="157"/>
      <c r="L401" s="157"/>
      <c r="M401" s="157"/>
      <c r="N401" s="157"/>
      <c r="O401" s="157"/>
      <c r="P401" s="171"/>
      <c r="Q401" s="159"/>
      <c r="R401" s="170"/>
      <c r="S401" s="6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>
      <c r="A402" s="2"/>
      <c r="B402" s="156"/>
      <c r="C402" s="157"/>
      <c r="D402" s="158"/>
      <c r="E402" s="157"/>
      <c r="F402" s="157"/>
      <c r="G402" s="159"/>
      <c r="H402" s="159"/>
      <c r="I402" s="159"/>
      <c r="J402" s="159"/>
      <c r="K402" s="157"/>
      <c r="L402" s="157"/>
      <c r="M402" s="157"/>
      <c r="N402" s="157"/>
      <c r="O402" s="157"/>
      <c r="P402" s="171"/>
      <c r="Q402" s="159"/>
      <c r="R402" s="170"/>
      <c r="S402" s="6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>
      <c r="A403" s="2"/>
      <c r="B403" s="156"/>
      <c r="C403" s="157"/>
      <c r="D403" s="158"/>
      <c r="E403" s="157"/>
      <c r="F403" s="157"/>
      <c r="G403" s="159"/>
      <c r="H403" s="159"/>
      <c r="I403" s="159"/>
      <c r="J403" s="159"/>
      <c r="K403" s="157"/>
      <c r="L403" s="157"/>
      <c r="M403" s="157"/>
      <c r="N403" s="157"/>
      <c r="O403" s="157"/>
      <c r="P403" s="171"/>
      <c r="Q403" s="159"/>
      <c r="R403" s="170"/>
      <c r="S403" s="6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>
      <c r="A404" s="2"/>
      <c r="B404" s="156"/>
      <c r="C404" s="157"/>
      <c r="D404" s="158"/>
      <c r="E404" s="157"/>
      <c r="F404" s="157"/>
      <c r="G404" s="157"/>
      <c r="H404" s="159"/>
      <c r="I404" s="159"/>
      <c r="J404" s="159"/>
      <c r="K404" s="157"/>
      <c r="L404" s="157"/>
      <c r="M404" s="157"/>
      <c r="N404" s="157"/>
      <c r="O404" s="157"/>
      <c r="P404" s="171"/>
      <c r="Q404" s="159"/>
      <c r="R404" s="170"/>
      <c r="S404" s="6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>
      <c r="A405" s="2"/>
      <c r="B405" s="156"/>
      <c r="D405" s="158"/>
      <c r="E405" s="157"/>
      <c r="F405" s="157"/>
      <c r="G405" s="157"/>
      <c r="H405" s="159"/>
      <c r="I405" s="159"/>
      <c r="J405" s="159"/>
      <c r="K405" s="157"/>
      <c r="L405" s="157"/>
      <c r="M405" s="157"/>
      <c r="N405" s="157"/>
      <c r="O405" s="157"/>
      <c r="P405" s="171"/>
      <c r="Q405" s="159"/>
      <c r="R405" s="170"/>
      <c r="S405" s="6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>
      <c r="A406" s="2"/>
      <c r="B406" s="156"/>
      <c r="C406" s="157"/>
      <c r="D406" s="158"/>
      <c r="E406" s="157"/>
      <c r="F406" s="157"/>
      <c r="G406" s="157"/>
      <c r="H406" s="159"/>
      <c r="I406" s="159"/>
      <c r="J406" s="159"/>
      <c r="K406" s="157"/>
      <c r="L406" s="157"/>
      <c r="M406" s="157"/>
      <c r="N406" s="157"/>
      <c r="O406" s="157"/>
      <c r="P406" s="171"/>
      <c r="Q406" s="159"/>
      <c r="R406" s="170"/>
      <c r="S406" s="6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>
      <c r="A407" s="2"/>
      <c r="B407" s="156"/>
      <c r="C407" s="157"/>
      <c r="D407" s="158"/>
      <c r="E407" s="157"/>
      <c r="F407" s="157"/>
      <c r="G407" s="157"/>
      <c r="H407" s="157"/>
      <c r="I407" s="159"/>
      <c r="J407" s="159"/>
      <c r="K407" s="157"/>
      <c r="L407" s="157"/>
      <c r="M407" s="157"/>
      <c r="N407" s="157"/>
      <c r="O407" s="157"/>
      <c r="P407" s="171"/>
      <c r="Q407" s="159"/>
      <c r="R407" s="170"/>
      <c r="S407" s="6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>
      <c r="A408" s="2"/>
      <c r="B408" s="172"/>
      <c r="D408" s="173"/>
      <c r="E408" s="157"/>
      <c r="F408" s="157"/>
      <c r="G408" s="157"/>
      <c r="H408" s="157"/>
      <c r="I408" s="159"/>
      <c r="J408" s="159"/>
      <c r="K408" s="157"/>
      <c r="L408" s="157"/>
      <c r="M408" s="157"/>
      <c r="N408" s="157"/>
      <c r="O408" s="157"/>
      <c r="P408" s="171"/>
      <c r="Q408" s="159"/>
      <c r="R408" s="170"/>
      <c r="S408" s="6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>
      <c r="A409" s="2"/>
      <c r="B409" s="156"/>
      <c r="D409" s="173"/>
      <c r="E409" s="157"/>
      <c r="F409" s="157"/>
      <c r="G409" s="157"/>
      <c r="H409" s="159"/>
      <c r="I409" s="159"/>
      <c r="J409" s="159"/>
      <c r="K409" s="157"/>
      <c r="L409" s="157"/>
      <c r="M409" s="157"/>
      <c r="N409" s="157"/>
      <c r="O409" s="157"/>
      <c r="P409" s="171"/>
      <c r="Q409" s="159"/>
      <c r="R409" s="161"/>
      <c r="S409" s="6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>
      <c r="A410" s="2"/>
      <c r="B410" s="138"/>
      <c r="C410" s="139"/>
      <c r="D410" s="139"/>
      <c r="E410" s="139"/>
      <c r="F410" s="139"/>
      <c r="G410" s="139"/>
      <c r="H410" s="139"/>
      <c r="I410" s="139"/>
      <c r="J410" s="139"/>
      <c r="K410" s="139"/>
      <c r="L410" s="139"/>
      <c r="M410" s="139"/>
      <c r="N410" s="139"/>
      <c r="O410" s="139"/>
      <c r="P410" s="139"/>
      <c r="Q410" s="139"/>
      <c r="R410" s="162"/>
      <c r="S410" s="6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>
      <c r="A411" s="2"/>
      <c r="B411" s="163" t="s">
        <v>64</v>
      </c>
      <c r="C411" s="68"/>
      <c r="D411" s="131" t="str">
        <f>MONEYTEXT(R411, "INR")</f>
        <v>Zero Indian rupees</v>
      </c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76"/>
      <c r="P411" s="164" t="s">
        <v>65</v>
      </c>
      <c r="Q411" s="4"/>
      <c r="R411" s="142">
        <f>SUM(R400:R409)</f>
        <v>0</v>
      </c>
      <c r="S411" s="6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>
      <c r="A412" s="2"/>
      <c r="B412" s="163" t="s">
        <v>66</v>
      </c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76"/>
      <c r="P412" s="165" t="s">
        <v>67</v>
      </c>
      <c r="Q412" s="31"/>
      <c r="R412" s="32"/>
      <c r="S412" s="6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>
      <c r="A413" s="2"/>
      <c r="B413" s="166" t="s">
        <v>68</v>
      </c>
      <c r="P413" s="139"/>
      <c r="Q413" s="139"/>
      <c r="R413" s="162"/>
      <c r="S413" s="6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>
      <c r="A414" s="2"/>
      <c r="B414" s="166" t="s">
        <v>70</v>
      </c>
      <c r="P414" s="139"/>
      <c r="Q414" s="139"/>
      <c r="R414" s="162"/>
      <c r="S414" s="6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>
      <c r="A415" s="2"/>
      <c r="B415" s="138"/>
      <c r="C415" s="139"/>
      <c r="D415" s="139"/>
      <c r="E415" s="139"/>
      <c r="F415" s="139"/>
      <c r="G415" s="139"/>
      <c r="H415" s="139"/>
      <c r="I415" s="139"/>
      <c r="J415" s="139"/>
      <c r="K415" s="139"/>
      <c r="L415" s="139"/>
      <c r="M415" s="139"/>
      <c r="N415" s="139"/>
      <c r="O415" s="139"/>
      <c r="P415" s="139"/>
      <c r="Q415" s="139"/>
      <c r="R415" s="162"/>
      <c r="S415" s="6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>
      <c r="A416" s="2"/>
      <c r="B416" s="138"/>
      <c r="C416" s="139"/>
      <c r="D416" s="139"/>
      <c r="E416" s="139"/>
      <c r="F416" s="139"/>
      <c r="G416" s="139"/>
      <c r="H416" s="139"/>
      <c r="I416" s="139"/>
      <c r="J416" s="139"/>
      <c r="K416" s="167" t="s">
        <v>71</v>
      </c>
      <c r="L416" s="139"/>
      <c r="M416" s="139"/>
      <c r="N416" s="139"/>
      <c r="O416" s="139"/>
      <c r="P416" s="140" t="s">
        <v>72</v>
      </c>
      <c r="R416" s="10"/>
      <c r="S416" s="6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>
      <c r="A417" s="2"/>
      <c r="B417" s="168"/>
      <c r="C417" s="150"/>
      <c r="D417" s="150"/>
      <c r="E417" s="150"/>
      <c r="F417" s="150"/>
      <c r="G417" s="150"/>
      <c r="H417" s="150"/>
      <c r="I417" s="150"/>
      <c r="J417" s="150"/>
      <c r="K417" s="150"/>
      <c r="L417" s="150"/>
      <c r="M417" s="150"/>
      <c r="N417" s="150"/>
      <c r="O417" s="150"/>
      <c r="P417" s="150"/>
      <c r="Q417" s="150"/>
      <c r="R417" s="169"/>
      <c r="S417" s="6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>
      <c r="A418" s="2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>
      <c r="A419" s="2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ht="66.0" customHeight="1">
      <c r="A420" s="2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>
      <c r="A421" s="2"/>
      <c r="B421" s="3" t="s">
        <v>1</v>
      </c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5"/>
      <c r="S421" s="6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>
      <c r="A422" s="2"/>
      <c r="B422" s="138"/>
      <c r="F422" s="139"/>
      <c r="G422" s="139"/>
      <c r="H422" s="139"/>
      <c r="I422" s="139"/>
      <c r="J422" s="140" t="s">
        <v>2</v>
      </c>
      <c r="N422" s="139"/>
      <c r="R422" s="10"/>
      <c r="S422" s="6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>
      <c r="A423" s="2"/>
      <c r="B423" s="138"/>
      <c r="F423" s="139"/>
      <c r="G423" s="139"/>
      <c r="H423" s="139"/>
      <c r="I423" s="139"/>
      <c r="J423" s="140" t="s">
        <v>3</v>
      </c>
      <c r="N423" s="139"/>
      <c r="R423" s="10"/>
      <c r="S423" s="6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>
      <c r="A424" s="2"/>
      <c r="B424" s="141" t="s">
        <v>4</v>
      </c>
      <c r="R424" s="10"/>
      <c r="S424" s="6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>
      <c r="A425" s="2"/>
      <c r="B425" s="142" t="s">
        <v>5</v>
      </c>
      <c r="C425" s="143" t="s">
        <v>6</v>
      </c>
      <c r="D425" s="4"/>
      <c r="E425" s="4"/>
      <c r="F425" s="4"/>
      <c r="G425" s="4"/>
      <c r="H425" s="4"/>
      <c r="I425" s="4"/>
      <c r="J425" s="4"/>
      <c r="K425" s="5"/>
      <c r="L425" s="144" t="s">
        <v>7</v>
      </c>
      <c r="M425" s="145">
        <v>15.0</v>
      </c>
      <c r="N425" s="146"/>
      <c r="O425" s="4"/>
      <c r="P425" s="4"/>
      <c r="Q425" s="4"/>
      <c r="R425" s="5"/>
      <c r="S425" s="6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>
      <c r="A426" s="2"/>
      <c r="B426" s="147"/>
      <c r="C426" s="148" t="s">
        <v>8</v>
      </c>
      <c r="K426" s="10"/>
      <c r="L426" s="144" t="s">
        <v>9</v>
      </c>
      <c r="M426" s="9" t="s">
        <v>10</v>
      </c>
      <c r="N426" s="139"/>
      <c r="R426" s="10"/>
      <c r="S426" s="6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>
      <c r="A427" s="2"/>
      <c r="B427" s="142" t="s">
        <v>11</v>
      </c>
      <c r="C427" s="149" t="s">
        <v>12</v>
      </c>
      <c r="D427" s="31"/>
      <c r="E427" s="31"/>
      <c r="F427" s="31"/>
      <c r="G427" s="31"/>
      <c r="H427" s="31"/>
      <c r="I427" s="31"/>
      <c r="J427" s="31"/>
      <c r="K427" s="32"/>
      <c r="L427" s="144" t="s">
        <v>13</v>
      </c>
      <c r="M427" s="33" t="s">
        <v>14</v>
      </c>
      <c r="N427" s="150"/>
      <c r="O427" s="31"/>
      <c r="P427" s="31"/>
      <c r="Q427" s="31"/>
      <c r="R427" s="32"/>
      <c r="S427" s="6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>
      <c r="A428" s="2"/>
      <c r="B428" s="138"/>
      <c r="R428" s="10"/>
      <c r="S428" s="6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>
      <c r="A429" s="2"/>
      <c r="B429" s="151" t="s">
        <v>15</v>
      </c>
      <c r="C429" s="152" t="s">
        <v>16</v>
      </c>
      <c r="D429" s="153" t="s">
        <v>17</v>
      </c>
      <c r="E429" s="153" t="s">
        <v>18</v>
      </c>
      <c r="F429" s="154" t="s">
        <v>19</v>
      </c>
      <c r="G429" s="43"/>
      <c r="H429" s="43"/>
      <c r="I429" s="43"/>
      <c r="J429" s="44"/>
      <c r="K429" s="153" t="s">
        <v>20</v>
      </c>
      <c r="L429" s="153" t="s">
        <v>21</v>
      </c>
      <c r="M429" s="153" t="s">
        <v>22</v>
      </c>
      <c r="N429" s="153" t="s">
        <v>23</v>
      </c>
      <c r="O429" s="153" t="s">
        <v>24</v>
      </c>
      <c r="P429" s="153" t="s">
        <v>25</v>
      </c>
      <c r="Q429" s="153" t="s">
        <v>26</v>
      </c>
      <c r="R429" s="155" t="s">
        <v>27</v>
      </c>
      <c r="S429" s="6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>
      <c r="A430" s="2"/>
      <c r="B430" s="156">
        <v>1.0</v>
      </c>
      <c r="C430" s="157"/>
      <c r="D430" s="173"/>
      <c r="E430" s="157"/>
      <c r="F430" s="157"/>
      <c r="G430" s="157"/>
      <c r="H430" s="159"/>
      <c r="I430" s="159"/>
      <c r="J430" s="159"/>
      <c r="K430" s="157"/>
      <c r="L430" s="157"/>
      <c r="M430" s="157"/>
      <c r="N430" s="157"/>
      <c r="O430" s="157"/>
      <c r="P430" s="171"/>
      <c r="Q430" s="157"/>
      <c r="R430" s="170"/>
      <c r="S430" s="6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>
      <c r="A431" s="2"/>
      <c r="B431" s="156">
        <v>2.0</v>
      </c>
      <c r="C431" s="157"/>
      <c r="D431" s="174"/>
      <c r="E431" s="157"/>
      <c r="F431" s="157"/>
      <c r="G431" s="159"/>
      <c r="H431" s="159"/>
      <c r="I431" s="159"/>
      <c r="J431" s="159"/>
      <c r="K431" s="157"/>
      <c r="L431" s="157"/>
      <c r="M431" s="157"/>
      <c r="N431" s="157"/>
      <c r="O431" s="157"/>
      <c r="P431" s="171"/>
      <c r="Q431" s="159"/>
      <c r="R431" s="170"/>
      <c r="S431" s="6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>
      <c r="A432" s="2"/>
      <c r="B432" s="156">
        <v>3.0</v>
      </c>
      <c r="C432" s="157"/>
      <c r="D432" s="173"/>
      <c r="E432" s="157"/>
      <c r="F432" s="157"/>
      <c r="G432" s="157"/>
      <c r="H432" s="159"/>
      <c r="I432" s="159"/>
      <c r="J432" s="159"/>
      <c r="K432" s="157"/>
      <c r="L432" s="157"/>
      <c r="M432" s="157"/>
      <c r="N432" s="157"/>
      <c r="O432" s="157"/>
      <c r="P432" s="171"/>
      <c r="Q432" s="159"/>
      <c r="R432" s="170"/>
      <c r="S432" s="6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>
      <c r="A433" s="2"/>
      <c r="B433" s="156">
        <v>4.0</v>
      </c>
      <c r="C433" s="157"/>
      <c r="D433" s="173"/>
      <c r="E433" s="157"/>
      <c r="F433" s="157"/>
      <c r="G433" s="159"/>
      <c r="H433" s="159"/>
      <c r="I433" s="159"/>
      <c r="J433" s="159"/>
      <c r="K433" s="157"/>
      <c r="L433" s="157"/>
      <c r="M433" s="157"/>
      <c r="N433" s="157"/>
      <c r="O433" s="157"/>
      <c r="P433" s="171"/>
      <c r="Q433" s="159"/>
      <c r="R433" s="170"/>
      <c r="S433" s="6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>
      <c r="A434" s="2"/>
      <c r="B434" s="156">
        <v>5.0</v>
      </c>
      <c r="C434" s="157"/>
      <c r="D434" s="173"/>
      <c r="E434" s="157"/>
      <c r="F434" s="157"/>
      <c r="G434" s="159"/>
      <c r="H434" s="159"/>
      <c r="I434" s="159"/>
      <c r="J434" s="159"/>
      <c r="K434" s="157"/>
      <c r="L434" s="157"/>
      <c r="M434" s="157"/>
      <c r="N434" s="157"/>
      <c r="O434" s="157"/>
      <c r="P434" s="171"/>
      <c r="Q434" s="159"/>
      <c r="R434" s="170"/>
      <c r="S434" s="6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>
      <c r="A435" s="2"/>
      <c r="B435" s="156">
        <v>6.0</v>
      </c>
      <c r="D435" s="173"/>
      <c r="E435" s="157"/>
      <c r="F435" s="157"/>
      <c r="G435" s="157"/>
      <c r="H435" s="159"/>
      <c r="I435" s="159"/>
      <c r="J435" s="159"/>
      <c r="K435" s="157"/>
      <c r="L435" s="157"/>
      <c r="M435" s="157"/>
      <c r="N435" s="157"/>
      <c r="O435" s="157"/>
      <c r="P435" s="171"/>
      <c r="Q435" s="159"/>
      <c r="R435" s="170"/>
      <c r="S435" s="6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>
      <c r="A436" s="2"/>
      <c r="B436" s="156">
        <v>7.0</v>
      </c>
      <c r="C436" s="157"/>
      <c r="D436" s="173"/>
      <c r="E436" s="157"/>
      <c r="F436" s="157"/>
      <c r="G436" s="157"/>
      <c r="H436" s="157"/>
      <c r="I436" s="157"/>
      <c r="J436" s="159"/>
      <c r="K436" s="157"/>
      <c r="L436" s="157"/>
      <c r="M436" s="157"/>
      <c r="N436" s="157"/>
      <c r="O436" s="157"/>
      <c r="P436" s="171"/>
      <c r="Q436" s="157"/>
      <c r="R436" s="170"/>
      <c r="S436" s="6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>
      <c r="A437" s="2"/>
      <c r="B437" s="156">
        <v>8.0</v>
      </c>
      <c r="C437" s="157"/>
      <c r="D437" s="173"/>
      <c r="E437" s="157"/>
      <c r="F437" s="157"/>
      <c r="G437" s="157"/>
      <c r="H437" s="157"/>
      <c r="I437" s="159"/>
      <c r="J437" s="159"/>
      <c r="K437" s="157"/>
      <c r="L437" s="157"/>
      <c r="M437" s="157"/>
      <c r="N437" s="157"/>
      <c r="O437" s="157"/>
      <c r="P437" s="171"/>
      <c r="Q437" s="157"/>
      <c r="R437" s="170"/>
      <c r="S437" s="6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>
      <c r="A438" s="2"/>
      <c r="B438" s="156">
        <v>9.0</v>
      </c>
      <c r="C438" s="157"/>
      <c r="D438" s="173"/>
      <c r="E438" s="157"/>
      <c r="F438" s="157"/>
      <c r="G438" s="157"/>
      <c r="H438" s="157"/>
      <c r="I438" s="157"/>
      <c r="J438" s="159"/>
      <c r="K438" s="157"/>
      <c r="L438" s="157"/>
      <c r="M438" s="157"/>
      <c r="N438" s="157"/>
      <c r="O438" s="157"/>
      <c r="P438" s="171"/>
      <c r="Q438" s="157"/>
      <c r="R438" s="170"/>
      <c r="S438" s="6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>
      <c r="A439" s="2"/>
      <c r="B439" s="156">
        <v>10.0</v>
      </c>
      <c r="C439" s="157"/>
      <c r="D439" s="173"/>
      <c r="E439" s="157"/>
      <c r="F439" s="157"/>
      <c r="G439" s="157"/>
      <c r="H439" s="159"/>
      <c r="I439" s="159"/>
      <c r="J439" s="159"/>
      <c r="K439" s="157"/>
      <c r="L439" s="157"/>
      <c r="M439" s="157"/>
      <c r="N439" s="157"/>
      <c r="O439" s="157"/>
      <c r="P439" s="171"/>
      <c r="Q439" s="157"/>
      <c r="R439" s="170"/>
      <c r="S439" s="6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>
      <c r="A440" s="2"/>
      <c r="B440" s="138"/>
      <c r="C440" s="139"/>
      <c r="D440" s="139"/>
      <c r="E440" s="139"/>
      <c r="F440" s="139"/>
      <c r="G440" s="139"/>
      <c r="H440" s="139"/>
      <c r="I440" s="139"/>
      <c r="J440" s="139"/>
      <c r="K440" s="139"/>
      <c r="L440" s="139"/>
      <c r="M440" s="139"/>
      <c r="N440" s="139"/>
      <c r="O440" s="139"/>
      <c r="P440" s="139"/>
      <c r="Q440" s="139"/>
      <c r="R440" s="162"/>
      <c r="S440" s="6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>
      <c r="A441" s="2"/>
      <c r="B441" s="163" t="s">
        <v>64</v>
      </c>
      <c r="C441" s="68"/>
      <c r="D441" s="131" t="str">
        <f>MONEYTEXT(R441, "INR")</f>
        <v>Zero Indian rupees</v>
      </c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76"/>
      <c r="P441" s="164" t="s">
        <v>65</v>
      </c>
      <c r="Q441" s="4"/>
      <c r="R441" s="142">
        <f>SUM(R430:R439)</f>
        <v>0</v>
      </c>
      <c r="S441" s="6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>
      <c r="A442" s="2"/>
      <c r="B442" s="163" t="s">
        <v>66</v>
      </c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76"/>
      <c r="P442" s="165" t="s">
        <v>67</v>
      </c>
      <c r="Q442" s="31"/>
      <c r="R442" s="32"/>
      <c r="S442" s="6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>
      <c r="A443" s="2"/>
      <c r="B443" s="166" t="s">
        <v>68</v>
      </c>
      <c r="P443" s="139"/>
      <c r="Q443" s="139"/>
      <c r="R443" s="162"/>
      <c r="S443" s="6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>
      <c r="A444" s="2"/>
      <c r="B444" s="166" t="s">
        <v>70</v>
      </c>
      <c r="P444" s="139"/>
      <c r="Q444" s="139"/>
      <c r="R444" s="162"/>
      <c r="S444" s="6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>
      <c r="A445" s="2"/>
      <c r="B445" s="138"/>
      <c r="C445" s="139"/>
      <c r="D445" s="139"/>
      <c r="E445" s="139"/>
      <c r="F445" s="139"/>
      <c r="G445" s="139"/>
      <c r="H445" s="139"/>
      <c r="I445" s="139"/>
      <c r="J445" s="139"/>
      <c r="K445" s="139"/>
      <c r="L445" s="139"/>
      <c r="M445" s="139"/>
      <c r="N445" s="139"/>
      <c r="O445" s="139"/>
      <c r="P445" s="139"/>
      <c r="Q445" s="139"/>
      <c r="R445" s="162"/>
      <c r="S445" s="6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>
      <c r="A446" s="2"/>
      <c r="B446" s="138"/>
      <c r="C446" s="139"/>
      <c r="D446" s="139"/>
      <c r="E446" s="139"/>
      <c r="F446" s="139"/>
      <c r="G446" s="139"/>
      <c r="H446" s="139"/>
      <c r="I446" s="139"/>
      <c r="J446" s="139"/>
      <c r="K446" s="167" t="s">
        <v>71</v>
      </c>
      <c r="L446" s="139"/>
      <c r="M446" s="139"/>
      <c r="N446" s="139"/>
      <c r="O446" s="139"/>
      <c r="P446" s="140" t="s">
        <v>72</v>
      </c>
      <c r="R446" s="10"/>
      <c r="S446" s="6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>
      <c r="A447" s="2"/>
      <c r="B447" s="168"/>
      <c r="C447" s="150"/>
      <c r="D447" s="150"/>
      <c r="E447" s="150"/>
      <c r="F447" s="150"/>
      <c r="G447" s="150"/>
      <c r="H447" s="150"/>
      <c r="I447" s="150"/>
      <c r="J447" s="150"/>
      <c r="K447" s="150"/>
      <c r="L447" s="150"/>
      <c r="M447" s="150"/>
      <c r="N447" s="150"/>
      <c r="O447" s="150"/>
      <c r="P447" s="150"/>
      <c r="Q447" s="150"/>
      <c r="R447" s="169"/>
      <c r="S447" s="6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>
      <c r="A448" s="2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ht="88.5" customHeight="1">
      <c r="A449" s="2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>
      <c r="A450" s="2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>
      <c r="A451" s="2"/>
      <c r="B451" s="3" t="s">
        <v>1</v>
      </c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5"/>
      <c r="S451" s="6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>
      <c r="A452" s="2"/>
      <c r="B452" s="138"/>
      <c r="F452" s="139"/>
      <c r="G452" s="139"/>
      <c r="H452" s="139"/>
      <c r="I452" s="139"/>
      <c r="J452" s="140" t="s">
        <v>2</v>
      </c>
      <c r="N452" s="139"/>
      <c r="R452" s="10"/>
      <c r="S452" s="6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>
      <c r="A453" s="2"/>
      <c r="B453" s="138"/>
      <c r="F453" s="139"/>
      <c r="G453" s="139"/>
      <c r="H453" s="139"/>
      <c r="I453" s="139"/>
      <c r="J453" s="140" t="s">
        <v>3</v>
      </c>
      <c r="N453" s="139"/>
      <c r="R453" s="10"/>
      <c r="S453" s="6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>
      <c r="A454" s="2"/>
      <c r="B454" s="141" t="s">
        <v>4</v>
      </c>
      <c r="R454" s="10"/>
      <c r="S454" s="6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>
      <c r="A455" s="2"/>
      <c r="B455" s="142" t="s">
        <v>5</v>
      </c>
      <c r="C455" s="143" t="s">
        <v>6</v>
      </c>
      <c r="D455" s="4"/>
      <c r="E455" s="4"/>
      <c r="F455" s="4"/>
      <c r="G455" s="4"/>
      <c r="H455" s="4"/>
      <c r="I455" s="4"/>
      <c r="J455" s="4"/>
      <c r="K455" s="5"/>
      <c r="L455" s="144" t="s">
        <v>7</v>
      </c>
      <c r="M455" s="145">
        <v>16.0</v>
      </c>
      <c r="N455" s="146"/>
      <c r="O455" s="4"/>
      <c r="P455" s="4"/>
      <c r="Q455" s="4"/>
      <c r="R455" s="5"/>
      <c r="S455" s="6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>
      <c r="A456" s="2"/>
      <c r="B456" s="147"/>
      <c r="C456" s="148" t="s">
        <v>8</v>
      </c>
      <c r="K456" s="10"/>
      <c r="L456" s="144" t="s">
        <v>9</v>
      </c>
      <c r="M456" s="9" t="s">
        <v>10</v>
      </c>
      <c r="N456" s="139"/>
      <c r="R456" s="10"/>
      <c r="S456" s="6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>
      <c r="A457" s="2"/>
      <c r="B457" s="142" t="s">
        <v>11</v>
      </c>
      <c r="C457" s="149" t="s">
        <v>12</v>
      </c>
      <c r="D457" s="31"/>
      <c r="E457" s="31"/>
      <c r="F457" s="31"/>
      <c r="G457" s="31"/>
      <c r="H457" s="31"/>
      <c r="I457" s="31"/>
      <c r="J457" s="31"/>
      <c r="K457" s="32"/>
      <c r="L457" s="144" t="s">
        <v>13</v>
      </c>
      <c r="M457" s="33" t="s">
        <v>14</v>
      </c>
      <c r="N457" s="150"/>
      <c r="O457" s="31"/>
      <c r="P457" s="31"/>
      <c r="Q457" s="31"/>
      <c r="R457" s="32"/>
      <c r="S457" s="6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>
      <c r="A458" s="2"/>
      <c r="B458" s="138"/>
      <c r="R458" s="10"/>
      <c r="S458" s="6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>
      <c r="A459" s="2"/>
      <c r="B459" s="151" t="s">
        <v>15</v>
      </c>
      <c r="C459" s="152" t="s">
        <v>16</v>
      </c>
      <c r="D459" s="153" t="s">
        <v>17</v>
      </c>
      <c r="E459" s="153" t="s">
        <v>18</v>
      </c>
      <c r="F459" s="154" t="s">
        <v>19</v>
      </c>
      <c r="G459" s="43"/>
      <c r="H459" s="43"/>
      <c r="I459" s="43"/>
      <c r="J459" s="44"/>
      <c r="K459" s="153" t="s">
        <v>20</v>
      </c>
      <c r="L459" s="153" t="s">
        <v>21</v>
      </c>
      <c r="M459" s="153" t="s">
        <v>22</v>
      </c>
      <c r="N459" s="153" t="s">
        <v>23</v>
      </c>
      <c r="O459" s="153" t="s">
        <v>24</v>
      </c>
      <c r="P459" s="153" t="s">
        <v>25</v>
      </c>
      <c r="Q459" s="153" t="s">
        <v>26</v>
      </c>
      <c r="R459" s="155" t="s">
        <v>27</v>
      </c>
      <c r="S459" s="6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>
      <c r="A460" s="2"/>
      <c r="B460" s="156">
        <v>1.0</v>
      </c>
      <c r="C460" s="157"/>
      <c r="D460" s="173"/>
      <c r="E460" s="157"/>
      <c r="F460" s="157"/>
      <c r="G460" s="157"/>
      <c r="H460" s="159"/>
      <c r="I460" s="159"/>
      <c r="J460" s="159"/>
      <c r="K460" s="157"/>
      <c r="L460" s="157"/>
      <c r="M460" s="157"/>
      <c r="N460" s="157"/>
      <c r="O460" s="157"/>
      <c r="P460" s="171"/>
      <c r="Q460" s="157"/>
      <c r="R460" s="170"/>
      <c r="S460" s="6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>
      <c r="A461" s="2"/>
      <c r="B461" s="156">
        <v>2.0</v>
      </c>
      <c r="C461" s="157"/>
      <c r="D461" s="173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71"/>
      <c r="Q461" s="157"/>
      <c r="R461" s="170"/>
      <c r="S461" s="6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>
      <c r="A462" s="2"/>
      <c r="B462" s="156">
        <v>3.0</v>
      </c>
      <c r="C462" s="157"/>
      <c r="D462" s="173"/>
      <c r="E462" s="157"/>
      <c r="F462" s="157"/>
      <c r="G462" s="157"/>
      <c r="H462" s="159"/>
      <c r="I462" s="159"/>
      <c r="J462" s="159"/>
      <c r="K462" s="157"/>
      <c r="L462" s="157"/>
      <c r="M462" s="157"/>
      <c r="N462" s="157"/>
      <c r="O462" s="157"/>
      <c r="P462" s="171"/>
      <c r="Q462" s="157"/>
      <c r="R462" s="170"/>
      <c r="S462" s="6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>
      <c r="A463" s="2"/>
      <c r="B463" s="156">
        <v>4.0</v>
      </c>
      <c r="C463" s="157"/>
      <c r="D463" s="173"/>
      <c r="E463" s="157"/>
      <c r="F463" s="157"/>
      <c r="G463" s="157"/>
      <c r="H463" s="159"/>
      <c r="I463" s="159"/>
      <c r="J463" s="159"/>
      <c r="K463" s="157"/>
      <c r="L463" s="157"/>
      <c r="M463" s="157"/>
      <c r="N463" s="157"/>
      <c r="O463" s="157"/>
      <c r="P463" s="171"/>
      <c r="Q463" s="159"/>
      <c r="R463" s="170"/>
      <c r="S463" s="6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>
      <c r="A464" s="2"/>
      <c r="B464" s="156">
        <v>5.0</v>
      </c>
      <c r="C464" s="157"/>
      <c r="D464" s="173"/>
      <c r="E464" s="157"/>
      <c r="F464" s="157"/>
      <c r="G464" s="159"/>
      <c r="H464" s="159"/>
      <c r="I464" s="159"/>
      <c r="J464" s="159"/>
      <c r="K464" s="157"/>
      <c r="L464" s="157"/>
      <c r="M464" s="157"/>
      <c r="N464" s="157"/>
      <c r="O464" s="157"/>
      <c r="P464" s="171"/>
      <c r="Q464" s="157"/>
      <c r="R464" s="170"/>
      <c r="S464" s="6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>
      <c r="A465" s="2"/>
      <c r="B465" s="156">
        <v>6.0</v>
      </c>
      <c r="C465" s="157"/>
      <c r="D465" s="173"/>
      <c r="E465" s="157"/>
      <c r="F465" s="157"/>
      <c r="G465" s="157"/>
      <c r="H465" s="157"/>
      <c r="I465" s="157"/>
      <c r="J465" s="159"/>
      <c r="K465" s="157"/>
      <c r="L465" s="157"/>
      <c r="M465" s="157"/>
      <c r="N465" s="157"/>
      <c r="O465" s="157"/>
      <c r="P465" s="171"/>
      <c r="Q465" s="159"/>
      <c r="R465" s="170"/>
      <c r="S465" s="6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>
      <c r="A466" s="2"/>
      <c r="B466" s="156">
        <v>7.0</v>
      </c>
      <c r="C466" s="157"/>
      <c r="D466" s="173"/>
      <c r="E466" s="157"/>
      <c r="F466" s="157"/>
      <c r="G466" s="157"/>
      <c r="H466" s="157"/>
      <c r="I466" s="159"/>
      <c r="J466" s="159"/>
      <c r="K466" s="157"/>
      <c r="L466" s="157"/>
      <c r="M466" s="157"/>
      <c r="N466" s="157"/>
      <c r="O466" s="157"/>
      <c r="P466" s="171"/>
      <c r="Q466" s="159"/>
      <c r="R466" s="170"/>
      <c r="S466" s="6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>
      <c r="A467" s="2"/>
      <c r="B467" s="156">
        <v>8.0</v>
      </c>
      <c r="C467" s="157"/>
      <c r="D467" s="173"/>
      <c r="E467" s="157"/>
      <c r="F467" s="157"/>
      <c r="G467" s="157"/>
      <c r="H467" s="157"/>
      <c r="I467" s="159"/>
      <c r="J467" s="159"/>
      <c r="K467" s="157"/>
      <c r="L467" s="157"/>
      <c r="M467" s="157"/>
      <c r="N467" s="157"/>
      <c r="O467" s="157"/>
      <c r="P467" s="171"/>
      <c r="Q467" s="159"/>
      <c r="R467" s="170"/>
      <c r="S467" s="6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>
      <c r="A468" s="2"/>
      <c r="B468" s="156">
        <v>9.0</v>
      </c>
      <c r="C468" s="157"/>
      <c r="D468" s="173"/>
      <c r="E468" s="157"/>
      <c r="F468" s="157"/>
      <c r="G468" s="159"/>
      <c r="H468" s="159"/>
      <c r="I468" s="159"/>
      <c r="J468" s="159"/>
      <c r="K468" s="157"/>
      <c r="L468" s="157"/>
      <c r="M468" s="157"/>
      <c r="N468" s="157"/>
      <c r="O468" s="157"/>
      <c r="P468" s="171"/>
      <c r="Q468" s="159"/>
      <c r="R468" s="170"/>
      <c r="S468" s="6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>
      <c r="A469" s="2"/>
      <c r="B469" s="156">
        <v>10.0</v>
      </c>
      <c r="C469" s="157"/>
      <c r="D469" s="173"/>
      <c r="E469" s="157"/>
      <c r="F469" s="157"/>
      <c r="G469" s="159"/>
      <c r="H469" s="159"/>
      <c r="I469" s="159"/>
      <c r="J469" s="159"/>
      <c r="K469" s="157"/>
      <c r="L469" s="157"/>
      <c r="M469" s="157"/>
      <c r="N469" s="157"/>
      <c r="O469" s="157"/>
      <c r="P469" s="171"/>
      <c r="Q469" s="159"/>
      <c r="R469" s="170"/>
      <c r="S469" s="6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>
      <c r="A470" s="2"/>
      <c r="B470" s="138"/>
      <c r="C470" s="139"/>
      <c r="D470" s="139"/>
      <c r="E470" s="139"/>
      <c r="F470" s="139"/>
      <c r="G470" s="139"/>
      <c r="H470" s="139"/>
      <c r="I470" s="139"/>
      <c r="J470" s="139"/>
      <c r="K470" s="139"/>
      <c r="L470" s="139"/>
      <c r="M470" s="139"/>
      <c r="N470" s="139"/>
      <c r="O470" s="139"/>
      <c r="P470" s="139"/>
      <c r="Q470" s="139"/>
      <c r="R470" s="162"/>
      <c r="S470" s="6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>
      <c r="A471" s="2"/>
      <c r="B471" s="163" t="s">
        <v>64</v>
      </c>
      <c r="C471" s="68"/>
      <c r="D471" s="131" t="str">
        <f>MONEYTEXT(R471, "INR")</f>
        <v>Zero Indian rupees</v>
      </c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76"/>
      <c r="P471" s="164" t="s">
        <v>65</v>
      </c>
      <c r="Q471" s="4"/>
      <c r="R471" s="142">
        <f>SUM(R460:R469)</f>
        <v>0</v>
      </c>
      <c r="S471" s="6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>
      <c r="A472" s="2"/>
      <c r="B472" s="163" t="s">
        <v>66</v>
      </c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76"/>
      <c r="P472" s="165" t="s">
        <v>67</v>
      </c>
      <c r="Q472" s="31"/>
      <c r="R472" s="32"/>
      <c r="S472" s="6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>
      <c r="A473" s="2"/>
      <c r="B473" s="166" t="s">
        <v>68</v>
      </c>
      <c r="P473" s="139"/>
      <c r="Q473" s="139"/>
      <c r="R473" s="162"/>
      <c r="S473" s="6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>
      <c r="A474" s="2"/>
      <c r="B474" s="166" t="s">
        <v>70</v>
      </c>
      <c r="P474" s="139"/>
      <c r="Q474" s="139"/>
      <c r="R474" s="162"/>
      <c r="S474" s="6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>
      <c r="A475" s="2"/>
      <c r="B475" s="138"/>
      <c r="C475" s="139"/>
      <c r="D475" s="139"/>
      <c r="E475" s="139"/>
      <c r="F475" s="139"/>
      <c r="G475" s="139"/>
      <c r="H475" s="139"/>
      <c r="I475" s="139"/>
      <c r="J475" s="139"/>
      <c r="K475" s="139"/>
      <c r="L475" s="139"/>
      <c r="M475" s="139"/>
      <c r="N475" s="139"/>
      <c r="O475" s="139"/>
      <c r="P475" s="139"/>
      <c r="Q475" s="139"/>
      <c r="R475" s="162"/>
      <c r="S475" s="6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>
      <c r="A476" s="2"/>
      <c r="B476" s="138"/>
      <c r="C476" s="139"/>
      <c r="D476" s="139"/>
      <c r="E476" s="139"/>
      <c r="F476" s="139"/>
      <c r="G476" s="139"/>
      <c r="H476" s="139"/>
      <c r="I476" s="139"/>
      <c r="J476" s="139"/>
      <c r="K476" s="167" t="s">
        <v>71</v>
      </c>
      <c r="L476" s="139"/>
      <c r="M476" s="139"/>
      <c r="N476" s="139"/>
      <c r="O476" s="139"/>
      <c r="P476" s="140" t="s">
        <v>72</v>
      </c>
      <c r="R476" s="10"/>
      <c r="S476" s="6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>
      <c r="A477" s="2"/>
      <c r="B477" s="168"/>
      <c r="C477" s="150"/>
      <c r="D477" s="150"/>
      <c r="E477" s="150"/>
      <c r="F477" s="150"/>
      <c r="G477" s="150"/>
      <c r="H477" s="150"/>
      <c r="I477" s="150"/>
      <c r="J477" s="150"/>
      <c r="K477" s="150"/>
      <c r="L477" s="150"/>
      <c r="M477" s="150"/>
      <c r="N477" s="150"/>
      <c r="O477" s="150"/>
      <c r="P477" s="150"/>
      <c r="Q477" s="150"/>
      <c r="R477" s="169"/>
      <c r="S477" s="6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>
      <c r="A478" s="2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>
      <c r="A479" s="2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ht="65.25" customHeight="1">
      <c r="A480" s="2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>
      <c r="A481" s="2"/>
      <c r="B481" s="3" t="s">
        <v>1</v>
      </c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5"/>
      <c r="S481" s="6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>
      <c r="A482" s="2"/>
      <c r="B482" s="138"/>
      <c r="F482" s="139"/>
      <c r="G482" s="139"/>
      <c r="H482" s="139"/>
      <c r="I482" s="139"/>
      <c r="J482" s="140" t="s">
        <v>2</v>
      </c>
      <c r="N482" s="139"/>
      <c r="R482" s="10"/>
      <c r="S482" s="6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>
      <c r="A483" s="2"/>
      <c r="B483" s="138"/>
      <c r="F483" s="139"/>
      <c r="G483" s="139"/>
      <c r="H483" s="139"/>
      <c r="I483" s="139"/>
      <c r="J483" s="140" t="s">
        <v>3</v>
      </c>
      <c r="N483" s="139"/>
      <c r="R483" s="10"/>
      <c r="S483" s="6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>
      <c r="A484" s="2"/>
      <c r="B484" s="141" t="s">
        <v>4</v>
      </c>
      <c r="R484" s="10"/>
      <c r="S484" s="6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>
      <c r="A485" s="2"/>
      <c r="B485" s="142" t="s">
        <v>5</v>
      </c>
      <c r="C485" s="143" t="s">
        <v>6</v>
      </c>
      <c r="D485" s="4"/>
      <c r="E485" s="4"/>
      <c r="F485" s="4"/>
      <c r="G485" s="4"/>
      <c r="H485" s="4"/>
      <c r="I485" s="4"/>
      <c r="J485" s="4"/>
      <c r="K485" s="5"/>
      <c r="L485" s="144" t="s">
        <v>7</v>
      </c>
      <c r="M485" s="145">
        <v>17.0</v>
      </c>
      <c r="N485" s="146"/>
      <c r="O485" s="4"/>
      <c r="P485" s="4"/>
      <c r="Q485" s="4"/>
      <c r="R485" s="5"/>
      <c r="S485" s="6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>
      <c r="A486" s="2"/>
      <c r="B486" s="147"/>
      <c r="C486" s="148" t="s">
        <v>8</v>
      </c>
      <c r="K486" s="10"/>
      <c r="L486" s="144" t="s">
        <v>9</v>
      </c>
      <c r="M486" s="9" t="s">
        <v>10</v>
      </c>
      <c r="N486" s="139"/>
      <c r="R486" s="10"/>
      <c r="S486" s="6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>
      <c r="A487" s="2"/>
      <c r="B487" s="142" t="s">
        <v>11</v>
      </c>
      <c r="C487" s="149" t="s">
        <v>12</v>
      </c>
      <c r="D487" s="31"/>
      <c r="E487" s="31"/>
      <c r="F487" s="31"/>
      <c r="G487" s="31"/>
      <c r="H487" s="31"/>
      <c r="I487" s="31"/>
      <c r="J487" s="31"/>
      <c r="K487" s="32"/>
      <c r="L487" s="144" t="s">
        <v>13</v>
      </c>
      <c r="M487" s="33" t="s">
        <v>14</v>
      </c>
      <c r="N487" s="150"/>
      <c r="O487" s="31"/>
      <c r="P487" s="31"/>
      <c r="Q487" s="31"/>
      <c r="R487" s="32"/>
      <c r="S487" s="6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>
      <c r="A488" s="2"/>
      <c r="B488" s="138"/>
      <c r="R488" s="10"/>
      <c r="S488" s="6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>
      <c r="A489" s="2"/>
      <c r="B489" s="151" t="s">
        <v>15</v>
      </c>
      <c r="C489" s="152" t="s">
        <v>16</v>
      </c>
      <c r="D489" s="153" t="s">
        <v>17</v>
      </c>
      <c r="E489" s="153" t="s">
        <v>18</v>
      </c>
      <c r="F489" s="154" t="s">
        <v>19</v>
      </c>
      <c r="G489" s="43"/>
      <c r="H489" s="43"/>
      <c r="I489" s="43"/>
      <c r="J489" s="44"/>
      <c r="K489" s="153" t="s">
        <v>20</v>
      </c>
      <c r="L489" s="153" t="s">
        <v>21</v>
      </c>
      <c r="M489" s="153" t="s">
        <v>22</v>
      </c>
      <c r="N489" s="153" t="s">
        <v>23</v>
      </c>
      <c r="O489" s="153" t="s">
        <v>24</v>
      </c>
      <c r="P489" s="153" t="s">
        <v>25</v>
      </c>
      <c r="Q489" s="153" t="s">
        <v>26</v>
      </c>
      <c r="R489" s="155" t="s">
        <v>27</v>
      </c>
      <c r="S489" s="6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>
      <c r="A490" s="2"/>
      <c r="B490" s="156"/>
      <c r="C490" s="157"/>
      <c r="D490" s="173"/>
      <c r="E490" s="157"/>
      <c r="F490" s="157"/>
      <c r="G490" s="159"/>
      <c r="H490" s="159"/>
      <c r="I490" s="159"/>
      <c r="J490" s="159"/>
      <c r="K490" s="157"/>
      <c r="L490" s="157"/>
      <c r="M490" s="157"/>
      <c r="N490" s="157"/>
      <c r="O490" s="157"/>
      <c r="P490" s="171"/>
      <c r="Q490" s="159"/>
      <c r="R490" s="170"/>
      <c r="S490" s="6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>
      <c r="A491" s="2"/>
      <c r="B491" s="156"/>
      <c r="C491" s="157"/>
      <c r="D491" s="173"/>
      <c r="E491" s="157"/>
      <c r="F491" s="157"/>
      <c r="G491" s="157"/>
      <c r="H491" s="159"/>
      <c r="I491" s="159"/>
      <c r="J491" s="159"/>
      <c r="K491" s="157"/>
      <c r="L491" s="157"/>
      <c r="M491" s="157"/>
      <c r="N491" s="157"/>
      <c r="O491" s="157"/>
      <c r="P491" s="171"/>
      <c r="Q491" s="159"/>
      <c r="R491" s="170"/>
      <c r="S491" s="6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>
      <c r="A492" s="2"/>
      <c r="B492" s="156"/>
      <c r="C492" s="157"/>
      <c r="D492" s="173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71"/>
      <c r="Q492" s="157"/>
      <c r="R492" s="170"/>
      <c r="S492" s="6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>
      <c r="A493" s="2"/>
      <c r="B493" s="156"/>
      <c r="C493" s="157"/>
      <c r="D493" s="173"/>
      <c r="E493" s="157"/>
      <c r="F493" s="157"/>
      <c r="G493" s="157"/>
      <c r="H493" s="157"/>
      <c r="I493" s="159"/>
      <c r="J493" s="159"/>
      <c r="K493" s="157"/>
      <c r="L493" s="157"/>
      <c r="M493" s="157"/>
      <c r="N493" s="157"/>
      <c r="O493" s="157"/>
      <c r="P493" s="171"/>
      <c r="Q493" s="157"/>
      <c r="R493" s="170"/>
      <c r="S493" s="6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>
      <c r="A494" s="2"/>
      <c r="B494" s="156"/>
      <c r="C494" s="157"/>
      <c r="D494" s="173"/>
      <c r="E494" s="157"/>
      <c r="F494" s="157"/>
      <c r="G494" s="159"/>
      <c r="H494" s="159"/>
      <c r="I494" s="159"/>
      <c r="J494" s="159"/>
      <c r="K494" s="157"/>
      <c r="L494" s="157"/>
      <c r="M494" s="157"/>
      <c r="N494" s="157"/>
      <c r="O494" s="157"/>
      <c r="P494" s="171"/>
      <c r="Q494" s="157"/>
      <c r="R494" s="170"/>
      <c r="S494" s="6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>
      <c r="A495" s="2"/>
      <c r="B495" s="156"/>
      <c r="C495" s="157"/>
      <c r="D495" s="173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71"/>
      <c r="Q495" s="159"/>
      <c r="R495" s="170"/>
      <c r="S495" s="6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>
      <c r="A496" s="2"/>
      <c r="B496" s="156"/>
      <c r="C496" s="157"/>
      <c r="D496" s="173"/>
      <c r="E496" s="157"/>
      <c r="F496" s="157"/>
      <c r="G496" s="157"/>
      <c r="H496" s="159"/>
      <c r="I496" s="159"/>
      <c r="J496" s="159"/>
      <c r="K496" s="157"/>
      <c r="L496" s="157"/>
      <c r="M496" s="157"/>
      <c r="N496" s="157"/>
      <c r="O496" s="157"/>
      <c r="P496" s="171"/>
      <c r="Q496" s="159"/>
      <c r="R496" s="170"/>
      <c r="S496" s="6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>
      <c r="A497" s="2"/>
      <c r="B497" s="156"/>
      <c r="C497" s="157"/>
      <c r="D497" s="173"/>
      <c r="E497" s="157"/>
      <c r="F497" s="157"/>
      <c r="G497" s="157"/>
      <c r="H497" s="157"/>
      <c r="I497" s="159"/>
      <c r="J497" s="159"/>
      <c r="K497" s="157"/>
      <c r="L497" s="157"/>
      <c r="M497" s="157"/>
      <c r="N497" s="157"/>
      <c r="O497" s="157"/>
      <c r="P497" s="171"/>
      <c r="Q497" s="159"/>
      <c r="R497" s="170"/>
      <c r="S497" s="6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>
      <c r="A498" s="2"/>
      <c r="B498" s="156"/>
      <c r="C498" s="157"/>
      <c r="D498" s="173"/>
      <c r="E498" s="157"/>
      <c r="F498" s="157"/>
      <c r="G498" s="157"/>
      <c r="H498" s="157"/>
      <c r="I498" s="159"/>
      <c r="J498" s="159"/>
      <c r="K498" s="157"/>
      <c r="L498" s="157"/>
      <c r="M498" s="157"/>
      <c r="N498" s="157"/>
      <c r="O498" s="157"/>
      <c r="P498" s="171"/>
      <c r="Q498" s="159"/>
      <c r="R498" s="170"/>
      <c r="S498" s="6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>
      <c r="A499" s="2"/>
      <c r="B499" s="156"/>
      <c r="C499" s="157"/>
      <c r="D499" s="173"/>
      <c r="E499" s="157"/>
      <c r="F499" s="157"/>
      <c r="G499" s="157"/>
      <c r="H499" s="159"/>
      <c r="I499" s="159"/>
      <c r="J499" s="159"/>
      <c r="K499" s="157"/>
      <c r="L499" s="157"/>
      <c r="M499" s="157"/>
      <c r="N499" s="157"/>
      <c r="O499" s="157"/>
      <c r="P499" s="171"/>
      <c r="Q499" s="159"/>
      <c r="R499" s="170"/>
      <c r="S499" s="6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>
      <c r="A500" s="2"/>
      <c r="B500" s="138"/>
      <c r="C500" s="139"/>
      <c r="D500" s="139"/>
      <c r="E500" s="139"/>
      <c r="F500" s="139"/>
      <c r="G500" s="139"/>
      <c r="H500" s="139"/>
      <c r="I500" s="139"/>
      <c r="J500" s="139"/>
      <c r="K500" s="139"/>
      <c r="L500" s="139"/>
      <c r="M500" s="139"/>
      <c r="N500" s="139"/>
      <c r="O500" s="139"/>
      <c r="P500" s="139"/>
      <c r="Q500" s="139"/>
      <c r="R500" s="162"/>
      <c r="S500" s="6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>
      <c r="A501" s="2"/>
      <c r="B501" s="163" t="s">
        <v>64</v>
      </c>
      <c r="C501" s="68"/>
      <c r="D501" s="131" t="str">
        <f>MONEYTEXT(R501, "INR")</f>
        <v>Zero Indian rupees</v>
      </c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76"/>
      <c r="P501" s="164" t="s">
        <v>65</v>
      </c>
      <c r="Q501" s="4"/>
      <c r="R501" s="142">
        <f>SUM(R490:R499)</f>
        <v>0</v>
      </c>
      <c r="S501" s="6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>
      <c r="A502" s="2"/>
      <c r="B502" s="163" t="s">
        <v>66</v>
      </c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76"/>
      <c r="P502" s="165" t="s">
        <v>67</v>
      </c>
      <c r="Q502" s="31"/>
      <c r="R502" s="32"/>
      <c r="S502" s="6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>
      <c r="A503" s="2"/>
      <c r="B503" s="166" t="s">
        <v>68</v>
      </c>
      <c r="P503" s="139"/>
      <c r="Q503" s="139"/>
      <c r="R503" s="162"/>
      <c r="S503" s="6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>
      <c r="A504" s="2"/>
      <c r="B504" s="166" t="s">
        <v>70</v>
      </c>
      <c r="P504" s="139"/>
      <c r="Q504" s="139"/>
      <c r="R504" s="162"/>
      <c r="S504" s="6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>
      <c r="A505" s="2"/>
      <c r="B505" s="138"/>
      <c r="C505" s="139"/>
      <c r="D505" s="139"/>
      <c r="E505" s="139"/>
      <c r="F505" s="139"/>
      <c r="G505" s="139"/>
      <c r="H505" s="139"/>
      <c r="I505" s="139"/>
      <c r="J505" s="139"/>
      <c r="K505" s="139"/>
      <c r="L505" s="139"/>
      <c r="M505" s="139"/>
      <c r="N505" s="139"/>
      <c r="O505" s="139"/>
      <c r="P505" s="139"/>
      <c r="Q505" s="139"/>
      <c r="R505" s="162"/>
      <c r="S505" s="6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>
      <c r="A506" s="2"/>
      <c r="B506" s="138"/>
      <c r="C506" s="139"/>
      <c r="D506" s="139"/>
      <c r="E506" s="139"/>
      <c r="F506" s="139"/>
      <c r="G506" s="139"/>
      <c r="H506" s="139"/>
      <c r="I506" s="139"/>
      <c r="J506" s="139"/>
      <c r="K506" s="167" t="s">
        <v>71</v>
      </c>
      <c r="L506" s="139"/>
      <c r="M506" s="139"/>
      <c r="N506" s="139"/>
      <c r="O506" s="139"/>
      <c r="P506" s="140" t="s">
        <v>72</v>
      </c>
      <c r="R506" s="10"/>
      <c r="S506" s="6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>
      <c r="A507" s="2"/>
      <c r="B507" s="168"/>
      <c r="C507" s="150"/>
      <c r="D507" s="150"/>
      <c r="E507" s="150"/>
      <c r="F507" s="150"/>
      <c r="G507" s="150"/>
      <c r="H507" s="150"/>
      <c r="I507" s="150"/>
      <c r="J507" s="150"/>
      <c r="K507" s="150"/>
      <c r="L507" s="150"/>
      <c r="M507" s="150"/>
      <c r="N507" s="150"/>
      <c r="O507" s="150"/>
      <c r="P507" s="150"/>
      <c r="Q507" s="150"/>
      <c r="R507" s="169"/>
      <c r="S507" s="6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>
      <c r="A508" s="2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ht="75.0" customHeight="1">
      <c r="A509" s="2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>
      <c r="A510" s="2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>
      <c r="A511" s="2"/>
      <c r="B511" s="3" t="s">
        <v>1</v>
      </c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5"/>
      <c r="S511" s="6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>
      <c r="A512" s="2"/>
      <c r="B512" s="138"/>
      <c r="F512" s="139"/>
      <c r="G512" s="139"/>
      <c r="H512" s="139"/>
      <c r="I512" s="139"/>
      <c r="J512" s="140" t="s">
        <v>2</v>
      </c>
      <c r="N512" s="139"/>
      <c r="R512" s="10"/>
      <c r="S512" s="6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>
      <c r="A513" s="2"/>
      <c r="B513" s="138"/>
      <c r="F513" s="139"/>
      <c r="G513" s="139"/>
      <c r="H513" s="139"/>
      <c r="I513" s="139"/>
      <c r="J513" s="140" t="s">
        <v>3</v>
      </c>
      <c r="N513" s="139"/>
      <c r="R513" s="10"/>
      <c r="S513" s="6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>
      <c r="A514" s="2"/>
      <c r="B514" s="141" t="s">
        <v>4</v>
      </c>
      <c r="R514" s="10"/>
      <c r="S514" s="6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>
      <c r="A515" s="2"/>
      <c r="B515" s="142" t="s">
        <v>5</v>
      </c>
      <c r="C515" s="143" t="s">
        <v>6</v>
      </c>
      <c r="D515" s="4"/>
      <c r="E515" s="4"/>
      <c r="F515" s="4"/>
      <c r="G515" s="4"/>
      <c r="H515" s="4"/>
      <c r="I515" s="4"/>
      <c r="J515" s="4"/>
      <c r="K515" s="5"/>
      <c r="L515" s="144" t="s">
        <v>7</v>
      </c>
      <c r="M515" s="145">
        <v>18.0</v>
      </c>
      <c r="N515" s="146"/>
      <c r="O515" s="4"/>
      <c r="P515" s="4"/>
      <c r="Q515" s="4"/>
      <c r="R515" s="5"/>
      <c r="S515" s="6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>
      <c r="A516" s="2"/>
      <c r="B516" s="147"/>
      <c r="C516" s="148" t="s">
        <v>8</v>
      </c>
      <c r="K516" s="10"/>
      <c r="L516" s="144" t="s">
        <v>9</v>
      </c>
      <c r="M516" s="9" t="s">
        <v>10</v>
      </c>
      <c r="N516" s="139"/>
      <c r="R516" s="10"/>
      <c r="S516" s="6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>
      <c r="A517" s="2"/>
      <c r="B517" s="142" t="s">
        <v>11</v>
      </c>
      <c r="C517" s="149" t="s">
        <v>12</v>
      </c>
      <c r="D517" s="31"/>
      <c r="E517" s="31"/>
      <c r="F517" s="31"/>
      <c r="G517" s="31"/>
      <c r="H517" s="31"/>
      <c r="I517" s="31"/>
      <c r="J517" s="31"/>
      <c r="K517" s="32"/>
      <c r="L517" s="144" t="s">
        <v>13</v>
      </c>
      <c r="M517" s="33" t="s">
        <v>14</v>
      </c>
      <c r="N517" s="150"/>
      <c r="O517" s="31"/>
      <c r="P517" s="31"/>
      <c r="Q517" s="31"/>
      <c r="R517" s="32"/>
      <c r="S517" s="6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>
      <c r="A518" s="2"/>
      <c r="B518" s="138"/>
      <c r="R518" s="10"/>
      <c r="S518" s="6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>
      <c r="A519" s="2"/>
      <c r="B519" s="151" t="s">
        <v>15</v>
      </c>
      <c r="C519" s="152" t="s">
        <v>16</v>
      </c>
      <c r="D519" s="153" t="s">
        <v>17</v>
      </c>
      <c r="E519" s="153" t="s">
        <v>18</v>
      </c>
      <c r="F519" s="154" t="s">
        <v>19</v>
      </c>
      <c r="G519" s="43"/>
      <c r="H519" s="43"/>
      <c r="I519" s="43"/>
      <c r="J519" s="44"/>
      <c r="K519" s="153" t="s">
        <v>20</v>
      </c>
      <c r="L519" s="153" t="s">
        <v>21</v>
      </c>
      <c r="M519" s="153" t="s">
        <v>22</v>
      </c>
      <c r="N519" s="153" t="s">
        <v>23</v>
      </c>
      <c r="O519" s="153" t="s">
        <v>24</v>
      </c>
      <c r="P519" s="153" t="s">
        <v>25</v>
      </c>
      <c r="Q519" s="153" t="s">
        <v>26</v>
      </c>
      <c r="R519" s="155" t="s">
        <v>27</v>
      </c>
      <c r="S519" s="6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>
      <c r="A520" s="2"/>
      <c r="B520" s="156">
        <v>1.0</v>
      </c>
      <c r="C520" s="157"/>
      <c r="D520" s="173"/>
      <c r="E520" s="157"/>
      <c r="F520" s="157"/>
      <c r="G520" s="157"/>
      <c r="H520" s="157"/>
      <c r="I520" s="157"/>
      <c r="J520" s="159"/>
      <c r="K520" s="157"/>
      <c r="L520" s="157"/>
      <c r="M520" s="157"/>
      <c r="N520" s="157"/>
      <c r="O520" s="157"/>
      <c r="P520" s="160"/>
      <c r="Q520" s="159"/>
      <c r="R520" s="170"/>
      <c r="S520" s="6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>
      <c r="A521" s="2"/>
      <c r="B521" s="156">
        <v>2.0</v>
      </c>
      <c r="C521" s="157"/>
      <c r="D521" s="173"/>
      <c r="E521" s="157"/>
      <c r="F521" s="157"/>
      <c r="G521" s="159"/>
      <c r="H521" s="159"/>
      <c r="I521" s="159"/>
      <c r="J521" s="159"/>
      <c r="K521" s="157"/>
      <c r="L521" s="157"/>
      <c r="M521" s="157"/>
      <c r="N521" s="157"/>
      <c r="O521" s="157"/>
      <c r="P521" s="171"/>
      <c r="Q521" s="159"/>
      <c r="R521" s="170"/>
      <c r="S521" s="6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>
      <c r="A522" s="2"/>
      <c r="B522" s="156">
        <v>3.0</v>
      </c>
      <c r="C522" s="157"/>
      <c r="D522" s="173"/>
      <c r="E522" s="157"/>
      <c r="F522" s="157"/>
      <c r="G522" s="159"/>
      <c r="H522" s="159"/>
      <c r="I522" s="159"/>
      <c r="J522" s="159"/>
      <c r="K522" s="157"/>
      <c r="L522" s="157"/>
      <c r="M522" s="157"/>
      <c r="N522" s="157"/>
      <c r="O522" s="157"/>
      <c r="P522" s="171"/>
      <c r="Q522" s="157"/>
      <c r="R522" s="170"/>
      <c r="S522" s="6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>
      <c r="A523" s="2"/>
      <c r="B523" s="156">
        <v>4.0</v>
      </c>
      <c r="C523" s="157"/>
      <c r="D523" s="173"/>
      <c r="E523" s="157"/>
      <c r="F523" s="157"/>
      <c r="G523" s="159"/>
      <c r="H523" s="159"/>
      <c r="I523" s="159"/>
      <c r="J523" s="159"/>
      <c r="K523" s="157"/>
      <c r="L523" s="157"/>
      <c r="M523" s="157"/>
      <c r="N523" s="157"/>
      <c r="O523" s="157"/>
      <c r="P523" s="171"/>
      <c r="Q523" s="159"/>
      <c r="R523" s="170"/>
      <c r="S523" s="6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>
      <c r="A524" s="2"/>
      <c r="B524" s="156">
        <v>5.0</v>
      </c>
      <c r="C524" s="157"/>
      <c r="D524" s="173"/>
      <c r="E524" s="157"/>
      <c r="F524" s="157"/>
      <c r="G524" s="159"/>
      <c r="H524" s="159"/>
      <c r="I524" s="159"/>
      <c r="J524" s="159"/>
      <c r="K524" s="157"/>
      <c r="L524" s="157"/>
      <c r="M524" s="157"/>
      <c r="N524" s="157"/>
      <c r="O524" s="157"/>
      <c r="P524" s="171"/>
      <c r="Q524" s="159"/>
      <c r="R524" s="170"/>
      <c r="S524" s="6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>
      <c r="A525" s="2"/>
      <c r="B525" s="156">
        <v>6.0</v>
      </c>
      <c r="C525" s="157"/>
      <c r="D525" s="173"/>
      <c r="E525" s="157"/>
      <c r="F525" s="157"/>
      <c r="G525" s="159"/>
      <c r="H525" s="159"/>
      <c r="I525" s="159"/>
      <c r="J525" s="159"/>
      <c r="K525" s="157"/>
      <c r="L525" s="157"/>
      <c r="M525" s="157"/>
      <c r="N525" s="157"/>
      <c r="O525" s="157"/>
      <c r="P525" s="171"/>
      <c r="Q525" s="159"/>
      <c r="R525" s="170"/>
      <c r="S525" s="6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>
      <c r="A526" s="2"/>
      <c r="B526" s="156">
        <v>7.0</v>
      </c>
      <c r="C526" s="157"/>
      <c r="D526" s="173"/>
      <c r="E526" s="157"/>
      <c r="F526" s="157"/>
      <c r="G526" s="157"/>
      <c r="H526" s="159"/>
      <c r="I526" s="159"/>
      <c r="J526" s="159"/>
      <c r="K526" s="157"/>
      <c r="L526" s="157"/>
      <c r="M526" s="157"/>
      <c r="N526" s="157"/>
      <c r="O526" s="157"/>
      <c r="P526" s="171"/>
      <c r="Q526" s="159"/>
      <c r="R526" s="170"/>
      <c r="S526" s="6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>
      <c r="A527" s="2"/>
      <c r="B527" s="156">
        <v>8.0</v>
      </c>
      <c r="C527" s="157"/>
      <c r="D527" s="173"/>
      <c r="E527" s="157"/>
      <c r="F527" s="157"/>
      <c r="G527" s="159"/>
      <c r="H527" s="159"/>
      <c r="I527" s="159"/>
      <c r="J527" s="159"/>
      <c r="K527" s="157"/>
      <c r="L527" s="157"/>
      <c r="M527" s="157"/>
      <c r="N527" s="157"/>
      <c r="O527" s="157"/>
      <c r="P527" s="171"/>
      <c r="Q527" s="159"/>
      <c r="R527" s="170"/>
      <c r="S527" s="6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>
      <c r="A528" s="2"/>
      <c r="B528" s="156">
        <v>9.0</v>
      </c>
      <c r="C528" s="157"/>
      <c r="D528" s="173"/>
      <c r="E528" s="157"/>
      <c r="F528" s="157"/>
      <c r="G528" s="157"/>
      <c r="H528" s="157"/>
      <c r="I528" s="159"/>
      <c r="J528" s="159"/>
      <c r="K528" s="157"/>
      <c r="L528" s="157"/>
      <c r="M528" s="157"/>
      <c r="N528" s="157"/>
      <c r="O528" s="157"/>
      <c r="P528" s="171"/>
      <c r="Q528" s="159"/>
      <c r="R528" s="170"/>
      <c r="S528" s="6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>
      <c r="A529" s="2"/>
      <c r="B529" s="156">
        <v>10.0</v>
      </c>
      <c r="C529" s="157"/>
      <c r="D529" s="173"/>
      <c r="E529" s="157"/>
      <c r="F529" s="157"/>
      <c r="G529" s="157"/>
      <c r="H529" s="159"/>
      <c r="I529" s="159"/>
      <c r="J529" s="159"/>
      <c r="K529" s="157"/>
      <c r="L529" s="157"/>
      <c r="M529" s="157"/>
      <c r="N529" s="157"/>
      <c r="O529" s="157"/>
      <c r="P529" s="171"/>
      <c r="Q529" s="157"/>
      <c r="R529" s="170"/>
      <c r="S529" s="6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>
      <c r="A530" s="2"/>
      <c r="B530" s="138"/>
      <c r="C530" s="139"/>
      <c r="D530" s="139"/>
      <c r="E530" s="139"/>
      <c r="F530" s="139"/>
      <c r="G530" s="139"/>
      <c r="H530" s="139"/>
      <c r="I530" s="139"/>
      <c r="J530" s="139"/>
      <c r="K530" s="139"/>
      <c r="L530" s="139"/>
      <c r="M530" s="139"/>
      <c r="N530" s="139"/>
      <c r="O530" s="139"/>
      <c r="P530" s="139"/>
      <c r="Q530" s="139"/>
      <c r="R530" s="162"/>
      <c r="S530" s="6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>
      <c r="A531" s="2"/>
      <c r="B531" s="163" t="s">
        <v>64</v>
      </c>
      <c r="C531" s="68"/>
      <c r="D531" s="131" t="str">
        <f>MONEYTEXT(R531, "INR")</f>
        <v>Zero Indian rupees</v>
      </c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76"/>
      <c r="P531" s="164" t="s">
        <v>65</v>
      </c>
      <c r="Q531" s="4"/>
      <c r="R531" s="142">
        <f>SUM(R520:R529)</f>
        <v>0</v>
      </c>
      <c r="S531" s="6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>
      <c r="A532" s="2"/>
      <c r="B532" s="163" t="s">
        <v>66</v>
      </c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76"/>
      <c r="P532" s="165" t="s">
        <v>67</v>
      </c>
      <c r="Q532" s="31"/>
      <c r="R532" s="32"/>
      <c r="S532" s="6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>
      <c r="A533" s="2"/>
      <c r="B533" s="166" t="s">
        <v>68</v>
      </c>
      <c r="P533" s="139"/>
      <c r="Q533" s="139"/>
      <c r="R533" s="162"/>
      <c r="S533" s="6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>
      <c r="A534" s="2"/>
      <c r="B534" s="166" t="s">
        <v>70</v>
      </c>
      <c r="P534" s="139"/>
      <c r="Q534" s="139"/>
      <c r="R534" s="162"/>
      <c r="S534" s="6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>
      <c r="A535" s="2"/>
      <c r="B535" s="138"/>
      <c r="C535" s="139"/>
      <c r="D535" s="139"/>
      <c r="E535" s="139"/>
      <c r="F535" s="139"/>
      <c r="G535" s="139"/>
      <c r="H535" s="139"/>
      <c r="I535" s="139"/>
      <c r="J535" s="139"/>
      <c r="K535" s="139"/>
      <c r="L535" s="139"/>
      <c r="M535" s="139"/>
      <c r="N535" s="139"/>
      <c r="O535" s="139"/>
      <c r="P535" s="139"/>
      <c r="Q535" s="139"/>
      <c r="R535" s="162"/>
      <c r="S535" s="6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>
      <c r="A536" s="2"/>
      <c r="B536" s="138"/>
      <c r="C536" s="139"/>
      <c r="D536" s="139"/>
      <c r="E536" s="139"/>
      <c r="F536" s="139"/>
      <c r="G536" s="139"/>
      <c r="H536" s="139"/>
      <c r="I536" s="139"/>
      <c r="J536" s="139"/>
      <c r="K536" s="167" t="s">
        <v>71</v>
      </c>
      <c r="L536" s="139"/>
      <c r="M536" s="139"/>
      <c r="N536" s="139"/>
      <c r="O536" s="139"/>
      <c r="P536" s="140" t="s">
        <v>72</v>
      </c>
      <c r="R536" s="10"/>
      <c r="S536" s="6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>
      <c r="A537" s="2"/>
      <c r="B537" s="168"/>
      <c r="C537" s="150"/>
      <c r="D537" s="150"/>
      <c r="E537" s="150"/>
      <c r="F537" s="150"/>
      <c r="G537" s="150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R537" s="169"/>
      <c r="S537" s="6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>
      <c r="A538" s="2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>
      <c r="A539" s="2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ht="70.5" customHeight="1">
      <c r="A540" s="2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>
      <c r="A541" s="2"/>
      <c r="B541" s="3" t="s">
        <v>1</v>
      </c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5"/>
      <c r="S541" s="6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>
      <c r="A542" s="2"/>
      <c r="B542" s="8"/>
      <c r="F542" s="9"/>
      <c r="G542" s="9"/>
      <c r="H542" s="9"/>
      <c r="I542" s="9"/>
      <c r="J542" s="9" t="s">
        <v>2</v>
      </c>
      <c r="N542" s="6"/>
      <c r="R542" s="10"/>
      <c r="S542" s="6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>
      <c r="A543" s="2"/>
      <c r="B543" s="13"/>
      <c r="F543" s="9"/>
      <c r="G543" s="9"/>
      <c r="H543" s="9"/>
      <c r="I543" s="9"/>
      <c r="J543" s="9" t="s">
        <v>3</v>
      </c>
      <c r="N543" s="6"/>
      <c r="R543" s="10"/>
      <c r="S543" s="6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>
      <c r="A544" s="2"/>
      <c r="B544" s="13" t="s">
        <v>4</v>
      </c>
      <c r="R544" s="10"/>
      <c r="S544" s="6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>
      <c r="A545" s="2"/>
      <c r="B545" s="16" t="s">
        <v>5</v>
      </c>
      <c r="C545" s="17" t="s">
        <v>6</v>
      </c>
      <c r="D545" s="4"/>
      <c r="E545" s="4"/>
      <c r="F545" s="4"/>
      <c r="G545" s="4"/>
      <c r="H545" s="4"/>
      <c r="I545" s="4"/>
      <c r="J545" s="4"/>
      <c r="K545" s="5"/>
      <c r="L545" s="18" t="s">
        <v>7</v>
      </c>
      <c r="M545" s="19">
        <v>19.0</v>
      </c>
      <c r="N545" s="20"/>
      <c r="O545" s="4"/>
      <c r="P545" s="4"/>
      <c r="Q545" s="4"/>
      <c r="R545" s="5"/>
      <c r="S545" s="6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>
      <c r="A546" s="2"/>
      <c r="B546" s="26"/>
      <c r="C546" s="27" t="s">
        <v>8</v>
      </c>
      <c r="K546" s="10"/>
      <c r="L546" s="18" t="s">
        <v>9</v>
      </c>
      <c r="M546" s="9" t="s">
        <v>10</v>
      </c>
      <c r="N546" s="6"/>
      <c r="R546" s="10"/>
      <c r="S546" s="6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>
      <c r="A547" s="2"/>
      <c r="B547" s="16" t="s">
        <v>11</v>
      </c>
      <c r="C547" s="30" t="s">
        <v>12</v>
      </c>
      <c r="D547" s="31"/>
      <c r="E547" s="31"/>
      <c r="F547" s="31"/>
      <c r="G547" s="31"/>
      <c r="H547" s="31"/>
      <c r="I547" s="31"/>
      <c r="J547" s="31"/>
      <c r="K547" s="32"/>
      <c r="L547" s="18" t="s">
        <v>13</v>
      </c>
      <c r="M547" s="33" t="s">
        <v>14</v>
      </c>
      <c r="N547" s="34"/>
      <c r="O547" s="31"/>
      <c r="P547" s="31"/>
      <c r="Q547" s="31"/>
      <c r="R547" s="32"/>
      <c r="S547" s="6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>
      <c r="A548" s="2"/>
      <c r="B548" s="8"/>
      <c r="R548" s="10"/>
      <c r="S548" s="6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>
      <c r="A549" s="2"/>
      <c r="B549" s="39" t="s">
        <v>15</v>
      </c>
      <c r="C549" s="40" t="s">
        <v>16</v>
      </c>
      <c r="D549" s="41" t="s">
        <v>17</v>
      </c>
      <c r="E549" s="41" t="s">
        <v>18</v>
      </c>
      <c r="F549" s="42" t="s">
        <v>19</v>
      </c>
      <c r="G549" s="43"/>
      <c r="H549" s="43"/>
      <c r="I549" s="43"/>
      <c r="J549" s="44"/>
      <c r="K549" s="41" t="s">
        <v>20</v>
      </c>
      <c r="L549" s="41" t="s">
        <v>21</v>
      </c>
      <c r="M549" s="41" t="s">
        <v>22</v>
      </c>
      <c r="N549" s="41" t="s">
        <v>23</v>
      </c>
      <c r="O549" s="41" t="s">
        <v>24</v>
      </c>
      <c r="P549" s="41" t="s">
        <v>25</v>
      </c>
      <c r="Q549" s="41" t="s">
        <v>26</v>
      </c>
      <c r="R549" s="45" t="s">
        <v>27</v>
      </c>
      <c r="S549" s="6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>
      <c r="A550" s="2"/>
      <c r="B550" s="52"/>
      <c r="C550" s="53"/>
      <c r="D550" s="53"/>
      <c r="E550" s="53"/>
      <c r="F550" s="53"/>
      <c r="G550" s="53"/>
      <c r="H550" s="53"/>
      <c r="I550" s="55"/>
      <c r="J550" s="55"/>
      <c r="K550" s="53"/>
      <c r="L550" s="53"/>
      <c r="M550" s="53"/>
      <c r="N550" s="53"/>
      <c r="O550" s="53"/>
      <c r="P550" s="55"/>
      <c r="Q550" s="53"/>
      <c r="R550" s="105"/>
      <c r="S550" s="6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>
      <c r="A551" s="2"/>
      <c r="B551" s="52"/>
      <c r="C551" s="53"/>
      <c r="D551" s="53"/>
      <c r="E551" s="53"/>
      <c r="F551" s="53"/>
      <c r="G551" s="53"/>
      <c r="H551" s="53"/>
      <c r="I551" s="53"/>
      <c r="J551" s="55"/>
      <c r="K551" s="53"/>
      <c r="L551" s="53"/>
      <c r="M551" s="53"/>
      <c r="N551" s="53"/>
      <c r="O551" s="53"/>
      <c r="P551" s="55"/>
      <c r="Q551" s="53"/>
      <c r="R551" s="105"/>
      <c r="S551" s="6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>
      <c r="A552" s="2"/>
      <c r="B552" s="52"/>
      <c r="C552" s="53"/>
      <c r="D552" s="53"/>
      <c r="E552" s="53"/>
      <c r="F552" s="53"/>
      <c r="G552" s="53"/>
      <c r="H552" s="55"/>
      <c r="I552" s="55"/>
      <c r="J552" s="55"/>
      <c r="K552" s="53"/>
      <c r="L552" s="53"/>
      <c r="M552" s="53"/>
      <c r="N552" s="53"/>
      <c r="O552" s="53"/>
      <c r="P552" s="55"/>
      <c r="Q552" s="53"/>
      <c r="R552" s="105"/>
      <c r="S552" s="6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>
      <c r="A553" s="2"/>
      <c r="B553" s="52"/>
      <c r="C553" s="53"/>
      <c r="D553" s="54"/>
      <c r="E553" s="53"/>
      <c r="F553" s="53"/>
      <c r="G553" s="53"/>
      <c r="H553" s="55"/>
      <c r="I553" s="55"/>
      <c r="J553" s="55"/>
      <c r="K553" s="53"/>
      <c r="L553" s="53"/>
      <c r="M553" s="53"/>
      <c r="N553" s="53"/>
      <c r="O553" s="53"/>
      <c r="P553" s="55">
        <f t="shared" ref="P553:P559" si="8">N553*O553</f>
        <v>0</v>
      </c>
      <c r="Q553" s="55"/>
      <c r="R553" s="105">
        <f t="shared" ref="R553:R559" si="9">P553+Q553</f>
        <v>0</v>
      </c>
      <c r="S553" s="6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>
      <c r="A554" s="2"/>
      <c r="B554" s="52"/>
      <c r="C554" s="53"/>
      <c r="D554" s="54"/>
      <c r="E554" s="53"/>
      <c r="F554" s="53"/>
      <c r="G554" s="53"/>
      <c r="H554" s="55"/>
      <c r="I554" s="55"/>
      <c r="J554" s="55"/>
      <c r="K554" s="53"/>
      <c r="L554" s="53"/>
      <c r="M554" s="53"/>
      <c r="N554" s="53"/>
      <c r="O554" s="53"/>
      <c r="P554" s="55">
        <f t="shared" si="8"/>
        <v>0</v>
      </c>
      <c r="Q554" s="55"/>
      <c r="R554" s="105">
        <f t="shared" si="9"/>
        <v>0</v>
      </c>
      <c r="S554" s="6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>
      <c r="A555" s="2"/>
      <c r="B555" s="52"/>
      <c r="C555" s="53"/>
      <c r="D555" s="54"/>
      <c r="E555" s="53"/>
      <c r="F555" s="53"/>
      <c r="G555" s="55"/>
      <c r="H555" s="55"/>
      <c r="I555" s="55"/>
      <c r="J555" s="55"/>
      <c r="K555" s="53"/>
      <c r="L555" s="53"/>
      <c r="M555" s="53"/>
      <c r="N555" s="53"/>
      <c r="O555" s="53"/>
      <c r="P555" s="55">
        <f t="shared" si="8"/>
        <v>0</v>
      </c>
      <c r="Q555" s="55"/>
      <c r="R555" s="105">
        <f t="shared" si="9"/>
        <v>0</v>
      </c>
      <c r="S555" s="6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>
      <c r="A556" s="2"/>
      <c r="B556" s="52"/>
      <c r="C556" s="53"/>
      <c r="D556" s="54"/>
      <c r="E556" s="53"/>
      <c r="F556" s="53"/>
      <c r="G556" s="53"/>
      <c r="H556" s="53"/>
      <c r="I556" s="55"/>
      <c r="J556" s="55"/>
      <c r="K556" s="53"/>
      <c r="L556" s="53"/>
      <c r="M556" s="53"/>
      <c r="N556" s="53"/>
      <c r="O556" s="53"/>
      <c r="P556" s="55">
        <f t="shared" si="8"/>
        <v>0</v>
      </c>
      <c r="Q556" s="55"/>
      <c r="R556" s="105">
        <f t="shared" si="9"/>
        <v>0</v>
      </c>
      <c r="S556" s="6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>
      <c r="A557" s="2"/>
      <c r="B557" s="52"/>
      <c r="C557" s="53"/>
      <c r="D557" s="54"/>
      <c r="E557" s="53"/>
      <c r="F557" s="53"/>
      <c r="G557" s="53"/>
      <c r="H557" s="53"/>
      <c r="I557" s="55"/>
      <c r="J557" s="55"/>
      <c r="K557" s="53"/>
      <c r="L557" s="53"/>
      <c r="M557" s="53"/>
      <c r="N557" s="53"/>
      <c r="O557" s="53"/>
      <c r="P557" s="55">
        <f t="shared" si="8"/>
        <v>0</v>
      </c>
      <c r="Q557" s="55"/>
      <c r="R557" s="105">
        <f t="shared" si="9"/>
        <v>0</v>
      </c>
      <c r="S557" s="6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>
      <c r="A558" s="2"/>
      <c r="B558" s="52"/>
      <c r="C558" s="53"/>
      <c r="D558" s="54"/>
      <c r="E558" s="53"/>
      <c r="F558" s="53"/>
      <c r="G558" s="55"/>
      <c r="H558" s="53"/>
      <c r="I558" s="55"/>
      <c r="J558" s="55"/>
      <c r="K558" s="53"/>
      <c r="L558" s="53"/>
      <c r="M558" s="53"/>
      <c r="N558" s="53"/>
      <c r="O558" s="53"/>
      <c r="P558" s="55">
        <f t="shared" si="8"/>
        <v>0</v>
      </c>
      <c r="Q558" s="53"/>
      <c r="R558" s="105">
        <f t="shared" si="9"/>
        <v>0</v>
      </c>
      <c r="S558" s="6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>
      <c r="A559" s="2"/>
      <c r="B559" s="52"/>
      <c r="C559" s="53"/>
      <c r="D559" s="54"/>
      <c r="E559" s="53"/>
      <c r="F559" s="53"/>
      <c r="G559" s="55"/>
      <c r="H559" s="55"/>
      <c r="I559" s="55"/>
      <c r="J559" s="55"/>
      <c r="K559" s="53"/>
      <c r="L559" s="53"/>
      <c r="M559" s="53"/>
      <c r="N559" s="53"/>
      <c r="O559" s="53"/>
      <c r="P559" s="55">
        <f t="shared" si="8"/>
        <v>0</v>
      </c>
      <c r="Q559" s="53"/>
      <c r="R559" s="105">
        <f t="shared" si="9"/>
        <v>0</v>
      </c>
      <c r="S559" s="6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>
      <c r="A560" s="2"/>
      <c r="B560" s="8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5"/>
      <c r="S560" s="6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>
      <c r="A561" s="2"/>
      <c r="B561" s="67" t="s">
        <v>64</v>
      </c>
      <c r="C561" s="68"/>
      <c r="D561" s="69" t="str">
        <f>MONEYTEXT(R561, "INR")</f>
        <v>Zero Indian rupees</v>
      </c>
      <c r="E561" s="68"/>
      <c r="F561" s="68"/>
      <c r="G561" s="68"/>
      <c r="H561" s="68"/>
      <c r="I561" s="68"/>
      <c r="J561" s="68"/>
      <c r="K561" s="68"/>
      <c r="L561" s="68"/>
      <c r="M561" s="68"/>
      <c r="N561" s="70" t="s">
        <v>65</v>
      </c>
      <c r="O561" s="4"/>
      <c r="P561" s="96">
        <f t="shared" ref="P561:R561" si="10">SUM(P550:P559)</f>
        <v>0</v>
      </c>
      <c r="Q561" s="96">
        <f t="shared" si="10"/>
        <v>0</v>
      </c>
      <c r="R561" s="96">
        <f t="shared" si="10"/>
        <v>0</v>
      </c>
      <c r="S561" s="6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>
      <c r="A562" s="2"/>
      <c r="B562" s="67" t="s">
        <v>66</v>
      </c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76"/>
      <c r="P562" s="97" t="s">
        <v>67</v>
      </c>
      <c r="Q562" s="31"/>
      <c r="R562" s="32"/>
      <c r="S562" s="6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>
      <c r="A563" s="2"/>
      <c r="B563" s="79" t="s">
        <v>68</v>
      </c>
      <c r="P563" s="27"/>
      <c r="Q563" s="27"/>
      <c r="R563" s="83"/>
      <c r="S563" s="6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>
      <c r="A564" s="2"/>
      <c r="B564" s="79" t="s">
        <v>70</v>
      </c>
      <c r="P564" s="27"/>
      <c r="Q564" s="27"/>
      <c r="R564" s="83"/>
      <c r="S564" s="6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>
      <c r="A565" s="2"/>
      <c r="B565" s="8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5"/>
      <c r="S565" s="6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>
      <c r="A566" s="2"/>
      <c r="B566" s="8"/>
      <c r="C566" s="6"/>
      <c r="D566" s="6"/>
      <c r="E566" s="6"/>
      <c r="F566" s="6"/>
      <c r="G566" s="6"/>
      <c r="H566" s="6"/>
      <c r="I566" s="6"/>
      <c r="J566" s="6"/>
      <c r="K566" s="19" t="s">
        <v>71</v>
      </c>
      <c r="L566" s="6"/>
      <c r="M566" s="6"/>
      <c r="N566" s="6"/>
      <c r="O566" s="6"/>
      <c r="P566" s="9" t="s">
        <v>72</v>
      </c>
      <c r="R566" s="10"/>
      <c r="S566" s="6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>
      <c r="A567" s="2"/>
      <c r="B567" s="88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89"/>
      <c r="S567" s="6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>
      <c r="A568" s="2"/>
      <c r="B568" s="139"/>
      <c r="C568" s="139"/>
      <c r="D568" s="139"/>
      <c r="E568" s="139"/>
      <c r="F568" s="139"/>
      <c r="G568" s="139"/>
      <c r="H568" s="139"/>
      <c r="I568" s="139"/>
      <c r="J568" s="139"/>
      <c r="K568" s="139"/>
      <c r="L568" s="139"/>
      <c r="M568" s="139"/>
      <c r="N568" s="139"/>
      <c r="O568" s="139"/>
      <c r="P568" s="139"/>
      <c r="Q568" s="139"/>
      <c r="R568" s="139"/>
      <c r="S568" s="6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>
      <c r="A569" s="2"/>
      <c r="B569" s="139"/>
      <c r="C569" s="139"/>
      <c r="D569" s="139"/>
      <c r="E569" s="139"/>
      <c r="F569" s="139"/>
      <c r="G569" s="139"/>
      <c r="H569" s="139"/>
      <c r="I569" s="139"/>
      <c r="J569" s="139"/>
      <c r="K569" s="139"/>
      <c r="L569" s="139"/>
      <c r="M569" s="139"/>
      <c r="N569" s="139"/>
      <c r="O569" s="139"/>
      <c r="P569" s="139"/>
      <c r="Q569" s="139"/>
      <c r="R569" s="139"/>
      <c r="S569" s="6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>
      <c r="A570" s="2"/>
      <c r="B570" s="3" t="s">
        <v>1</v>
      </c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5"/>
      <c r="S570" s="6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>
      <c r="A571" s="2"/>
      <c r="B571" s="8"/>
      <c r="F571" s="9"/>
      <c r="G571" s="9"/>
      <c r="H571" s="9"/>
      <c r="I571" s="9"/>
      <c r="J571" s="9" t="s">
        <v>2</v>
      </c>
      <c r="N571" s="6"/>
      <c r="R571" s="10"/>
      <c r="S571" s="6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>
      <c r="A572" s="2"/>
      <c r="B572" s="13"/>
      <c r="F572" s="9"/>
      <c r="G572" s="9"/>
      <c r="H572" s="9"/>
      <c r="I572" s="9"/>
      <c r="J572" s="9" t="s">
        <v>3</v>
      </c>
      <c r="N572" s="6"/>
      <c r="R572" s="10"/>
      <c r="S572" s="6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>
      <c r="A573" s="2"/>
      <c r="B573" s="13" t="s">
        <v>4</v>
      </c>
      <c r="R573" s="10"/>
      <c r="S573" s="6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>
      <c r="A574" s="2"/>
      <c r="B574" s="16" t="s">
        <v>5</v>
      </c>
      <c r="C574" s="17" t="s">
        <v>6</v>
      </c>
      <c r="D574" s="4"/>
      <c r="E574" s="4"/>
      <c r="F574" s="4"/>
      <c r="G574" s="4"/>
      <c r="H574" s="4"/>
      <c r="I574" s="4"/>
      <c r="J574" s="4"/>
      <c r="K574" s="5"/>
      <c r="L574" s="18" t="s">
        <v>7</v>
      </c>
      <c r="M574" s="19">
        <v>28.0</v>
      </c>
      <c r="N574" s="20"/>
      <c r="O574" s="4"/>
      <c r="P574" s="4"/>
      <c r="Q574" s="4"/>
      <c r="R574" s="5"/>
      <c r="S574" s="6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>
      <c r="A575" s="2"/>
      <c r="B575" s="26"/>
      <c r="C575" s="27" t="s">
        <v>8</v>
      </c>
      <c r="K575" s="10"/>
      <c r="L575" s="18" t="s">
        <v>9</v>
      </c>
      <c r="M575" s="175">
        <v>46117.0</v>
      </c>
      <c r="N575" s="6"/>
      <c r="R575" s="10"/>
      <c r="S575" s="6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>
      <c r="A576" s="2"/>
      <c r="B576" s="16" t="s">
        <v>11</v>
      </c>
      <c r="C576" s="30" t="s">
        <v>12</v>
      </c>
      <c r="D576" s="31"/>
      <c r="E576" s="31"/>
      <c r="F576" s="31"/>
      <c r="G576" s="31"/>
      <c r="H576" s="31"/>
      <c r="I576" s="31"/>
      <c r="J576" s="31"/>
      <c r="K576" s="32"/>
      <c r="L576" s="18" t="s">
        <v>13</v>
      </c>
      <c r="M576" s="33" t="s">
        <v>14</v>
      </c>
      <c r="N576" s="34"/>
      <c r="O576" s="31"/>
      <c r="P576" s="31"/>
      <c r="Q576" s="31"/>
      <c r="R576" s="32"/>
      <c r="S576" s="6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>
      <c r="A577" s="2"/>
      <c r="B577" s="8"/>
      <c r="R577" s="10"/>
      <c r="S577" s="6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>
      <c r="A578" s="2"/>
      <c r="B578" s="39" t="s">
        <v>15</v>
      </c>
      <c r="C578" s="40" t="s">
        <v>16</v>
      </c>
      <c r="D578" s="41" t="s">
        <v>17</v>
      </c>
      <c r="E578" s="41" t="s">
        <v>18</v>
      </c>
      <c r="F578" s="42" t="s">
        <v>19</v>
      </c>
      <c r="G578" s="43"/>
      <c r="H578" s="43"/>
      <c r="I578" s="43"/>
      <c r="J578" s="44"/>
      <c r="K578" s="41" t="s">
        <v>20</v>
      </c>
      <c r="L578" s="41" t="s">
        <v>21</v>
      </c>
      <c r="M578" s="41" t="s">
        <v>22</v>
      </c>
      <c r="N578" s="41" t="s">
        <v>23</v>
      </c>
      <c r="O578" s="41" t="s">
        <v>24</v>
      </c>
      <c r="P578" s="41" t="s">
        <v>25</v>
      </c>
      <c r="Q578" s="41" t="s">
        <v>26</v>
      </c>
      <c r="R578" s="45" t="s">
        <v>27</v>
      </c>
      <c r="S578" s="6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>
      <c r="A579" s="2"/>
      <c r="B579" s="156">
        <v>1.0</v>
      </c>
      <c r="C579" s="53">
        <v>1.004634957E9</v>
      </c>
      <c r="D579" s="53" t="s">
        <v>122</v>
      </c>
      <c r="E579" s="53" t="s">
        <v>35</v>
      </c>
      <c r="F579" s="53" t="s">
        <v>36</v>
      </c>
      <c r="G579" s="53" t="s">
        <v>40</v>
      </c>
      <c r="H579" s="53"/>
      <c r="I579" s="55"/>
      <c r="J579" s="55"/>
      <c r="K579" s="53" t="s">
        <v>33</v>
      </c>
      <c r="L579" s="53" t="s">
        <v>96</v>
      </c>
      <c r="M579" s="53">
        <v>2201.0</v>
      </c>
      <c r="N579" s="53">
        <v>150.0</v>
      </c>
      <c r="O579" s="53">
        <v>15.53</v>
      </c>
      <c r="P579" s="55">
        <f t="shared" ref="P579:P588" si="11">N579*O579</f>
        <v>2329.5</v>
      </c>
      <c r="Q579" s="53"/>
      <c r="R579" s="105">
        <f t="shared" ref="R579:R588" si="12">P579+Q579</f>
        <v>2329.5</v>
      </c>
      <c r="S579" s="6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>
      <c r="A580" s="2"/>
      <c r="B580" s="156">
        <v>2.0</v>
      </c>
      <c r="C580" s="53">
        <v>1.004635139E9</v>
      </c>
      <c r="D580" s="53" t="s">
        <v>122</v>
      </c>
      <c r="E580" s="53" t="s">
        <v>47</v>
      </c>
      <c r="F580" s="53" t="s">
        <v>44</v>
      </c>
      <c r="G580" s="53" t="s">
        <v>48</v>
      </c>
      <c r="H580" s="53" t="s">
        <v>49</v>
      </c>
      <c r="I580" s="53"/>
      <c r="J580" s="55"/>
      <c r="K580" s="53" t="s">
        <v>45</v>
      </c>
      <c r="L580" s="53" t="s">
        <v>98</v>
      </c>
      <c r="M580" s="53">
        <v>1714.0</v>
      </c>
      <c r="N580" s="53">
        <v>250.0</v>
      </c>
      <c r="O580" s="53">
        <v>15.53</v>
      </c>
      <c r="P580" s="55">
        <f t="shared" si="11"/>
        <v>3882.5</v>
      </c>
      <c r="Q580" s="53"/>
      <c r="R580" s="105">
        <f t="shared" si="12"/>
        <v>3882.5</v>
      </c>
      <c r="S580" s="6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>
      <c r="A581" s="2"/>
      <c r="B581" s="156">
        <v>3.0</v>
      </c>
      <c r="C581" s="53">
        <v>1.004635582E9</v>
      </c>
      <c r="D581" s="53" t="s">
        <v>122</v>
      </c>
      <c r="E581" s="53" t="s">
        <v>51</v>
      </c>
      <c r="F581" s="53" t="s">
        <v>44</v>
      </c>
      <c r="G581" s="53" t="s">
        <v>49</v>
      </c>
      <c r="H581" s="55"/>
      <c r="I581" s="55"/>
      <c r="J581" s="55"/>
      <c r="K581" s="53" t="s">
        <v>45</v>
      </c>
      <c r="L581" s="53" t="s">
        <v>50</v>
      </c>
      <c r="M581" s="53">
        <v>1610.0</v>
      </c>
      <c r="N581" s="53">
        <v>230.0</v>
      </c>
      <c r="O581" s="53">
        <v>15.53</v>
      </c>
      <c r="P581" s="55">
        <f t="shared" si="11"/>
        <v>3571.9</v>
      </c>
      <c r="Q581" s="53"/>
      <c r="R581" s="105">
        <f t="shared" si="12"/>
        <v>3571.9</v>
      </c>
      <c r="S581" s="6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>
      <c r="A582" s="2"/>
      <c r="B582" s="156">
        <v>4.0</v>
      </c>
      <c r="C582" s="53">
        <v>1.004635593E9</v>
      </c>
      <c r="D582" s="53" t="s">
        <v>122</v>
      </c>
      <c r="E582" s="53" t="s">
        <v>51</v>
      </c>
      <c r="F582" s="53" t="s">
        <v>44</v>
      </c>
      <c r="G582" s="53"/>
      <c r="H582" s="55"/>
      <c r="I582" s="55"/>
      <c r="J582" s="55"/>
      <c r="K582" s="53" t="s">
        <v>45</v>
      </c>
      <c r="L582" s="53" t="s">
        <v>52</v>
      </c>
      <c r="M582" s="53">
        <v>1507.0</v>
      </c>
      <c r="N582" s="53">
        <v>230.0</v>
      </c>
      <c r="O582" s="53">
        <v>15.53</v>
      </c>
      <c r="P582" s="55">
        <f t="shared" si="11"/>
        <v>3571.9</v>
      </c>
      <c r="Q582" s="55"/>
      <c r="R582" s="105">
        <f t="shared" si="12"/>
        <v>3571.9</v>
      </c>
      <c r="S582" s="6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>
      <c r="A583" s="2"/>
      <c r="B583" s="156">
        <v>5.0</v>
      </c>
      <c r="C583" s="53">
        <v>1.004636029E9</v>
      </c>
      <c r="D583" s="53" t="s">
        <v>122</v>
      </c>
      <c r="E583" s="53" t="s">
        <v>51</v>
      </c>
      <c r="F583" s="53" t="s">
        <v>44</v>
      </c>
      <c r="G583" s="53"/>
      <c r="H583" s="55"/>
      <c r="I583" s="55"/>
      <c r="J583" s="55"/>
      <c r="K583" s="53" t="s">
        <v>45</v>
      </c>
      <c r="L583" s="53" t="s">
        <v>123</v>
      </c>
      <c r="M583" s="53">
        <v>1653.0</v>
      </c>
      <c r="N583" s="53">
        <v>230.0</v>
      </c>
      <c r="O583" s="53">
        <v>15.53</v>
      </c>
      <c r="P583" s="55">
        <f t="shared" si="11"/>
        <v>3571.9</v>
      </c>
      <c r="Q583" s="55"/>
      <c r="R583" s="105">
        <f t="shared" si="12"/>
        <v>3571.9</v>
      </c>
      <c r="S583" s="6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>
      <c r="A584" s="2"/>
      <c r="B584" s="156">
        <v>6.0</v>
      </c>
      <c r="C584" s="53">
        <v>1.00463603E9</v>
      </c>
      <c r="D584" s="53" t="s">
        <v>122</v>
      </c>
      <c r="E584" s="53" t="s">
        <v>51</v>
      </c>
      <c r="F584" s="53" t="s">
        <v>44</v>
      </c>
      <c r="G584" s="55"/>
      <c r="H584" s="55"/>
      <c r="I584" s="55"/>
      <c r="J584" s="55"/>
      <c r="K584" s="53" t="s">
        <v>45</v>
      </c>
      <c r="L584" s="53" t="s">
        <v>54</v>
      </c>
      <c r="M584" s="53">
        <v>1888.0</v>
      </c>
      <c r="N584" s="53">
        <v>230.0</v>
      </c>
      <c r="O584" s="53">
        <v>15.53</v>
      </c>
      <c r="P584" s="55">
        <f t="shared" si="11"/>
        <v>3571.9</v>
      </c>
      <c r="Q584" s="55"/>
      <c r="R584" s="105">
        <f t="shared" si="12"/>
        <v>3571.9</v>
      </c>
      <c r="S584" s="6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>
      <c r="A585" s="2"/>
      <c r="B585" s="156">
        <v>7.0</v>
      </c>
      <c r="C585" s="53">
        <v>1.004636184E9</v>
      </c>
      <c r="D585" s="53" t="s">
        <v>122</v>
      </c>
      <c r="E585" s="53" t="s">
        <v>106</v>
      </c>
      <c r="F585" s="53" t="s">
        <v>107</v>
      </c>
      <c r="G585" s="53" t="s">
        <v>108</v>
      </c>
      <c r="H585" s="53" t="s">
        <v>109</v>
      </c>
      <c r="I585" s="55"/>
      <c r="J585" s="55"/>
      <c r="K585" s="53" t="s">
        <v>38</v>
      </c>
      <c r="L585" s="53" t="s">
        <v>110</v>
      </c>
      <c r="M585" s="53">
        <v>3382.0</v>
      </c>
      <c r="N585" s="53">
        <v>482.0</v>
      </c>
      <c r="O585" s="53">
        <v>19.28</v>
      </c>
      <c r="P585" s="55">
        <f t="shared" si="11"/>
        <v>9292.96</v>
      </c>
      <c r="Q585" s="53">
        <v>1025.0</v>
      </c>
      <c r="R585" s="105">
        <f t="shared" si="12"/>
        <v>10317.96</v>
      </c>
      <c r="S585" s="6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>
      <c r="A586" s="2"/>
      <c r="B586" s="156">
        <v>8.0</v>
      </c>
      <c r="C586" s="53">
        <v>1.00463627E9</v>
      </c>
      <c r="D586" s="53" t="s">
        <v>122</v>
      </c>
      <c r="E586" s="53" t="s">
        <v>90</v>
      </c>
      <c r="F586" s="53" t="s">
        <v>91</v>
      </c>
      <c r="G586" s="53" t="s">
        <v>92</v>
      </c>
      <c r="H586" s="53" t="s">
        <v>94</v>
      </c>
      <c r="I586" s="53" t="s">
        <v>93</v>
      </c>
      <c r="J586" s="55"/>
      <c r="K586" s="53" t="s">
        <v>38</v>
      </c>
      <c r="L586" s="53" t="s">
        <v>102</v>
      </c>
      <c r="M586" s="53">
        <v>3591.0</v>
      </c>
      <c r="N586" s="53">
        <v>405.0</v>
      </c>
      <c r="O586" s="53">
        <v>19.28</v>
      </c>
      <c r="P586" s="55">
        <f t="shared" si="11"/>
        <v>7808.4</v>
      </c>
      <c r="Q586" s="53">
        <v>500.0</v>
      </c>
      <c r="R586" s="105">
        <f t="shared" si="12"/>
        <v>8308.4</v>
      </c>
      <c r="S586" s="6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>
      <c r="A587" s="2"/>
      <c r="B587" s="156">
        <v>9.0</v>
      </c>
      <c r="C587" s="53">
        <v>1.004636308E9</v>
      </c>
      <c r="D587" s="53" t="s">
        <v>122</v>
      </c>
      <c r="E587" s="53" t="s">
        <v>90</v>
      </c>
      <c r="F587" s="53" t="s">
        <v>91</v>
      </c>
      <c r="G587" s="53" t="s">
        <v>83</v>
      </c>
      <c r="H587" s="53"/>
      <c r="I587" s="55"/>
      <c r="J587" s="55"/>
      <c r="K587" s="53" t="s">
        <v>33</v>
      </c>
      <c r="L587" s="53" t="s">
        <v>85</v>
      </c>
      <c r="M587" s="53">
        <v>2092.0</v>
      </c>
      <c r="N587" s="53">
        <v>216.0</v>
      </c>
      <c r="O587" s="53">
        <v>15.53</v>
      </c>
      <c r="P587" s="55">
        <f t="shared" si="11"/>
        <v>3354.48</v>
      </c>
      <c r="Q587" s="53"/>
      <c r="R587" s="105">
        <f t="shared" si="12"/>
        <v>3354.48</v>
      </c>
      <c r="S587" s="6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>
      <c r="A588" s="2"/>
      <c r="B588" s="156">
        <v>10.0</v>
      </c>
      <c r="C588" s="53">
        <v>1.004636368E9</v>
      </c>
      <c r="D588" s="53" t="s">
        <v>122</v>
      </c>
      <c r="E588" s="53" t="s">
        <v>55</v>
      </c>
      <c r="F588" s="53" t="s">
        <v>103</v>
      </c>
      <c r="G588" s="53" t="s">
        <v>56</v>
      </c>
      <c r="H588" s="53" t="s">
        <v>58</v>
      </c>
      <c r="I588" s="55"/>
      <c r="J588" s="55"/>
      <c r="K588" s="53" t="s">
        <v>38</v>
      </c>
      <c r="L588" s="53" t="s">
        <v>105</v>
      </c>
      <c r="M588" s="53">
        <v>3372.0</v>
      </c>
      <c r="N588" s="53">
        <v>572.0</v>
      </c>
      <c r="O588" s="53">
        <v>19.28</v>
      </c>
      <c r="P588" s="55">
        <f t="shared" si="11"/>
        <v>11028.16</v>
      </c>
      <c r="Q588" s="53">
        <v>330.0</v>
      </c>
      <c r="R588" s="105">
        <f t="shared" si="12"/>
        <v>11358.16</v>
      </c>
      <c r="S588" s="6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>
      <c r="A589" s="2"/>
      <c r="B589" s="8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5"/>
      <c r="S589" s="6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>
      <c r="A590" s="2"/>
      <c r="B590" s="67" t="s">
        <v>64</v>
      </c>
      <c r="C590" s="68"/>
      <c r="D590" s="69" t="str">
        <f>MONEYTEXT(R590, "INR")</f>
        <v/>
      </c>
      <c r="E590" s="68"/>
      <c r="F590" s="68"/>
      <c r="G590" s="68"/>
      <c r="H590" s="68"/>
      <c r="I590" s="68"/>
      <c r="J590" s="68"/>
      <c r="K590" s="68"/>
      <c r="L590" s="68"/>
      <c r="M590" s="68"/>
      <c r="N590" s="70" t="s">
        <v>65</v>
      </c>
      <c r="O590" s="4"/>
      <c r="P590" s="96">
        <f t="shared" ref="P590:R590" si="13">SUM(P579:P588)</f>
        <v>51983.6</v>
      </c>
      <c r="Q590" s="96">
        <f t="shared" si="13"/>
        <v>1855</v>
      </c>
      <c r="R590" s="96">
        <f t="shared" si="13"/>
        <v>53838.6</v>
      </c>
      <c r="S590" s="6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>
      <c r="A591" s="2"/>
      <c r="B591" s="67" t="s">
        <v>66</v>
      </c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76"/>
      <c r="P591" s="97" t="s">
        <v>67</v>
      </c>
      <c r="Q591" s="31"/>
      <c r="R591" s="32"/>
      <c r="S591" s="6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>
      <c r="A592" s="2"/>
      <c r="B592" s="79" t="s">
        <v>68</v>
      </c>
      <c r="P592" s="27"/>
      <c r="Q592" s="27"/>
      <c r="R592" s="83"/>
      <c r="S592" s="6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>
      <c r="A593" s="2"/>
      <c r="B593" s="79" t="s">
        <v>70</v>
      </c>
      <c r="P593" s="27"/>
      <c r="Q593" s="27"/>
      <c r="R593" s="83"/>
      <c r="S593" s="6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>
      <c r="A594" s="2"/>
      <c r="B594" s="8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5"/>
      <c r="S594" s="6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>
      <c r="A595" s="2"/>
      <c r="B595" s="8"/>
      <c r="C595" s="6"/>
      <c r="D595" s="6"/>
      <c r="E595" s="6"/>
      <c r="F595" s="6"/>
      <c r="G595" s="6"/>
      <c r="H595" s="6"/>
      <c r="I595" s="6"/>
      <c r="J595" s="6"/>
      <c r="K595" s="19" t="s">
        <v>71</v>
      </c>
      <c r="L595" s="6"/>
      <c r="M595" s="6"/>
      <c r="N595" s="6"/>
      <c r="O595" s="6"/>
      <c r="P595" s="9" t="s">
        <v>72</v>
      </c>
      <c r="R595" s="10"/>
      <c r="S595" s="6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>
      <c r="A596" s="2"/>
      <c r="B596" s="88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89"/>
      <c r="S596" s="6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>
      <c r="A597" s="2"/>
      <c r="B597" s="139"/>
      <c r="C597" s="139"/>
      <c r="D597" s="139"/>
      <c r="E597" s="139"/>
      <c r="F597" s="139"/>
      <c r="G597" s="139"/>
      <c r="H597" s="139"/>
      <c r="I597" s="139"/>
      <c r="J597" s="139"/>
      <c r="K597" s="139"/>
      <c r="L597" s="139"/>
      <c r="M597" s="139"/>
      <c r="N597" s="139"/>
      <c r="O597" s="139"/>
      <c r="P597" s="139"/>
      <c r="Q597" s="139"/>
      <c r="R597" s="139"/>
      <c r="S597" s="6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>
      <c r="A598" s="2"/>
      <c r="B598" s="139"/>
      <c r="C598" s="139"/>
      <c r="D598" s="139"/>
      <c r="E598" s="139"/>
      <c r="F598" s="139"/>
      <c r="G598" s="139"/>
      <c r="H598" s="139"/>
      <c r="I598" s="139"/>
      <c r="J598" s="139"/>
      <c r="K598" s="139"/>
      <c r="L598" s="139"/>
      <c r="M598" s="139"/>
      <c r="N598" s="139"/>
      <c r="O598" s="139"/>
      <c r="P598" s="139"/>
      <c r="Q598" s="139"/>
      <c r="R598" s="139"/>
      <c r="S598" s="6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>
      <c r="A599" s="2"/>
      <c r="B599" s="3" t="s">
        <v>1</v>
      </c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5"/>
      <c r="S599" s="6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>
      <c r="A600" s="2"/>
      <c r="B600" s="8"/>
      <c r="F600" s="9"/>
      <c r="G600" s="9"/>
      <c r="H600" s="9"/>
      <c r="I600" s="9"/>
      <c r="J600" s="9" t="s">
        <v>2</v>
      </c>
      <c r="N600" s="6"/>
      <c r="R600" s="10"/>
      <c r="S600" s="6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>
      <c r="A601" s="2"/>
      <c r="B601" s="13"/>
      <c r="F601" s="9"/>
      <c r="G601" s="9"/>
      <c r="H601" s="9"/>
      <c r="I601" s="9"/>
      <c r="J601" s="9" t="s">
        <v>3</v>
      </c>
      <c r="N601" s="6"/>
      <c r="R601" s="10"/>
      <c r="S601" s="6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>
      <c r="A602" s="2"/>
      <c r="B602" s="13" t="s">
        <v>4</v>
      </c>
      <c r="R602" s="10"/>
      <c r="S602" s="6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>
      <c r="A603" s="2"/>
      <c r="B603" s="16" t="s">
        <v>5</v>
      </c>
      <c r="C603" s="17" t="s">
        <v>6</v>
      </c>
      <c r="D603" s="4"/>
      <c r="E603" s="4"/>
      <c r="F603" s="4"/>
      <c r="G603" s="4"/>
      <c r="H603" s="4"/>
      <c r="I603" s="4"/>
      <c r="J603" s="4"/>
      <c r="K603" s="5"/>
      <c r="L603" s="18" t="s">
        <v>7</v>
      </c>
      <c r="M603" s="19">
        <v>29.0</v>
      </c>
      <c r="N603" s="20"/>
      <c r="O603" s="4"/>
      <c r="P603" s="4"/>
      <c r="Q603" s="4"/>
      <c r="R603" s="5"/>
      <c r="S603" s="6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>
      <c r="A604" s="2"/>
      <c r="B604" s="26"/>
      <c r="C604" s="27" t="s">
        <v>8</v>
      </c>
      <c r="K604" s="10"/>
      <c r="L604" s="18" t="s">
        <v>9</v>
      </c>
      <c r="M604" s="175">
        <v>46117.0</v>
      </c>
      <c r="N604" s="6"/>
      <c r="R604" s="10"/>
      <c r="S604" s="6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>
      <c r="A605" s="2"/>
      <c r="B605" s="16" t="s">
        <v>11</v>
      </c>
      <c r="C605" s="30" t="s">
        <v>12</v>
      </c>
      <c r="D605" s="31"/>
      <c r="E605" s="31"/>
      <c r="F605" s="31"/>
      <c r="G605" s="31"/>
      <c r="H605" s="31"/>
      <c r="I605" s="31"/>
      <c r="J605" s="31"/>
      <c r="K605" s="32"/>
      <c r="L605" s="18" t="s">
        <v>13</v>
      </c>
      <c r="M605" s="33" t="s">
        <v>14</v>
      </c>
      <c r="N605" s="34"/>
      <c r="O605" s="31"/>
      <c r="P605" s="31"/>
      <c r="Q605" s="31"/>
      <c r="R605" s="32"/>
      <c r="S605" s="6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>
      <c r="A606" s="2"/>
      <c r="B606" s="8"/>
      <c r="R606" s="10"/>
      <c r="S606" s="6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>
      <c r="A607" s="2"/>
      <c r="B607" s="39" t="s">
        <v>15</v>
      </c>
      <c r="C607" s="40" t="s">
        <v>16</v>
      </c>
      <c r="D607" s="41" t="s">
        <v>17</v>
      </c>
      <c r="E607" s="41" t="s">
        <v>18</v>
      </c>
      <c r="F607" s="42" t="s">
        <v>19</v>
      </c>
      <c r="G607" s="43"/>
      <c r="H607" s="43"/>
      <c r="I607" s="43"/>
      <c r="J607" s="44"/>
      <c r="K607" s="41" t="s">
        <v>20</v>
      </c>
      <c r="L607" s="41" t="s">
        <v>21</v>
      </c>
      <c r="M607" s="41" t="s">
        <v>22</v>
      </c>
      <c r="N607" s="41" t="s">
        <v>23</v>
      </c>
      <c r="O607" s="41" t="s">
        <v>24</v>
      </c>
      <c r="P607" s="41" t="s">
        <v>25</v>
      </c>
      <c r="Q607" s="41" t="s">
        <v>26</v>
      </c>
      <c r="R607" s="45" t="s">
        <v>27</v>
      </c>
      <c r="S607" s="6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>
      <c r="A608" s="2"/>
      <c r="B608" s="156">
        <v>1.0</v>
      </c>
      <c r="C608" s="53">
        <v>1.004636372E9</v>
      </c>
      <c r="D608" s="53" t="s">
        <v>122</v>
      </c>
      <c r="E608" s="53" t="s">
        <v>55</v>
      </c>
      <c r="F608" s="53" t="s">
        <v>57</v>
      </c>
      <c r="G608" s="53" t="s">
        <v>59</v>
      </c>
      <c r="H608" s="53" t="s">
        <v>58</v>
      </c>
      <c r="I608" s="55"/>
      <c r="J608" s="55"/>
      <c r="K608" s="53" t="s">
        <v>33</v>
      </c>
      <c r="L608" s="53" t="s">
        <v>104</v>
      </c>
      <c r="M608" s="53">
        <v>2035.0</v>
      </c>
      <c r="N608" s="53">
        <v>518.0</v>
      </c>
      <c r="O608" s="53">
        <v>15.53</v>
      </c>
      <c r="P608" s="55">
        <f t="shared" ref="P608:P617" si="14">N608*O608</f>
        <v>8044.54</v>
      </c>
      <c r="Q608" s="53"/>
      <c r="R608" s="105">
        <f t="shared" ref="R608:R617" si="15">P608+Q608</f>
        <v>8044.54</v>
      </c>
      <c r="S608" s="6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>
      <c r="A609" s="2"/>
      <c r="B609" s="156">
        <v>2.0</v>
      </c>
      <c r="C609" s="53">
        <v>1.004636681E9</v>
      </c>
      <c r="D609" s="53" t="s">
        <v>122</v>
      </c>
      <c r="E609" s="53" t="s">
        <v>77</v>
      </c>
      <c r="F609" s="53" t="s">
        <v>78</v>
      </c>
      <c r="G609" s="53" t="s">
        <v>79</v>
      </c>
      <c r="H609" s="53"/>
      <c r="I609" s="53"/>
      <c r="J609" s="55"/>
      <c r="K609" s="53" t="s">
        <v>80</v>
      </c>
      <c r="L609" s="53" t="s">
        <v>124</v>
      </c>
      <c r="M609" s="53">
        <v>2827.0</v>
      </c>
      <c r="N609" s="53">
        <v>416.0</v>
      </c>
      <c r="O609" s="53">
        <v>18.28</v>
      </c>
      <c r="P609" s="55">
        <f t="shared" si="14"/>
        <v>7604.48</v>
      </c>
      <c r="Q609" s="53"/>
      <c r="R609" s="105">
        <f t="shared" si="15"/>
        <v>7604.48</v>
      </c>
      <c r="S609" s="6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>
      <c r="A610" s="2"/>
      <c r="B610" s="156">
        <v>3.0</v>
      </c>
      <c r="C610" s="53">
        <v>1.004636751E9</v>
      </c>
      <c r="D610" s="53" t="s">
        <v>122</v>
      </c>
      <c r="E610" s="53" t="s">
        <v>82</v>
      </c>
      <c r="F610" s="53" t="s">
        <v>87</v>
      </c>
      <c r="G610" s="53" t="s">
        <v>83</v>
      </c>
      <c r="H610" s="55"/>
      <c r="I610" s="55"/>
      <c r="J610" s="55"/>
      <c r="K610" s="53" t="s">
        <v>38</v>
      </c>
      <c r="L610" s="53" t="s">
        <v>101</v>
      </c>
      <c r="M610" s="53">
        <v>3993.0</v>
      </c>
      <c r="N610" s="53">
        <v>428.0</v>
      </c>
      <c r="O610" s="53">
        <v>19.28</v>
      </c>
      <c r="P610" s="55">
        <f t="shared" si="14"/>
        <v>8251.84</v>
      </c>
      <c r="Q610" s="53">
        <v>755.0</v>
      </c>
      <c r="R610" s="105">
        <f t="shared" si="15"/>
        <v>9006.84</v>
      </c>
      <c r="S610" s="6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>
      <c r="A611" s="2"/>
      <c r="B611" s="156">
        <v>4.0</v>
      </c>
      <c r="C611" s="53">
        <v>1.004637312E9</v>
      </c>
      <c r="D611" s="53" t="s">
        <v>125</v>
      </c>
      <c r="E611" s="53" t="s">
        <v>28</v>
      </c>
      <c r="F611" s="53" t="s">
        <v>29</v>
      </c>
      <c r="G611" s="53" t="s">
        <v>30</v>
      </c>
      <c r="H611" s="53" t="s">
        <v>31</v>
      </c>
      <c r="I611" s="53" t="s">
        <v>32</v>
      </c>
      <c r="J611" s="55"/>
      <c r="K611" s="53" t="s">
        <v>38</v>
      </c>
      <c r="L611" s="53" t="s">
        <v>41</v>
      </c>
      <c r="M611" s="53">
        <v>3587.0</v>
      </c>
      <c r="N611" s="53">
        <v>246.0</v>
      </c>
      <c r="O611" s="53">
        <v>19.28</v>
      </c>
      <c r="P611" s="55">
        <f t="shared" si="14"/>
        <v>4742.88</v>
      </c>
      <c r="Q611" s="55"/>
      <c r="R611" s="105">
        <f t="shared" si="15"/>
        <v>4742.88</v>
      </c>
      <c r="S611" s="6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>
      <c r="A612" s="2"/>
      <c r="B612" s="156">
        <v>5.0</v>
      </c>
      <c r="C612" s="53">
        <v>1.004637583E9</v>
      </c>
      <c r="D612" s="53" t="s">
        <v>126</v>
      </c>
      <c r="E612" s="53" t="s">
        <v>35</v>
      </c>
      <c r="F612" s="53" t="s">
        <v>36</v>
      </c>
      <c r="G612" s="53" t="s">
        <v>40</v>
      </c>
      <c r="H612" s="53" t="s">
        <v>37</v>
      </c>
      <c r="I612" s="55"/>
      <c r="J612" s="55"/>
      <c r="K612" s="53" t="s">
        <v>33</v>
      </c>
      <c r="L612" s="53" t="s">
        <v>96</v>
      </c>
      <c r="M612" s="53">
        <v>2081.0</v>
      </c>
      <c r="N612" s="53">
        <v>200.0</v>
      </c>
      <c r="O612" s="53">
        <v>15.53</v>
      </c>
      <c r="P612" s="55">
        <f t="shared" si="14"/>
        <v>3106</v>
      </c>
      <c r="Q612" s="55"/>
      <c r="R612" s="105">
        <f t="shared" si="15"/>
        <v>3106</v>
      </c>
      <c r="S612" s="6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>
      <c r="A613" s="2"/>
      <c r="B613" s="156">
        <v>6.0</v>
      </c>
      <c r="C613" s="53">
        <v>1.004637876E9</v>
      </c>
      <c r="D613" s="53" t="s">
        <v>125</v>
      </c>
      <c r="E613" s="53" t="s">
        <v>51</v>
      </c>
      <c r="F613" s="53" t="s">
        <v>44</v>
      </c>
      <c r="G613" s="55"/>
      <c r="H613" s="55"/>
      <c r="I613" s="55"/>
      <c r="J613" s="55"/>
      <c r="K613" s="53" t="s">
        <v>45</v>
      </c>
      <c r="L613" s="53" t="s">
        <v>98</v>
      </c>
      <c r="M613" s="53">
        <v>1616.0</v>
      </c>
      <c r="N613" s="53">
        <v>230.0</v>
      </c>
      <c r="O613" s="53">
        <v>15.53</v>
      </c>
      <c r="P613" s="55">
        <f t="shared" si="14"/>
        <v>3571.9</v>
      </c>
      <c r="Q613" s="55"/>
      <c r="R613" s="105">
        <f t="shared" si="15"/>
        <v>3571.9</v>
      </c>
      <c r="S613" s="6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>
      <c r="A614" s="2"/>
      <c r="B614" s="156">
        <v>7.0</v>
      </c>
      <c r="C614" s="53">
        <v>1.004637899E9</v>
      </c>
      <c r="D614" s="53" t="s">
        <v>125</v>
      </c>
      <c r="E614" s="53" t="s">
        <v>51</v>
      </c>
      <c r="F614" s="53" t="s">
        <v>44</v>
      </c>
      <c r="G614" s="53" t="s">
        <v>49</v>
      </c>
      <c r="H614" s="53"/>
      <c r="I614" s="55"/>
      <c r="J614" s="55"/>
      <c r="K614" s="53" t="s">
        <v>45</v>
      </c>
      <c r="L614" s="53" t="s">
        <v>50</v>
      </c>
      <c r="M614" s="53">
        <v>1595.0</v>
      </c>
      <c r="N614" s="53">
        <v>230.0</v>
      </c>
      <c r="O614" s="53">
        <v>15.53</v>
      </c>
      <c r="P614" s="55">
        <f t="shared" si="14"/>
        <v>3571.9</v>
      </c>
      <c r="Q614" s="55"/>
      <c r="R614" s="105">
        <f t="shared" si="15"/>
        <v>3571.9</v>
      </c>
      <c r="S614" s="6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>
      <c r="A615" s="2"/>
      <c r="B615" s="156">
        <v>8.0</v>
      </c>
      <c r="C615" s="53">
        <v>1.004638074E9</v>
      </c>
      <c r="D615" s="53" t="s">
        <v>125</v>
      </c>
      <c r="E615" s="53" t="s">
        <v>51</v>
      </c>
      <c r="F615" s="53" t="s">
        <v>44</v>
      </c>
      <c r="G615" s="53"/>
      <c r="H615" s="53"/>
      <c r="I615" s="55"/>
      <c r="J615" s="55"/>
      <c r="K615" s="53" t="s">
        <v>45</v>
      </c>
      <c r="L615" s="53" t="s">
        <v>52</v>
      </c>
      <c r="M615" s="53">
        <v>1625.0</v>
      </c>
      <c r="N615" s="53">
        <v>230.0</v>
      </c>
      <c r="O615" s="53">
        <v>15.53</v>
      </c>
      <c r="P615" s="55">
        <f t="shared" si="14"/>
        <v>3571.9</v>
      </c>
      <c r="Q615" s="55"/>
      <c r="R615" s="105">
        <f t="shared" si="15"/>
        <v>3571.9</v>
      </c>
      <c r="S615" s="6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>
      <c r="A616" s="2"/>
      <c r="B616" s="156">
        <v>9.0</v>
      </c>
      <c r="C616" s="53">
        <v>1.004638353E9</v>
      </c>
      <c r="D616" s="53" t="s">
        <v>125</v>
      </c>
      <c r="E616" s="53" t="s">
        <v>51</v>
      </c>
      <c r="F616" s="53" t="s">
        <v>44</v>
      </c>
      <c r="G616" s="55"/>
      <c r="H616" s="53"/>
      <c r="I616" s="55"/>
      <c r="J616" s="55"/>
      <c r="K616" s="53" t="s">
        <v>45</v>
      </c>
      <c r="L616" s="53" t="s">
        <v>54</v>
      </c>
      <c r="M616" s="53">
        <v>1392.0</v>
      </c>
      <c r="N616" s="53">
        <v>230.0</v>
      </c>
      <c r="O616" s="53">
        <v>15.53</v>
      </c>
      <c r="P616" s="55">
        <f t="shared" si="14"/>
        <v>3571.9</v>
      </c>
      <c r="Q616" s="53"/>
      <c r="R616" s="105">
        <f t="shared" si="15"/>
        <v>3571.9</v>
      </c>
      <c r="S616" s="6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>
      <c r="A617" s="2"/>
      <c r="B617" s="156">
        <v>10.0</v>
      </c>
      <c r="C617" s="53">
        <v>1.004638408E9</v>
      </c>
      <c r="D617" s="53" t="s">
        <v>125</v>
      </c>
      <c r="E617" s="53" t="s">
        <v>51</v>
      </c>
      <c r="F617" s="53" t="s">
        <v>44</v>
      </c>
      <c r="G617" s="55"/>
      <c r="H617" s="55"/>
      <c r="I617" s="55"/>
      <c r="J617" s="55"/>
      <c r="K617" s="53" t="s">
        <v>45</v>
      </c>
      <c r="L617" s="53" t="s">
        <v>123</v>
      </c>
      <c r="M617" s="53">
        <v>1492.0</v>
      </c>
      <c r="N617" s="53">
        <v>230.0</v>
      </c>
      <c r="O617" s="53">
        <v>15.53</v>
      </c>
      <c r="P617" s="55">
        <f t="shared" si="14"/>
        <v>3571.9</v>
      </c>
      <c r="Q617" s="53"/>
      <c r="R617" s="105">
        <f t="shared" si="15"/>
        <v>3571.9</v>
      </c>
      <c r="S617" s="6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>
      <c r="A618" s="2"/>
      <c r="B618" s="15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5"/>
      <c r="S618" s="6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>
      <c r="A619" s="2"/>
      <c r="B619" s="67" t="s">
        <v>64</v>
      </c>
      <c r="C619" s="68"/>
      <c r="D619" s="69" t="str">
        <f>MONEYTEXT(R619, "INR")</f>
        <v/>
      </c>
      <c r="E619" s="68"/>
      <c r="F619" s="68"/>
      <c r="G619" s="68"/>
      <c r="H619" s="68"/>
      <c r="I619" s="68"/>
      <c r="J619" s="68"/>
      <c r="K619" s="68"/>
      <c r="L619" s="68"/>
      <c r="M619" s="68"/>
      <c r="N619" s="70" t="s">
        <v>65</v>
      </c>
      <c r="O619" s="4"/>
      <c r="P619" s="96">
        <f t="shared" ref="P619:R619" si="16">SUM(P608:P617)</f>
        <v>49609.24</v>
      </c>
      <c r="Q619" s="96">
        <f t="shared" si="16"/>
        <v>755</v>
      </c>
      <c r="R619" s="96">
        <f t="shared" si="16"/>
        <v>50364.24</v>
      </c>
      <c r="S619" s="6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>
      <c r="A620" s="2"/>
      <c r="B620" s="67" t="s">
        <v>66</v>
      </c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76"/>
      <c r="P620" s="97" t="s">
        <v>67</v>
      </c>
      <c r="Q620" s="31"/>
      <c r="R620" s="32"/>
      <c r="S620" s="6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>
      <c r="A621" s="2"/>
      <c r="B621" s="79" t="s">
        <v>68</v>
      </c>
      <c r="P621" s="27"/>
      <c r="Q621" s="27"/>
      <c r="R621" s="83"/>
      <c r="S621" s="6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>
      <c r="A622" s="2"/>
      <c r="B622" s="79" t="s">
        <v>70</v>
      </c>
      <c r="P622" s="27"/>
      <c r="Q622" s="27"/>
      <c r="R622" s="83"/>
      <c r="S622" s="6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>
      <c r="A623" s="2"/>
      <c r="B623" s="8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5"/>
      <c r="S623" s="6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>
      <c r="A624" s="2"/>
      <c r="B624" s="8"/>
      <c r="C624" s="6"/>
      <c r="D624" s="6"/>
      <c r="E624" s="6"/>
      <c r="F624" s="6"/>
      <c r="G624" s="6"/>
      <c r="H624" s="6"/>
      <c r="I624" s="6"/>
      <c r="J624" s="6"/>
      <c r="K624" s="19" t="s">
        <v>71</v>
      </c>
      <c r="L624" s="6"/>
      <c r="M624" s="6"/>
      <c r="N624" s="6"/>
      <c r="O624" s="6"/>
      <c r="P624" s="9" t="s">
        <v>72</v>
      </c>
      <c r="R624" s="10"/>
      <c r="S624" s="6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>
      <c r="A625" s="2"/>
      <c r="B625" s="88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89"/>
      <c r="S625" s="6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>
      <c r="A626" s="2"/>
      <c r="B626" s="139"/>
      <c r="C626" s="139"/>
      <c r="D626" s="139"/>
      <c r="E626" s="139"/>
      <c r="F626" s="139"/>
      <c r="G626" s="139"/>
      <c r="H626" s="139"/>
      <c r="I626" s="139"/>
      <c r="J626" s="139"/>
      <c r="K626" s="139"/>
      <c r="L626" s="139"/>
      <c r="M626" s="139"/>
      <c r="N626" s="139"/>
      <c r="O626" s="139"/>
      <c r="P626" s="139"/>
      <c r="Q626" s="139"/>
      <c r="R626" s="139"/>
      <c r="S626" s="6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>
      <c r="A627" s="2"/>
      <c r="B627" s="139"/>
      <c r="C627" s="139"/>
      <c r="D627" s="139"/>
      <c r="E627" s="139"/>
      <c r="F627" s="139"/>
      <c r="G627" s="139"/>
      <c r="H627" s="139"/>
      <c r="I627" s="139"/>
      <c r="J627" s="139"/>
      <c r="K627" s="139"/>
      <c r="L627" s="139"/>
      <c r="M627" s="139"/>
      <c r="N627" s="139"/>
      <c r="O627" s="139"/>
      <c r="P627" s="139"/>
      <c r="Q627" s="139"/>
      <c r="R627" s="139"/>
      <c r="S627" s="6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>
      <c r="A628" s="2"/>
      <c r="B628" s="3" t="s">
        <v>1</v>
      </c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5"/>
      <c r="S628" s="6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>
      <c r="A629" s="2"/>
      <c r="B629" s="8"/>
      <c r="F629" s="9"/>
      <c r="G629" s="9"/>
      <c r="H629" s="9"/>
      <c r="I629" s="9"/>
      <c r="J629" s="9" t="s">
        <v>2</v>
      </c>
      <c r="N629" s="6"/>
      <c r="R629" s="10"/>
      <c r="S629" s="6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>
      <c r="A630" s="2"/>
      <c r="B630" s="13"/>
      <c r="F630" s="9"/>
      <c r="G630" s="9"/>
      <c r="H630" s="9"/>
      <c r="I630" s="9"/>
      <c r="J630" s="9" t="s">
        <v>3</v>
      </c>
      <c r="N630" s="6"/>
      <c r="R630" s="10"/>
      <c r="S630" s="6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>
      <c r="A631" s="2"/>
      <c r="B631" s="13" t="s">
        <v>4</v>
      </c>
      <c r="R631" s="10"/>
      <c r="S631" s="6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>
      <c r="A632" s="2"/>
      <c r="B632" s="16" t="s">
        <v>5</v>
      </c>
      <c r="C632" s="17" t="s">
        <v>6</v>
      </c>
      <c r="D632" s="4"/>
      <c r="E632" s="4"/>
      <c r="F632" s="4"/>
      <c r="G632" s="4"/>
      <c r="H632" s="4"/>
      <c r="I632" s="4"/>
      <c r="J632" s="4"/>
      <c r="K632" s="5"/>
      <c r="L632" s="18" t="s">
        <v>7</v>
      </c>
      <c r="M632" s="19">
        <v>30.0</v>
      </c>
      <c r="N632" s="20"/>
      <c r="O632" s="4"/>
      <c r="P632" s="4"/>
      <c r="Q632" s="4"/>
      <c r="R632" s="5"/>
      <c r="S632" s="6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>
      <c r="A633" s="2"/>
      <c r="B633" s="26"/>
      <c r="C633" s="27" t="s">
        <v>8</v>
      </c>
      <c r="K633" s="10"/>
      <c r="L633" s="18" t="s">
        <v>9</v>
      </c>
      <c r="M633" s="175">
        <v>46117.0</v>
      </c>
      <c r="N633" s="6"/>
      <c r="R633" s="10"/>
      <c r="S633" s="6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>
      <c r="A634" s="2"/>
      <c r="B634" s="16" t="s">
        <v>11</v>
      </c>
      <c r="C634" s="30" t="s">
        <v>12</v>
      </c>
      <c r="D634" s="31"/>
      <c r="E634" s="31"/>
      <c r="F634" s="31"/>
      <c r="G634" s="31"/>
      <c r="H634" s="31"/>
      <c r="I634" s="31"/>
      <c r="J634" s="31"/>
      <c r="K634" s="32"/>
      <c r="L634" s="18" t="s">
        <v>13</v>
      </c>
      <c r="M634" s="33" t="s">
        <v>14</v>
      </c>
      <c r="N634" s="34"/>
      <c r="O634" s="31"/>
      <c r="P634" s="31"/>
      <c r="Q634" s="31"/>
      <c r="R634" s="32"/>
      <c r="S634" s="6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>
      <c r="A635" s="2"/>
      <c r="B635" s="8"/>
      <c r="R635" s="10"/>
      <c r="S635" s="6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>
      <c r="A636" s="2"/>
      <c r="B636" s="39" t="s">
        <v>15</v>
      </c>
      <c r="C636" s="40" t="s">
        <v>16</v>
      </c>
      <c r="D636" s="41" t="s">
        <v>17</v>
      </c>
      <c r="E636" s="41" t="s">
        <v>18</v>
      </c>
      <c r="F636" s="42" t="s">
        <v>19</v>
      </c>
      <c r="G636" s="43"/>
      <c r="H636" s="43"/>
      <c r="I636" s="43"/>
      <c r="J636" s="44"/>
      <c r="K636" s="41" t="s">
        <v>20</v>
      </c>
      <c r="L636" s="41" t="s">
        <v>21</v>
      </c>
      <c r="M636" s="41" t="s">
        <v>22</v>
      </c>
      <c r="N636" s="41" t="s">
        <v>23</v>
      </c>
      <c r="O636" s="41" t="s">
        <v>24</v>
      </c>
      <c r="P636" s="41" t="s">
        <v>25</v>
      </c>
      <c r="Q636" s="41" t="s">
        <v>26</v>
      </c>
      <c r="R636" s="45" t="s">
        <v>27</v>
      </c>
      <c r="S636" s="6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>
      <c r="A637" s="2"/>
      <c r="B637" s="156">
        <v>1.0</v>
      </c>
      <c r="C637" s="53">
        <v>1.004638704E9</v>
      </c>
      <c r="D637" s="53" t="s">
        <v>125</v>
      </c>
      <c r="E637" s="53" t="s">
        <v>55</v>
      </c>
      <c r="F637" s="53" t="s">
        <v>57</v>
      </c>
      <c r="G637" s="53" t="s">
        <v>56</v>
      </c>
      <c r="H637" s="53" t="s">
        <v>59</v>
      </c>
      <c r="I637" s="53" t="s">
        <v>58</v>
      </c>
      <c r="J637" s="55"/>
      <c r="K637" s="53" t="s">
        <v>33</v>
      </c>
      <c r="L637" s="53" t="s">
        <v>60</v>
      </c>
      <c r="M637" s="53">
        <v>2229.0</v>
      </c>
      <c r="N637" s="53">
        <v>572.0</v>
      </c>
      <c r="O637" s="53">
        <v>15.53</v>
      </c>
      <c r="P637" s="55">
        <f t="shared" ref="P637:P646" si="17">N637*O637</f>
        <v>8883.16</v>
      </c>
      <c r="Q637" s="53">
        <v>350.0</v>
      </c>
      <c r="R637" s="105">
        <f t="shared" ref="R637:R646" si="18">P637+Q637</f>
        <v>9233.16</v>
      </c>
      <c r="S637" s="6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>
      <c r="A638" s="2"/>
      <c r="B638" s="156">
        <v>2.0</v>
      </c>
      <c r="C638" s="53">
        <v>1.004638749E9</v>
      </c>
      <c r="D638" s="53" t="s">
        <v>125</v>
      </c>
      <c r="E638" s="53" t="s">
        <v>61</v>
      </c>
      <c r="F638" s="53" t="s">
        <v>73</v>
      </c>
      <c r="G638" s="53" t="s">
        <v>75</v>
      </c>
      <c r="H638" s="53"/>
      <c r="I638" s="53"/>
      <c r="J638" s="55"/>
      <c r="K638" s="53" t="s">
        <v>38</v>
      </c>
      <c r="L638" s="53" t="s">
        <v>95</v>
      </c>
      <c r="M638" s="53">
        <v>3018.0</v>
      </c>
      <c r="N638" s="53">
        <v>560.0</v>
      </c>
      <c r="O638" s="53">
        <v>19.28</v>
      </c>
      <c r="P638" s="55">
        <f t="shared" si="17"/>
        <v>10796.8</v>
      </c>
      <c r="Q638" s="53">
        <v>1085.0</v>
      </c>
      <c r="R638" s="105">
        <f t="shared" si="18"/>
        <v>11881.8</v>
      </c>
      <c r="S638" s="6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>
      <c r="A639" s="2"/>
      <c r="B639" s="156">
        <v>3.0</v>
      </c>
      <c r="C639" s="53">
        <v>1.004638764E9</v>
      </c>
      <c r="D639" s="53" t="s">
        <v>125</v>
      </c>
      <c r="E639" s="53" t="s">
        <v>61</v>
      </c>
      <c r="F639" s="53" t="s">
        <v>74</v>
      </c>
      <c r="G639" s="53" t="s">
        <v>75</v>
      </c>
      <c r="H639" s="55"/>
      <c r="I639" s="55"/>
      <c r="J639" s="55"/>
      <c r="K639" s="53" t="s">
        <v>33</v>
      </c>
      <c r="L639" s="53" t="s">
        <v>76</v>
      </c>
      <c r="M639" s="53">
        <v>1804.0</v>
      </c>
      <c r="N639" s="53">
        <v>430.0</v>
      </c>
      <c r="O639" s="53">
        <v>15.53</v>
      </c>
      <c r="P639" s="55">
        <f t="shared" si="17"/>
        <v>6677.9</v>
      </c>
      <c r="Q639" s="53"/>
      <c r="R639" s="105">
        <f t="shared" si="18"/>
        <v>6677.9</v>
      </c>
      <c r="S639" s="6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>
      <c r="A640" s="2"/>
      <c r="B640" s="156">
        <v>4.0</v>
      </c>
      <c r="C640" s="53">
        <v>1.00463908E9</v>
      </c>
      <c r="D640" s="53" t="s">
        <v>125</v>
      </c>
      <c r="E640" s="53" t="s">
        <v>61</v>
      </c>
      <c r="F640" s="53" t="s">
        <v>62</v>
      </c>
      <c r="G640" s="53"/>
      <c r="H640" s="55"/>
      <c r="I640" s="55"/>
      <c r="J640" s="55"/>
      <c r="K640" s="53" t="s">
        <v>38</v>
      </c>
      <c r="L640" s="53" t="s">
        <v>104</v>
      </c>
      <c r="M640" s="53">
        <v>3556.0</v>
      </c>
      <c r="N640" s="53">
        <v>280.0</v>
      </c>
      <c r="O640" s="53">
        <v>19.28</v>
      </c>
      <c r="P640" s="55">
        <f t="shared" si="17"/>
        <v>5398.4</v>
      </c>
      <c r="Q640" s="55"/>
      <c r="R640" s="105">
        <f t="shared" si="18"/>
        <v>5398.4</v>
      </c>
      <c r="S640" s="6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>
      <c r="A641" s="2"/>
      <c r="B641" s="156">
        <v>5.0</v>
      </c>
      <c r="C641" s="53">
        <v>1.004639084E9</v>
      </c>
      <c r="D641" s="53" t="s">
        <v>125</v>
      </c>
      <c r="E641" s="53" t="s">
        <v>61</v>
      </c>
      <c r="F641" s="53" t="s">
        <v>62</v>
      </c>
      <c r="G641" s="53"/>
      <c r="H641" s="55"/>
      <c r="I641" s="55"/>
      <c r="J641" s="55"/>
      <c r="K641" s="53" t="s">
        <v>33</v>
      </c>
      <c r="L641" s="53" t="s">
        <v>101</v>
      </c>
      <c r="M641" s="53">
        <v>1999.0</v>
      </c>
      <c r="N641" s="53">
        <v>280.0</v>
      </c>
      <c r="O641" s="53">
        <v>15.53</v>
      </c>
      <c r="P641" s="55">
        <f t="shared" si="17"/>
        <v>4348.4</v>
      </c>
      <c r="Q641" s="55"/>
      <c r="R641" s="105">
        <f t="shared" si="18"/>
        <v>4348.4</v>
      </c>
      <c r="S641" s="6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>
      <c r="A642" s="2"/>
      <c r="B642" s="156">
        <v>6.0</v>
      </c>
      <c r="C642" s="53">
        <v>1.004639606E9</v>
      </c>
      <c r="D642" s="53" t="s">
        <v>127</v>
      </c>
      <c r="E642" s="53" t="s">
        <v>28</v>
      </c>
      <c r="F642" s="53" t="s">
        <v>29</v>
      </c>
      <c r="G642" s="53" t="s">
        <v>30</v>
      </c>
      <c r="H642" s="53" t="s">
        <v>31</v>
      </c>
      <c r="I642" s="55"/>
      <c r="J642" s="55"/>
      <c r="K642" s="53" t="s">
        <v>33</v>
      </c>
      <c r="L642" s="53" t="s">
        <v>34</v>
      </c>
      <c r="M642" s="53">
        <v>1843.0</v>
      </c>
      <c r="N642" s="53">
        <v>246.0</v>
      </c>
      <c r="O642" s="53">
        <v>15.53</v>
      </c>
      <c r="P642" s="55">
        <f t="shared" si="17"/>
        <v>3820.38</v>
      </c>
      <c r="Q642" s="55"/>
      <c r="R642" s="105">
        <f t="shared" si="18"/>
        <v>3820.38</v>
      </c>
      <c r="S642" s="6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>
      <c r="A643" s="2"/>
      <c r="B643" s="156">
        <v>7.0</v>
      </c>
      <c r="C643" s="53">
        <v>1.004639736E9</v>
      </c>
      <c r="D643" s="53" t="s">
        <v>127</v>
      </c>
      <c r="E643" s="53" t="s">
        <v>35</v>
      </c>
      <c r="F643" s="53" t="s">
        <v>36</v>
      </c>
      <c r="G643" s="53" t="s">
        <v>40</v>
      </c>
      <c r="H643" s="53" t="s">
        <v>37</v>
      </c>
      <c r="I643" s="55"/>
      <c r="J643" s="55"/>
      <c r="K643" s="53" t="s">
        <v>38</v>
      </c>
      <c r="L643" s="53" t="s">
        <v>96</v>
      </c>
      <c r="M643" s="53">
        <v>3237.0</v>
      </c>
      <c r="N643" s="53">
        <v>200.0</v>
      </c>
      <c r="O643" s="53">
        <v>19.28</v>
      </c>
      <c r="P643" s="55">
        <f t="shared" si="17"/>
        <v>3856</v>
      </c>
      <c r="Q643" s="55"/>
      <c r="R643" s="105">
        <f t="shared" si="18"/>
        <v>3856</v>
      </c>
      <c r="S643" s="6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>
      <c r="A644" s="2"/>
      <c r="B644" s="156">
        <v>8.0</v>
      </c>
      <c r="C644" s="53">
        <v>1.004639981E9</v>
      </c>
      <c r="D644" s="53" t="s">
        <v>127</v>
      </c>
      <c r="E644" s="53" t="s">
        <v>42</v>
      </c>
      <c r="F644" s="53"/>
      <c r="G644" s="53"/>
      <c r="H644" s="53"/>
      <c r="I644" s="55"/>
      <c r="J644" s="55"/>
      <c r="K644" s="53" t="s">
        <v>45</v>
      </c>
      <c r="L644" s="53" t="s">
        <v>98</v>
      </c>
      <c r="M644" s="53">
        <v>1710.0</v>
      </c>
      <c r="N644" s="53">
        <v>299.0</v>
      </c>
      <c r="O644" s="53">
        <v>15.53</v>
      </c>
      <c r="P644" s="55">
        <f t="shared" si="17"/>
        <v>4643.47</v>
      </c>
      <c r="Q644" s="55"/>
      <c r="R644" s="105">
        <f t="shared" si="18"/>
        <v>4643.47</v>
      </c>
      <c r="S644" s="6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>
      <c r="A645" s="2"/>
      <c r="B645" s="156">
        <v>9.0</v>
      </c>
      <c r="C645" s="53">
        <v>1.004640087E9</v>
      </c>
      <c r="D645" s="53" t="s">
        <v>127</v>
      </c>
      <c r="E645" s="53" t="s">
        <v>47</v>
      </c>
      <c r="F645" s="53" t="s">
        <v>44</v>
      </c>
      <c r="G645" s="53" t="s">
        <v>48</v>
      </c>
      <c r="H645" s="53" t="s">
        <v>49</v>
      </c>
      <c r="I645" s="55"/>
      <c r="J645" s="55"/>
      <c r="K645" s="53" t="s">
        <v>45</v>
      </c>
      <c r="L645" s="53" t="s">
        <v>50</v>
      </c>
      <c r="M645" s="53">
        <v>1649.0</v>
      </c>
      <c r="N645" s="53">
        <v>250.0</v>
      </c>
      <c r="O645" s="53">
        <v>15.53</v>
      </c>
      <c r="P645" s="55">
        <f t="shared" si="17"/>
        <v>3882.5</v>
      </c>
      <c r="Q645" s="53"/>
      <c r="R645" s="105">
        <f t="shared" si="18"/>
        <v>3882.5</v>
      </c>
      <c r="S645" s="6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>
      <c r="A646" s="2"/>
      <c r="B646" s="156">
        <v>10.0</v>
      </c>
      <c r="C646" s="53">
        <v>1.00464064E9</v>
      </c>
      <c r="D646" s="53" t="s">
        <v>127</v>
      </c>
      <c r="E646" s="53" t="s">
        <v>51</v>
      </c>
      <c r="F646" s="53" t="s">
        <v>44</v>
      </c>
      <c r="G646" s="53" t="s">
        <v>49</v>
      </c>
      <c r="H646" s="55"/>
      <c r="I646" s="55"/>
      <c r="J646" s="55"/>
      <c r="K646" s="53" t="s">
        <v>45</v>
      </c>
      <c r="L646" s="53" t="s">
        <v>52</v>
      </c>
      <c r="M646" s="53">
        <v>1431.0</v>
      </c>
      <c r="N646" s="53">
        <v>230.0</v>
      </c>
      <c r="O646" s="53">
        <v>15.53</v>
      </c>
      <c r="P646" s="55">
        <f t="shared" si="17"/>
        <v>3571.9</v>
      </c>
      <c r="Q646" s="53"/>
      <c r="R646" s="105">
        <f t="shared" si="18"/>
        <v>3571.9</v>
      </c>
      <c r="S646" s="6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>
      <c r="A647" s="2"/>
      <c r="B647" s="8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5"/>
      <c r="S647" s="6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>
      <c r="A648" s="2"/>
      <c r="B648" s="67" t="s">
        <v>64</v>
      </c>
      <c r="C648" s="68"/>
      <c r="D648" s="69" t="str">
        <f>MONEYTEXT(R648, "INR")</f>
        <v>Fifty-seven thousand three hundred thirteen Indian rupees and ninety-one paise</v>
      </c>
      <c r="E648" s="68"/>
      <c r="F648" s="68"/>
      <c r="G648" s="68"/>
      <c r="H648" s="68"/>
      <c r="I648" s="68"/>
      <c r="J648" s="68"/>
      <c r="K648" s="68"/>
      <c r="L648" s="68"/>
      <c r="M648" s="68"/>
      <c r="N648" s="70" t="s">
        <v>65</v>
      </c>
      <c r="O648" s="4"/>
      <c r="P648" s="96">
        <f t="shared" ref="P648:R648" si="19">SUM(P637:P646)</f>
        <v>55878.91</v>
      </c>
      <c r="Q648" s="96">
        <f t="shared" si="19"/>
        <v>1435</v>
      </c>
      <c r="R648" s="96">
        <f t="shared" si="19"/>
        <v>57313.91</v>
      </c>
      <c r="S648" s="6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>
      <c r="A649" s="2"/>
      <c r="B649" s="67" t="s">
        <v>66</v>
      </c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76"/>
      <c r="P649" s="97" t="s">
        <v>67</v>
      </c>
      <c r="Q649" s="31"/>
      <c r="R649" s="32"/>
      <c r="S649" s="6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>
      <c r="A650" s="2"/>
      <c r="B650" s="79" t="s">
        <v>68</v>
      </c>
      <c r="P650" s="27"/>
      <c r="Q650" s="27"/>
      <c r="R650" s="83"/>
      <c r="S650" s="6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>
      <c r="A651" s="2"/>
      <c r="B651" s="79" t="s">
        <v>70</v>
      </c>
      <c r="P651" s="27"/>
      <c r="Q651" s="27"/>
      <c r="R651" s="83"/>
      <c r="S651" s="6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>
      <c r="A652" s="2"/>
      <c r="B652" s="8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5"/>
      <c r="S652" s="6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>
      <c r="A653" s="2"/>
      <c r="B653" s="8"/>
      <c r="C653" s="6"/>
      <c r="D653" s="6"/>
      <c r="E653" s="6"/>
      <c r="F653" s="6"/>
      <c r="G653" s="6"/>
      <c r="H653" s="6"/>
      <c r="I653" s="6"/>
      <c r="J653" s="6"/>
      <c r="K653" s="19" t="s">
        <v>71</v>
      </c>
      <c r="L653" s="6"/>
      <c r="M653" s="6"/>
      <c r="N653" s="6"/>
      <c r="O653" s="6"/>
      <c r="P653" s="9" t="s">
        <v>72</v>
      </c>
      <c r="R653" s="10"/>
      <c r="S653" s="6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>
      <c r="A654" s="2"/>
      <c r="B654" s="88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89"/>
      <c r="S654" s="6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>
      <c r="A655" s="2"/>
      <c r="B655" s="139"/>
      <c r="C655" s="139"/>
      <c r="D655" s="139"/>
      <c r="E655" s="139"/>
      <c r="F655" s="139"/>
      <c r="G655" s="139"/>
      <c r="H655" s="139"/>
      <c r="I655" s="139"/>
      <c r="J655" s="139"/>
      <c r="K655" s="139"/>
      <c r="L655" s="139"/>
      <c r="M655" s="139"/>
      <c r="N655" s="139"/>
      <c r="O655" s="139"/>
      <c r="P655" s="139"/>
      <c r="Q655" s="139"/>
      <c r="R655" s="139"/>
      <c r="S655" s="6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>
      <c r="A656" s="2"/>
      <c r="B656" s="139"/>
      <c r="C656" s="139"/>
      <c r="D656" s="139"/>
      <c r="E656" s="139"/>
      <c r="F656" s="139"/>
      <c r="G656" s="139"/>
      <c r="H656" s="139"/>
      <c r="I656" s="139"/>
      <c r="J656" s="139"/>
      <c r="K656" s="139"/>
      <c r="L656" s="139"/>
      <c r="M656" s="139"/>
      <c r="N656" s="139"/>
      <c r="O656" s="139"/>
      <c r="P656" s="139"/>
      <c r="Q656" s="139"/>
      <c r="R656" s="139"/>
      <c r="S656" s="6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>
      <c r="A657" s="2"/>
      <c r="B657" s="3" t="s">
        <v>1</v>
      </c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5"/>
      <c r="S657" s="6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>
      <c r="A658" s="2"/>
      <c r="B658" s="8"/>
      <c r="F658" s="9"/>
      <c r="G658" s="9"/>
      <c r="H658" s="9"/>
      <c r="I658" s="9"/>
      <c r="J658" s="9" t="s">
        <v>2</v>
      </c>
      <c r="N658" s="6"/>
      <c r="R658" s="10"/>
      <c r="S658" s="6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>
      <c r="A659" s="2"/>
      <c r="B659" s="13"/>
      <c r="F659" s="9"/>
      <c r="G659" s="9"/>
      <c r="H659" s="9"/>
      <c r="I659" s="9"/>
      <c r="J659" s="9" t="s">
        <v>3</v>
      </c>
      <c r="N659" s="6"/>
      <c r="R659" s="10"/>
      <c r="S659" s="6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>
      <c r="A660" s="2"/>
      <c r="B660" s="13" t="s">
        <v>4</v>
      </c>
      <c r="R660" s="10"/>
      <c r="S660" s="6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>
      <c r="A661" s="2"/>
      <c r="B661" s="16" t="s">
        <v>5</v>
      </c>
      <c r="C661" s="17" t="s">
        <v>6</v>
      </c>
      <c r="D661" s="4"/>
      <c r="E661" s="4"/>
      <c r="F661" s="4"/>
      <c r="G661" s="4"/>
      <c r="H661" s="4"/>
      <c r="I661" s="4"/>
      <c r="J661" s="4"/>
      <c r="K661" s="5"/>
      <c r="L661" s="18" t="s">
        <v>7</v>
      </c>
      <c r="M661" s="19">
        <v>31.0</v>
      </c>
      <c r="N661" s="20"/>
      <c r="O661" s="4"/>
      <c r="P661" s="4"/>
      <c r="Q661" s="4"/>
      <c r="R661" s="5"/>
      <c r="S661" s="6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>
      <c r="A662" s="2"/>
      <c r="B662" s="26"/>
      <c r="C662" s="27" t="s">
        <v>8</v>
      </c>
      <c r="K662" s="10"/>
      <c r="L662" s="18" t="s">
        <v>9</v>
      </c>
      <c r="M662" s="175">
        <v>46117.0</v>
      </c>
      <c r="N662" s="6"/>
      <c r="R662" s="10"/>
      <c r="S662" s="6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>
      <c r="A663" s="2"/>
      <c r="B663" s="16" t="s">
        <v>11</v>
      </c>
      <c r="C663" s="30" t="s">
        <v>12</v>
      </c>
      <c r="D663" s="31"/>
      <c r="E663" s="31"/>
      <c r="F663" s="31"/>
      <c r="G663" s="31"/>
      <c r="H663" s="31"/>
      <c r="I663" s="31"/>
      <c r="J663" s="31"/>
      <c r="K663" s="32"/>
      <c r="L663" s="18" t="s">
        <v>13</v>
      </c>
      <c r="M663" s="33" t="s">
        <v>14</v>
      </c>
      <c r="N663" s="34"/>
      <c r="O663" s="31"/>
      <c r="P663" s="31"/>
      <c r="Q663" s="31"/>
      <c r="R663" s="32"/>
      <c r="S663" s="6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>
      <c r="A664" s="2"/>
      <c r="B664" s="8"/>
      <c r="R664" s="10"/>
      <c r="S664" s="6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>
      <c r="A665" s="2"/>
      <c r="B665" s="39" t="s">
        <v>15</v>
      </c>
      <c r="C665" s="40" t="s">
        <v>16</v>
      </c>
      <c r="D665" s="41" t="s">
        <v>17</v>
      </c>
      <c r="E665" s="41" t="s">
        <v>18</v>
      </c>
      <c r="F665" s="42" t="s">
        <v>19</v>
      </c>
      <c r="G665" s="43"/>
      <c r="H665" s="43"/>
      <c r="I665" s="43"/>
      <c r="J665" s="44"/>
      <c r="K665" s="41" t="s">
        <v>20</v>
      </c>
      <c r="L665" s="41" t="s">
        <v>21</v>
      </c>
      <c r="M665" s="41" t="s">
        <v>22</v>
      </c>
      <c r="N665" s="41" t="s">
        <v>23</v>
      </c>
      <c r="O665" s="41" t="s">
        <v>24</v>
      </c>
      <c r="P665" s="41" t="s">
        <v>25</v>
      </c>
      <c r="Q665" s="41" t="s">
        <v>26</v>
      </c>
      <c r="R665" s="45" t="s">
        <v>27</v>
      </c>
      <c r="S665" s="6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>
      <c r="A666" s="2"/>
      <c r="B666" s="156">
        <v>1.0</v>
      </c>
      <c r="C666" s="53">
        <v>1.004640643E9</v>
      </c>
      <c r="D666" s="53" t="s">
        <v>127</v>
      </c>
      <c r="E666" s="53" t="s">
        <v>51</v>
      </c>
      <c r="F666" s="53" t="s">
        <v>44</v>
      </c>
      <c r="G666" s="53"/>
      <c r="H666" s="53"/>
      <c r="I666" s="55"/>
      <c r="J666" s="55"/>
      <c r="K666" s="53" t="s">
        <v>45</v>
      </c>
      <c r="L666" s="53" t="s">
        <v>53</v>
      </c>
      <c r="M666" s="53">
        <v>1463.0</v>
      </c>
      <c r="N666" s="53">
        <v>230.0</v>
      </c>
      <c r="O666" s="53">
        <v>15.53</v>
      </c>
      <c r="P666" s="53">
        <v>3571.9</v>
      </c>
      <c r="Q666" s="53"/>
      <c r="R666" s="105">
        <f t="shared" ref="R666:R675" si="20">P666+Q666</f>
        <v>3571.9</v>
      </c>
      <c r="S666" s="6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>
      <c r="A667" s="2"/>
      <c r="B667" s="156">
        <v>2.0</v>
      </c>
      <c r="C667" s="53">
        <v>1.004640864E9</v>
      </c>
      <c r="D667" s="53" t="s">
        <v>127</v>
      </c>
      <c r="E667" s="53" t="s">
        <v>100</v>
      </c>
      <c r="F667" s="53" t="s">
        <v>86</v>
      </c>
      <c r="G667" s="53" t="s">
        <v>84</v>
      </c>
      <c r="H667" s="53"/>
      <c r="I667" s="53"/>
      <c r="J667" s="55"/>
      <c r="K667" s="53" t="s">
        <v>38</v>
      </c>
      <c r="L667" s="53" t="s">
        <v>95</v>
      </c>
      <c r="M667" s="53">
        <v>3815.0</v>
      </c>
      <c r="N667" s="53">
        <v>384.0</v>
      </c>
      <c r="O667" s="53">
        <v>19.28</v>
      </c>
      <c r="P667" s="53">
        <v>7403.52</v>
      </c>
      <c r="Q667" s="53"/>
      <c r="R667" s="105">
        <f t="shared" si="20"/>
        <v>7403.52</v>
      </c>
      <c r="S667" s="6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>
      <c r="A668" s="2"/>
      <c r="B668" s="156">
        <v>3.0</v>
      </c>
      <c r="C668" s="53">
        <v>1.004640839E9</v>
      </c>
      <c r="D668" s="53" t="s">
        <v>127</v>
      </c>
      <c r="E668" s="53" t="s">
        <v>82</v>
      </c>
      <c r="F668" s="53" t="s">
        <v>87</v>
      </c>
      <c r="G668" s="53" t="s">
        <v>88</v>
      </c>
      <c r="H668" s="55"/>
      <c r="I668" s="55"/>
      <c r="J668" s="55"/>
      <c r="K668" s="53" t="s">
        <v>38</v>
      </c>
      <c r="L668" s="53" t="s">
        <v>101</v>
      </c>
      <c r="M668" s="53">
        <v>3463.0</v>
      </c>
      <c r="N668" s="53">
        <v>484.0</v>
      </c>
      <c r="O668" s="53">
        <v>19.28</v>
      </c>
      <c r="P668" s="55">
        <f t="shared" ref="P668:P675" si="21">N668*O668</f>
        <v>9331.52</v>
      </c>
      <c r="Q668" s="53">
        <v>930.0</v>
      </c>
      <c r="R668" s="105">
        <f t="shared" si="20"/>
        <v>10261.52</v>
      </c>
      <c r="S668" s="6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>
      <c r="A669" s="2"/>
      <c r="B669" s="156">
        <v>4.0</v>
      </c>
      <c r="C669" s="53">
        <v>1.004640981E9</v>
      </c>
      <c r="D669" s="53" t="s">
        <v>127</v>
      </c>
      <c r="E669" s="53" t="s">
        <v>90</v>
      </c>
      <c r="F669" s="53" t="s">
        <v>91</v>
      </c>
      <c r="G669" s="53" t="s">
        <v>92</v>
      </c>
      <c r="H669" s="53" t="s">
        <v>93</v>
      </c>
      <c r="I669" s="53" t="s">
        <v>94</v>
      </c>
      <c r="J669" s="55"/>
      <c r="K669" s="53" t="s">
        <v>38</v>
      </c>
      <c r="L669" s="53" t="s">
        <v>102</v>
      </c>
      <c r="M669" s="53">
        <v>3369.0</v>
      </c>
      <c r="N669" s="53">
        <v>405.0</v>
      </c>
      <c r="O669" s="53">
        <v>19.28</v>
      </c>
      <c r="P669" s="55">
        <f t="shared" si="21"/>
        <v>7808.4</v>
      </c>
      <c r="Q669" s="53">
        <v>500.0</v>
      </c>
      <c r="R669" s="105">
        <f t="shared" si="20"/>
        <v>8308.4</v>
      </c>
      <c r="S669" s="6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>
      <c r="A670" s="2"/>
      <c r="B670" s="156">
        <v>5.0</v>
      </c>
      <c r="C670" s="53">
        <v>1.004640999E9</v>
      </c>
      <c r="D670" s="53" t="s">
        <v>127</v>
      </c>
      <c r="E670" s="53" t="s">
        <v>90</v>
      </c>
      <c r="F670" s="53" t="s">
        <v>91</v>
      </c>
      <c r="G670" s="53" t="s">
        <v>83</v>
      </c>
      <c r="H670" s="55"/>
      <c r="I670" s="55"/>
      <c r="J670" s="55"/>
      <c r="K670" s="53" t="s">
        <v>38</v>
      </c>
      <c r="L670" s="53" t="s">
        <v>104</v>
      </c>
      <c r="M670" s="53">
        <v>3245.0</v>
      </c>
      <c r="N670" s="53">
        <v>216.0</v>
      </c>
      <c r="O670" s="53">
        <v>19.28</v>
      </c>
      <c r="P670" s="55">
        <f t="shared" si="21"/>
        <v>4164.48</v>
      </c>
      <c r="Q670" s="55"/>
      <c r="R670" s="105">
        <f t="shared" si="20"/>
        <v>4164.48</v>
      </c>
      <c r="S670" s="6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>
      <c r="A671" s="2"/>
      <c r="B671" s="156">
        <v>6.0</v>
      </c>
      <c r="C671" s="53">
        <v>1.004641039E9</v>
      </c>
      <c r="D671" s="53" t="s">
        <v>127</v>
      </c>
      <c r="E671" s="53" t="s">
        <v>106</v>
      </c>
      <c r="F671" s="53" t="s">
        <v>107</v>
      </c>
      <c r="G671" s="53" t="s">
        <v>108</v>
      </c>
      <c r="H671" s="53"/>
      <c r="I671" s="55"/>
      <c r="J671" s="55"/>
      <c r="K671" s="53" t="s">
        <v>38</v>
      </c>
      <c r="L671" s="53" t="s">
        <v>110</v>
      </c>
      <c r="M671" s="53">
        <v>3262.0</v>
      </c>
      <c r="N671" s="53">
        <v>482.0</v>
      </c>
      <c r="O671" s="53">
        <v>19.28</v>
      </c>
      <c r="P671" s="55">
        <f t="shared" si="21"/>
        <v>9292.96</v>
      </c>
      <c r="Q671" s="53">
        <v>825.0</v>
      </c>
      <c r="R671" s="105">
        <f t="shared" si="20"/>
        <v>10117.96</v>
      </c>
      <c r="S671" s="6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>
      <c r="A672" s="2"/>
      <c r="B672" s="156">
        <v>7.0</v>
      </c>
      <c r="C672" s="53">
        <v>1.00464109E9</v>
      </c>
      <c r="D672" s="53" t="s">
        <v>127</v>
      </c>
      <c r="E672" s="53" t="s">
        <v>77</v>
      </c>
      <c r="F672" s="53" t="s">
        <v>78</v>
      </c>
      <c r="G672" s="53" t="s">
        <v>79</v>
      </c>
      <c r="H672" s="53" t="s">
        <v>128</v>
      </c>
      <c r="I672" s="55"/>
      <c r="J672" s="55"/>
      <c r="K672" s="53" t="s">
        <v>38</v>
      </c>
      <c r="L672" s="53" t="s">
        <v>81</v>
      </c>
      <c r="M672" s="53">
        <v>3769.0</v>
      </c>
      <c r="N672" s="53">
        <v>462.0</v>
      </c>
      <c r="O672" s="53">
        <v>19.28</v>
      </c>
      <c r="P672" s="55">
        <f t="shared" si="21"/>
        <v>8907.36</v>
      </c>
      <c r="Q672" s="53">
        <v>505.0</v>
      </c>
      <c r="R672" s="105">
        <f t="shared" si="20"/>
        <v>9412.36</v>
      </c>
      <c r="S672" s="6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>
      <c r="A673" s="2"/>
      <c r="B673" s="156">
        <v>8.0</v>
      </c>
      <c r="C673" s="53">
        <v>1.004641706E9</v>
      </c>
      <c r="D673" s="53" t="s">
        <v>10</v>
      </c>
      <c r="E673" s="53" t="s">
        <v>77</v>
      </c>
      <c r="F673" s="53" t="s">
        <v>29</v>
      </c>
      <c r="G673" s="53" t="s">
        <v>30</v>
      </c>
      <c r="H673" s="53" t="s">
        <v>32</v>
      </c>
      <c r="I673" s="55"/>
      <c r="J673" s="55"/>
      <c r="K673" s="53" t="s">
        <v>33</v>
      </c>
      <c r="L673" s="53" t="s">
        <v>34</v>
      </c>
      <c r="M673" s="53">
        <v>2004.0</v>
      </c>
      <c r="N673" s="53">
        <v>246.0</v>
      </c>
      <c r="O673" s="53">
        <v>15.53</v>
      </c>
      <c r="P673" s="55">
        <f t="shared" si="21"/>
        <v>3820.38</v>
      </c>
      <c r="Q673" s="55"/>
      <c r="R673" s="105">
        <f t="shared" si="20"/>
        <v>3820.38</v>
      </c>
      <c r="S673" s="6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>
      <c r="A674" s="2"/>
      <c r="B674" s="156">
        <v>9.0</v>
      </c>
      <c r="C674" s="53">
        <v>1.004641765E9</v>
      </c>
      <c r="D674" s="53" t="s">
        <v>10</v>
      </c>
      <c r="E674" s="53" t="s">
        <v>35</v>
      </c>
      <c r="F674" s="53" t="s">
        <v>36</v>
      </c>
      <c r="G674" s="53" t="s">
        <v>40</v>
      </c>
      <c r="H674" s="53"/>
      <c r="I674" s="55"/>
      <c r="J674" s="55"/>
      <c r="K674" s="53" t="s">
        <v>80</v>
      </c>
      <c r="L674" s="53" t="s">
        <v>96</v>
      </c>
      <c r="M674" s="53">
        <v>2664.0</v>
      </c>
      <c r="N674" s="53">
        <v>150.0</v>
      </c>
      <c r="O674" s="53">
        <v>18.28</v>
      </c>
      <c r="P674" s="55">
        <f t="shared" si="21"/>
        <v>2742</v>
      </c>
      <c r="Q674" s="53"/>
      <c r="R674" s="105">
        <f t="shared" si="20"/>
        <v>2742</v>
      </c>
      <c r="S674" s="6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>
      <c r="A675" s="2"/>
      <c r="B675" s="156">
        <v>10.0</v>
      </c>
      <c r="C675" s="53">
        <v>1.00461864E8</v>
      </c>
      <c r="D675" s="53" t="s">
        <v>10</v>
      </c>
      <c r="E675" s="53" t="s">
        <v>42</v>
      </c>
      <c r="F675" s="53" t="s">
        <v>43</v>
      </c>
      <c r="G675" s="53" t="s">
        <v>44</v>
      </c>
      <c r="H675" s="55"/>
      <c r="I675" s="55"/>
      <c r="J675" s="55"/>
      <c r="K675" s="53" t="s">
        <v>45</v>
      </c>
      <c r="L675" s="53" t="s">
        <v>98</v>
      </c>
      <c r="M675" s="53">
        <v>1522.0</v>
      </c>
      <c r="N675" s="53">
        <v>299.0</v>
      </c>
      <c r="O675" s="53">
        <v>15.53</v>
      </c>
      <c r="P675" s="55">
        <f t="shared" si="21"/>
        <v>4643.47</v>
      </c>
      <c r="Q675" s="53"/>
      <c r="R675" s="105">
        <f t="shared" si="20"/>
        <v>4643.47</v>
      </c>
      <c r="S675" s="6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>
      <c r="A676" s="2"/>
      <c r="B676" s="8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5"/>
      <c r="S676" s="6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>
      <c r="A677" s="2"/>
      <c r="B677" s="67" t="s">
        <v>64</v>
      </c>
      <c r="C677" s="68"/>
      <c r="D677" s="69" t="str">
        <f>MONEYTEXT(R677, "INR")</f>
        <v/>
      </c>
      <c r="E677" s="68"/>
      <c r="F677" s="68"/>
      <c r="G677" s="68"/>
      <c r="H677" s="68"/>
      <c r="I677" s="68"/>
      <c r="J677" s="68"/>
      <c r="K677" s="68"/>
      <c r="L677" s="68"/>
      <c r="M677" s="68"/>
      <c r="N677" s="70" t="s">
        <v>65</v>
      </c>
      <c r="O677" s="4"/>
      <c r="P677" s="96">
        <f t="shared" ref="P677:R677" si="22">SUM(P666:P675)</f>
        <v>61685.99</v>
      </c>
      <c r="Q677" s="96">
        <f t="shared" si="22"/>
        <v>2760</v>
      </c>
      <c r="R677" s="96">
        <f t="shared" si="22"/>
        <v>64445.99</v>
      </c>
      <c r="S677" s="6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>
      <c r="A678" s="2"/>
      <c r="B678" s="67" t="s">
        <v>66</v>
      </c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76"/>
      <c r="P678" s="97" t="s">
        <v>67</v>
      </c>
      <c r="Q678" s="31"/>
      <c r="R678" s="32"/>
      <c r="S678" s="6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>
      <c r="A679" s="2"/>
      <c r="B679" s="79" t="s">
        <v>68</v>
      </c>
      <c r="P679" s="27"/>
      <c r="Q679" s="27"/>
      <c r="R679" s="83"/>
      <c r="S679" s="6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>
      <c r="A680" s="2"/>
      <c r="B680" s="79" t="s">
        <v>70</v>
      </c>
      <c r="P680" s="27"/>
      <c r="Q680" s="27"/>
      <c r="R680" s="83"/>
      <c r="S680" s="6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>
      <c r="A681" s="2"/>
      <c r="B681" s="8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5"/>
      <c r="S681" s="6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>
      <c r="A682" s="2"/>
      <c r="B682" s="8"/>
      <c r="C682" s="6"/>
      <c r="D682" s="6"/>
      <c r="E682" s="6"/>
      <c r="F682" s="6"/>
      <c r="G682" s="6"/>
      <c r="H682" s="6"/>
      <c r="I682" s="6"/>
      <c r="J682" s="6"/>
      <c r="K682" s="19" t="s">
        <v>71</v>
      </c>
      <c r="L682" s="6"/>
      <c r="M682" s="6"/>
      <c r="N682" s="6"/>
      <c r="O682" s="6"/>
      <c r="P682" s="9" t="s">
        <v>72</v>
      </c>
      <c r="R682" s="10"/>
      <c r="S682" s="6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>
      <c r="A683" s="2"/>
      <c r="B683" s="88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89"/>
      <c r="S683" s="6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>
      <c r="A684" s="2"/>
      <c r="B684" s="139"/>
      <c r="C684" s="139"/>
      <c r="D684" s="139"/>
      <c r="E684" s="139"/>
      <c r="F684" s="139"/>
      <c r="G684" s="139"/>
      <c r="H684" s="139"/>
      <c r="I684" s="139"/>
      <c r="J684" s="139"/>
      <c r="K684" s="139"/>
      <c r="L684" s="139"/>
      <c r="M684" s="139"/>
      <c r="N684" s="139"/>
      <c r="O684" s="139"/>
      <c r="P684" s="139"/>
      <c r="Q684" s="139"/>
      <c r="R684" s="139"/>
      <c r="S684" s="6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>
      <c r="A685" s="2"/>
      <c r="B685" s="139"/>
      <c r="C685" s="139"/>
      <c r="D685" s="139"/>
      <c r="E685" s="139"/>
      <c r="F685" s="139"/>
      <c r="G685" s="139"/>
      <c r="H685" s="139"/>
      <c r="I685" s="139"/>
      <c r="J685" s="139"/>
      <c r="K685" s="139"/>
      <c r="L685" s="139"/>
      <c r="M685" s="139"/>
      <c r="N685" s="139"/>
      <c r="O685" s="139"/>
      <c r="P685" s="139"/>
      <c r="Q685" s="139"/>
      <c r="R685" s="139"/>
      <c r="S685" s="6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>
      <c r="A686" s="2"/>
      <c r="B686" s="3" t="s">
        <v>1</v>
      </c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5"/>
      <c r="S686" s="6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>
      <c r="A687" s="2"/>
      <c r="B687" s="8"/>
      <c r="F687" s="9"/>
      <c r="G687" s="9"/>
      <c r="H687" s="9"/>
      <c r="I687" s="9"/>
      <c r="J687" s="9" t="s">
        <v>2</v>
      </c>
      <c r="N687" s="6"/>
      <c r="R687" s="10"/>
      <c r="S687" s="6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>
      <c r="A688" s="2"/>
      <c r="B688" s="13"/>
      <c r="F688" s="9"/>
      <c r="G688" s="9"/>
      <c r="H688" s="9"/>
      <c r="I688" s="9"/>
      <c r="J688" s="9" t="s">
        <v>3</v>
      </c>
      <c r="N688" s="6"/>
      <c r="R688" s="10"/>
      <c r="S688" s="6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>
      <c r="A689" s="2"/>
      <c r="B689" s="13" t="s">
        <v>4</v>
      </c>
      <c r="R689" s="10"/>
      <c r="S689" s="6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>
      <c r="A690" s="2"/>
      <c r="B690" s="16" t="s">
        <v>5</v>
      </c>
      <c r="C690" s="17" t="s">
        <v>6</v>
      </c>
      <c r="D690" s="4"/>
      <c r="E690" s="4"/>
      <c r="F690" s="4"/>
      <c r="G690" s="4"/>
      <c r="H690" s="4"/>
      <c r="I690" s="4"/>
      <c r="J690" s="4"/>
      <c r="K690" s="5"/>
      <c r="L690" s="18" t="s">
        <v>7</v>
      </c>
      <c r="M690" s="19">
        <v>32.0</v>
      </c>
      <c r="N690" s="20"/>
      <c r="O690" s="4"/>
      <c r="P690" s="4"/>
      <c r="Q690" s="4"/>
      <c r="R690" s="5"/>
      <c r="S690" s="6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>
      <c r="A691" s="2"/>
      <c r="B691" s="26"/>
      <c r="C691" s="27" t="s">
        <v>8</v>
      </c>
      <c r="K691" s="10"/>
      <c r="L691" s="18" t="s">
        <v>9</v>
      </c>
      <c r="M691" s="175">
        <v>46117.0</v>
      </c>
      <c r="N691" s="6"/>
      <c r="R691" s="10"/>
      <c r="S691" s="6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>
      <c r="A692" s="2"/>
      <c r="B692" s="16" t="s">
        <v>11</v>
      </c>
      <c r="C692" s="30" t="s">
        <v>12</v>
      </c>
      <c r="D692" s="31"/>
      <c r="E692" s="31"/>
      <c r="F692" s="31"/>
      <c r="G692" s="31"/>
      <c r="H692" s="31"/>
      <c r="I692" s="31"/>
      <c r="J692" s="31"/>
      <c r="K692" s="32"/>
      <c r="L692" s="18" t="s">
        <v>13</v>
      </c>
      <c r="M692" s="33" t="s">
        <v>14</v>
      </c>
      <c r="N692" s="34"/>
      <c r="O692" s="31"/>
      <c r="P692" s="31"/>
      <c r="Q692" s="31"/>
      <c r="R692" s="32"/>
      <c r="S692" s="6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>
      <c r="A693" s="2"/>
      <c r="B693" s="8"/>
      <c r="R693" s="10"/>
      <c r="S693" s="6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>
      <c r="A694" s="2"/>
      <c r="B694" s="39" t="s">
        <v>15</v>
      </c>
      <c r="C694" s="40" t="s">
        <v>16</v>
      </c>
      <c r="D694" s="41" t="s">
        <v>17</v>
      </c>
      <c r="E694" s="41" t="s">
        <v>18</v>
      </c>
      <c r="F694" s="42" t="s">
        <v>19</v>
      </c>
      <c r="G694" s="43"/>
      <c r="H694" s="43"/>
      <c r="I694" s="43"/>
      <c r="J694" s="44"/>
      <c r="K694" s="41" t="s">
        <v>20</v>
      </c>
      <c r="L694" s="41" t="s">
        <v>21</v>
      </c>
      <c r="M694" s="41" t="s">
        <v>22</v>
      </c>
      <c r="N694" s="41" t="s">
        <v>23</v>
      </c>
      <c r="O694" s="41" t="s">
        <v>24</v>
      </c>
      <c r="P694" s="41" t="s">
        <v>25</v>
      </c>
      <c r="Q694" s="41" t="s">
        <v>26</v>
      </c>
      <c r="R694" s="45" t="s">
        <v>27</v>
      </c>
      <c r="S694" s="6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>
      <c r="A695" s="2"/>
      <c r="B695" s="156">
        <v>1.0</v>
      </c>
      <c r="C695" s="53">
        <v>1.004642059E9</v>
      </c>
      <c r="D695" s="53" t="s">
        <v>10</v>
      </c>
      <c r="E695" s="53" t="s">
        <v>51</v>
      </c>
      <c r="F695" s="53" t="s">
        <v>44</v>
      </c>
      <c r="G695" s="53"/>
      <c r="H695" s="53"/>
      <c r="I695" s="55"/>
      <c r="J695" s="55"/>
      <c r="K695" s="53" t="s">
        <v>45</v>
      </c>
      <c r="L695" s="53" t="s">
        <v>50</v>
      </c>
      <c r="M695" s="53">
        <v>1748.0</v>
      </c>
      <c r="N695" s="53">
        <v>230.0</v>
      </c>
      <c r="O695" s="53">
        <v>15.53</v>
      </c>
      <c r="P695" s="55">
        <f t="shared" ref="P695:P704" si="23">N695*O695</f>
        <v>3571.9</v>
      </c>
      <c r="Q695" s="53"/>
      <c r="R695" s="105">
        <f t="shared" ref="R695:R704" si="24">P695+Q695</f>
        <v>3571.9</v>
      </c>
      <c r="S695" s="6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>
      <c r="A696" s="2"/>
      <c r="B696" s="156">
        <v>2.0</v>
      </c>
      <c r="C696" s="53">
        <v>1.004642257E9</v>
      </c>
      <c r="D696" s="53" t="s">
        <v>10</v>
      </c>
      <c r="E696" s="53" t="s">
        <v>51</v>
      </c>
      <c r="F696" s="53" t="s">
        <v>44</v>
      </c>
      <c r="G696" s="53"/>
      <c r="H696" s="53"/>
      <c r="I696" s="53"/>
      <c r="J696" s="55"/>
      <c r="K696" s="53" t="s">
        <v>45</v>
      </c>
      <c r="L696" s="53" t="s">
        <v>112</v>
      </c>
      <c r="M696" s="53">
        <v>1579.0</v>
      </c>
      <c r="N696" s="53">
        <v>230.0</v>
      </c>
      <c r="O696" s="53">
        <v>15.53</v>
      </c>
      <c r="P696" s="55">
        <f t="shared" si="23"/>
        <v>3571.9</v>
      </c>
      <c r="Q696" s="53"/>
      <c r="R696" s="105">
        <f t="shared" si="24"/>
        <v>3571.9</v>
      </c>
      <c r="S696" s="6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>
      <c r="A697" s="2"/>
      <c r="B697" s="156">
        <v>3.0</v>
      </c>
      <c r="C697" s="53">
        <v>1.004642259E9</v>
      </c>
      <c r="D697" s="53" t="s">
        <v>10</v>
      </c>
      <c r="E697" s="53" t="s">
        <v>51</v>
      </c>
      <c r="F697" s="53" t="s">
        <v>44</v>
      </c>
      <c r="G697" s="53"/>
      <c r="H697" s="55"/>
      <c r="I697" s="55"/>
      <c r="J697" s="55"/>
      <c r="K697" s="53" t="s">
        <v>45</v>
      </c>
      <c r="L697" s="53" t="s">
        <v>54</v>
      </c>
      <c r="M697" s="53">
        <v>1654.0</v>
      </c>
      <c r="N697" s="53">
        <v>230.0</v>
      </c>
      <c r="O697" s="53">
        <v>15.53</v>
      </c>
      <c r="P697" s="55">
        <f t="shared" si="23"/>
        <v>3571.9</v>
      </c>
      <c r="Q697" s="53"/>
      <c r="R697" s="105">
        <f t="shared" si="24"/>
        <v>3571.9</v>
      </c>
      <c r="S697" s="6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>
      <c r="A698" s="2"/>
      <c r="B698" s="156">
        <v>4.0</v>
      </c>
      <c r="C698" s="53">
        <v>1.004642553E9</v>
      </c>
      <c r="D698" s="53" t="s">
        <v>10</v>
      </c>
      <c r="E698" s="53" t="s">
        <v>51</v>
      </c>
      <c r="F698" s="53" t="s">
        <v>44</v>
      </c>
      <c r="G698" s="53"/>
      <c r="H698" s="55"/>
      <c r="I698" s="55"/>
      <c r="J698" s="55"/>
      <c r="K698" s="53" t="s">
        <v>45</v>
      </c>
      <c r="L698" s="53" t="s">
        <v>129</v>
      </c>
      <c r="M698" s="53">
        <v>1345.0</v>
      </c>
      <c r="N698" s="53">
        <v>230.0</v>
      </c>
      <c r="O698" s="53">
        <v>15.53</v>
      </c>
      <c r="P698" s="55">
        <f t="shared" si="23"/>
        <v>3571.9</v>
      </c>
      <c r="Q698" s="55"/>
      <c r="R698" s="105">
        <f t="shared" si="24"/>
        <v>3571.9</v>
      </c>
      <c r="S698" s="6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>
      <c r="A699" s="2"/>
      <c r="B699" s="156">
        <v>5.0</v>
      </c>
      <c r="C699" s="53">
        <v>1.004642576E9</v>
      </c>
      <c r="D699" s="53" t="s">
        <v>10</v>
      </c>
      <c r="E699" s="53" t="s">
        <v>51</v>
      </c>
      <c r="F699" s="53" t="s">
        <v>44</v>
      </c>
      <c r="G699" s="53" t="s">
        <v>49</v>
      </c>
      <c r="H699" s="55"/>
      <c r="I699" s="55"/>
      <c r="J699" s="55"/>
      <c r="K699" s="53" t="s">
        <v>45</v>
      </c>
      <c r="L699" s="53" t="s">
        <v>52</v>
      </c>
      <c r="M699" s="53">
        <v>1585.0</v>
      </c>
      <c r="N699" s="53">
        <v>230.0</v>
      </c>
      <c r="O699" s="53">
        <v>15.53</v>
      </c>
      <c r="P699" s="55">
        <f t="shared" si="23"/>
        <v>3571.9</v>
      </c>
      <c r="Q699" s="55"/>
      <c r="R699" s="105">
        <f t="shared" si="24"/>
        <v>3571.9</v>
      </c>
      <c r="S699" s="6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>
      <c r="A700" s="2"/>
      <c r="B700" s="156">
        <v>6.0</v>
      </c>
      <c r="C700" s="53">
        <v>1.004642582E9</v>
      </c>
      <c r="D700" s="53" t="s">
        <v>10</v>
      </c>
      <c r="E700" s="53" t="s">
        <v>51</v>
      </c>
      <c r="F700" s="53" t="s">
        <v>44</v>
      </c>
      <c r="G700" s="55"/>
      <c r="H700" s="55"/>
      <c r="I700" s="55"/>
      <c r="J700" s="55"/>
      <c r="K700" s="53" t="s">
        <v>45</v>
      </c>
      <c r="L700" s="53" t="s">
        <v>53</v>
      </c>
      <c r="M700" s="53">
        <v>1686.0</v>
      </c>
      <c r="N700" s="53">
        <v>230.0</v>
      </c>
      <c r="O700" s="53">
        <v>15.53</v>
      </c>
      <c r="P700" s="55">
        <f t="shared" si="23"/>
        <v>3571.9</v>
      </c>
      <c r="Q700" s="55"/>
      <c r="R700" s="105">
        <f t="shared" si="24"/>
        <v>3571.9</v>
      </c>
      <c r="S700" s="6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>
      <c r="A701" s="2"/>
      <c r="B701" s="156">
        <v>7.0</v>
      </c>
      <c r="C701" s="53">
        <v>1.004642914E9</v>
      </c>
      <c r="D701" s="53" t="s">
        <v>10</v>
      </c>
      <c r="E701" s="53" t="s">
        <v>61</v>
      </c>
      <c r="F701" s="53" t="s">
        <v>73</v>
      </c>
      <c r="G701" s="53" t="s">
        <v>74</v>
      </c>
      <c r="H701" s="53" t="s">
        <v>75</v>
      </c>
      <c r="I701" s="55"/>
      <c r="J701" s="55"/>
      <c r="K701" s="53" t="s">
        <v>38</v>
      </c>
      <c r="L701" s="53" t="s">
        <v>110</v>
      </c>
      <c r="M701" s="53">
        <v>3769.0</v>
      </c>
      <c r="N701" s="53">
        <v>560.0</v>
      </c>
      <c r="O701" s="53">
        <v>19.28</v>
      </c>
      <c r="P701" s="55">
        <f t="shared" si="23"/>
        <v>10796.8</v>
      </c>
      <c r="Q701" s="53">
        <v>1085.0</v>
      </c>
      <c r="R701" s="105">
        <f t="shared" si="24"/>
        <v>11881.8</v>
      </c>
      <c r="S701" s="6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>
      <c r="A702" s="2"/>
      <c r="B702" s="156">
        <v>8.0</v>
      </c>
      <c r="C702" s="53">
        <v>1.004642922E9</v>
      </c>
      <c r="D702" s="53" t="s">
        <v>10</v>
      </c>
      <c r="E702" s="53" t="s">
        <v>61</v>
      </c>
      <c r="F702" s="53" t="s">
        <v>74</v>
      </c>
      <c r="G702" s="53" t="s">
        <v>62</v>
      </c>
      <c r="H702" s="53"/>
      <c r="I702" s="55"/>
      <c r="J702" s="55"/>
      <c r="K702" s="53" t="s">
        <v>38</v>
      </c>
      <c r="L702" s="53" t="s">
        <v>76</v>
      </c>
      <c r="M702" s="53">
        <v>3221.0</v>
      </c>
      <c r="N702" s="53">
        <v>330.0</v>
      </c>
      <c r="O702" s="53">
        <v>19.28</v>
      </c>
      <c r="P702" s="55">
        <f t="shared" si="23"/>
        <v>6362.4</v>
      </c>
      <c r="Q702" s="53">
        <v>820.0</v>
      </c>
      <c r="R702" s="105">
        <f t="shared" si="24"/>
        <v>7182.4</v>
      </c>
      <c r="S702" s="6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>
      <c r="A703" s="2"/>
      <c r="B703" s="156">
        <v>9.0</v>
      </c>
      <c r="C703" s="53">
        <v>1.004642978E9</v>
      </c>
      <c r="D703" s="53" t="s">
        <v>10</v>
      </c>
      <c r="E703" s="53" t="s">
        <v>100</v>
      </c>
      <c r="F703" s="53" t="s">
        <v>83</v>
      </c>
      <c r="G703" s="53" t="s">
        <v>84</v>
      </c>
      <c r="H703" s="53" t="s">
        <v>87</v>
      </c>
      <c r="I703" s="55"/>
      <c r="J703" s="55"/>
      <c r="K703" s="53" t="s">
        <v>38</v>
      </c>
      <c r="L703" s="53" t="s">
        <v>89</v>
      </c>
      <c r="M703" s="53">
        <v>3252.0</v>
      </c>
      <c r="N703" s="53">
        <v>428.0</v>
      </c>
      <c r="O703" s="53">
        <v>19.28</v>
      </c>
      <c r="P703" s="55">
        <f t="shared" si="23"/>
        <v>8251.84</v>
      </c>
      <c r="Q703" s="53">
        <v>755.0</v>
      </c>
      <c r="R703" s="105">
        <f t="shared" si="24"/>
        <v>9006.84</v>
      </c>
      <c r="S703" s="6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>
      <c r="A704" s="2"/>
      <c r="B704" s="156">
        <v>10.0</v>
      </c>
      <c r="C704" s="53">
        <v>1.004643072E9</v>
      </c>
      <c r="D704" s="53" t="s">
        <v>10</v>
      </c>
      <c r="E704" s="53" t="s">
        <v>55</v>
      </c>
      <c r="F704" s="53" t="s">
        <v>56</v>
      </c>
      <c r="G704" s="53" t="s">
        <v>58</v>
      </c>
      <c r="H704" s="53" t="s">
        <v>103</v>
      </c>
      <c r="I704" s="55"/>
      <c r="J704" s="55"/>
      <c r="K704" s="53" t="s">
        <v>38</v>
      </c>
      <c r="L704" s="53" t="s">
        <v>105</v>
      </c>
      <c r="M704" s="53">
        <v>3523.0</v>
      </c>
      <c r="N704" s="53">
        <v>572.0</v>
      </c>
      <c r="O704" s="53">
        <v>19.28</v>
      </c>
      <c r="P704" s="55">
        <f t="shared" si="23"/>
        <v>11028.16</v>
      </c>
      <c r="Q704" s="53">
        <v>330.0</v>
      </c>
      <c r="R704" s="105">
        <f t="shared" si="24"/>
        <v>11358.16</v>
      </c>
      <c r="S704" s="6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>
      <c r="A705" s="2"/>
      <c r="B705" s="8"/>
      <c r="C705" s="9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5"/>
      <c r="S705" s="6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>
      <c r="A706" s="2"/>
      <c r="B706" s="67" t="s">
        <v>64</v>
      </c>
      <c r="C706" s="68"/>
      <c r="D706" s="69" t="str">
        <f>MONEYTEXT(R706, "INR")</f>
        <v/>
      </c>
      <c r="E706" s="68"/>
      <c r="F706" s="68"/>
      <c r="G706" s="68"/>
      <c r="H706" s="68"/>
      <c r="I706" s="68"/>
      <c r="J706" s="68"/>
      <c r="K706" s="68"/>
      <c r="L706" s="68"/>
      <c r="M706" s="68"/>
      <c r="N706" s="70" t="s">
        <v>65</v>
      </c>
      <c r="O706" s="4"/>
      <c r="P706" s="96">
        <f t="shared" ref="P706:R706" si="25">SUM(P695:P704)</f>
        <v>57870.6</v>
      </c>
      <c r="Q706" s="96">
        <f t="shared" si="25"/>
        <v>2990</v>
      </c>
      <c r="R706" s="96">
        <f t="shared" si="25"/>
        <v>60860.6</v>
      </c>
      <c r="S706" s="6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>
      <c r="A707" s="2"/>
      <c r="B707" s="67" t="s">
        <v>66</v>
      </c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76"/>
      <c r="P707" s="97" t="s">
        <v>67</v>
      </c>
      <c r="Q707" s="31"/>
      <c r="R707" s="32"/>
      <c r="S707" s="6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>
      <c r="A708" s="2"/>
      <c r="B708" s="79" t="s">
        <v>68</v>
      </c>
      <c r="P708" s="27"/>
      <c r="Q708" s="27"/>
      <c r="R708" s="83"/>
      <c r="S708" s="6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>
      <c r="A709" s="2"/>
      <c r="B709" s="79" t="s">
        <v>70</v>
      </c>
      <c r="P709" s="27"/>
      <c r="Q709" s="27"/>
      <c r="R709" s="83"/>
      <c r="S709" s="6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>
      <c r="A710" s="2"/>
      <c r="B710" s="8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5"/>
      <c r="S710" s="6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>
      <c r="A711" s="2"/>
      <c r="B711" s="8"/>
      <c r="C711" s="6"/>
      <c r="D711" s="6"/>
      <c r="E711" s="6"/>
      <c r="F711" s="6"/>
      <c r="G711" s="6"/>
      <c r="H711" s="6"/>
      <c r="I711" s="6"/>
      <c r="J711" s="6"/>
      <c r="K711" s="19" t="s">
        <v>71</v>
      </c>
      <c r="L711" s="6"/>
      <c r="M711" s="6"/>
      <c r="N711" s="6"/>
      <c r="O711" s="6"/>
      <c r="P711" s="9" t="s">
        <v>72</v>
      </c>
      <c r="R711" s="10"/>
      <c r="S711" s="6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>
      <c r="A712" s="2"/>
      <c r="B712" s="88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89"/>
      <c r="S712" s="6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>
      <c r="A713" s="2"/>
      <c r="B713" s="139"/>
      <c r="C713" s="139"/>
      <c r="D713" s="139"/>
      <c r="E713" s="139"/>
      <c r="F713" s="139"/>
      <c r="G713" s="139"/>
      <c r="H713" s="139"/>
      <c r="I713" s="139"/>
      <c r="J713" s="139"/>
      <c r="K713" s="139"/>
      <c r="L713" s="139"/>
      <c r="M713" s="139"/>
      <c r="N713" s="139"/>
      <c r="O713" s="139"/>
      <c r="P713" s="139"/>
      <c r="Q713" s="139"/>
      <c r="R713" s="139"/>
      <c r="S713" s="6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>
      <c r="A714" s="2"/>
      <c r="B714" s="139"/>
      <c r="C714" s="139"/>
      <c r="D714" s="139"/>
      <c r="E714" s="139"/>
      <c r="F714" s="139"/>
      <c r="G714" s="139"/>
      <c r="H714" s="139"/>
      <c r="I714" s="139"/>
      <c r="J714" s="139"/>
      <c r="K714" s="139"/>
      <c r="L714" s="139"/>
      <c r="M714" s="139"/>
      <c r="N714" s="139"/>
      <c r="O714" s="139"/>
      <c r="P714" s="139"/>
      <c r="Q714" s="139"/>
      <c r="R714" s="139"/>
      <c r="S714" s="6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>
      <c r="A715" s="2"/>
      <c r="B715" s="3" t="s">
        <v>1</v>
      </c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5"/>
      <c r="S715" s="6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>
      <c r="A716" s="2"/>
      <c r="B716" s="8"/>
      <c r="F716" s="9"/>
      <c r="G716" s="9"/>
      <c r="H716" s="9"/>
      <c r="I716" s="9"/>
      <c r="J716" s="9" t="s">
        <v>2</v>
      </c>
      <c r="N716" s="6"/>
      <c r="R716" s="10"/>
      <c r="S716" s="6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>
      <c r="A717" s="2"/>
      <c r="B717" s="13"/>
      <c r="F717" s="9"/>
      <c r="G717" s="9"/>
      <c r="H717" s="9"/>
      <c r="I717" s="9"/>
      <c r="J717" s="9" t="s">
        <v>3</v>
      </c>
      <c r="N717" s="6"/>
      <c r="R717" s="10"/>
      <c r="S717" s="6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>
      <c r="A718" s="2"/>
      <c r="B718" s="13" t="s">
        <v>4</v>
      </c>
      <c r="R718" s="10"/>
      <c r="S718" s="6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>
      <c r="A719" s="2"/>
      <c r="B719" s="16" t="s">
        <v>5</v>
      </c>
      <c r="C719" s="17" t="s">
        <v>6</v>
      </c>
      <c r="D719" s="4"/>
      <c r="E719" s="4"/>
      <c r="F719" s="4"/>
      <c r="G719" s="4"/>
      <c r="H719" s="4"/>
      <c r="I719" s="4"/>
      <c r="J719" s="4"/>
      <c r="K719" s="5"/>
      <c r="L719" s="18" t="s">
        <v>7</v>
      </c>
      <c r="M719" s="19">
        <v>33.0</v>
      </c>
      <c r="N719" s="20"/>
      <c r="O719" s="4"/>
      <c r="P719" s="4"/>
      <c r="Q719" s="4"/>
      <c r="R719" s="5"/>
      <c r="S719" s="6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>
      <c r="A720" s="2"/>
      <c r="B720" s="26"/>
      <c r="C720" s="27" t="s">
        <v>8</v>
      </c>
      <c r="K720" s="10"/>
      <c r="L720" s="18" t="s">
        <v>9</v>
      </c>
      <c r="M720" s="175">
        <v>46117.0</v>
      </c>
      <c r="N720" s="6"/>
      <c r="R720" s="10"/>
      <c r="S720" s="6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>
      <c r="A721" s="2"/>
      <c r="B721" s="16" t="s">
        <v>11</v>
      </c>
      <c r="C721" s="30" t="s">
        <v>12</v>
      </c>
      <c r="D721" s="31"/>
      <c r="E721" s="31"/>
      <c r="F721" s="31"/>
      <c r="G721" s="31"/>
      <c r="H721" s="31"/>
      <c r="I721" s="31"/>
      <c r="J721" s="31"/>
      <c r="K721" s="32"/>
      <c r="L721" s="18" t="s">
        <v>13</v>
      </c>
      <c r="M721" s="33" t="s">
        <v>14</v>
      </c>
      <c r="N721" s="34"/>
      <c r="O721" s="31"/>
      <c r="P721" s="31"/>
      <c r="Q721" s="31"/>
      <c r="R721" s="32"/>
      <c r="S721" s="6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>
      <c r="A722" s="2"/>
      <c r="B722" s="8"/>
      <c r="R722" s="10"/>
      <c r="S722" s="6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>
      <c r="A723" s="2"/>
      <c r="B723" s="39" t="s">
        <v>15</v>
      </c>
      <c r="C723" s="40" t="s">
        <v>16</v>
      </c>
      <c r="D723" s="41" t="s">
        <v>17</v>
      </c>
      <c r="E723" s="41" t="s">
        <v>18</v>
      </c>
      <c r="F723" s="42" t="s">
        <v>19</v>
      </c>
      <c r="G723" s="43"/>
      <c r="H723" s="43"/>
      <c r="I723" s="43"/>
      <c r="J723" s="44"/>
      <c r="K723" s="41" t="s">
        <v>20</v>
      </c>
      <c r="L723" s="41" t="s">
        <v>21</v>
      </c>
      <c r="M723" s="41" t="s">
        <v>22</v>
      </c>
      <c r="N723" s="41" t="s">
        <v>23</v>
      </c>
      <c r="O723" s="41" t="s">
        <v>24</v>
      </c>
      <c r="P723" s="41" t="s">
        <v>25</v>
      </c>
      <c r="Q723" s="41" t="s">
        <v>26</v>
      </c>
      <c r="R723" s="45" t="s">
        <v>27</v>
      </c>
      <c r="S723" s="6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>
      <c r="A724" s="2"/>
      <c r="B724" s="156">
        <v>1.0</v>
      </c>
      <c r="C724" s="9">
        <v>1.004643078E9</v>
      </c>
      <c r="D724" s="53" t="s">
        <v>10</v>
      </c>
      <c r="E724" s="53" t="s">
        <v>55</v>
      </c>
      <c r="F724" s="53" t="s">
        <v>57</v>
      </c>
      <c r="G724" s="53" t="s">
        <v>59</v>
      </c>
      <c r="H724" s="53" t="s">
        <v>58</v>
      </c>
      <c r="I724" s="55"/>
      <c r="J724" s="55"/>
      <c r="K724" s="53" t="s">
        <v>33</v>
      </c>
      <c r="L724" s="53" t="s">
        <v>104</v>
      </c>
      <c r="M724" s="53">
        <v>1997.0</v>
      </c>
      <c r="N724" s="53">
        <v>518.0</v>
      </c>
      <c r="O724" s="53">
        <v>15.53</v>
      </c>
      <c r="P724" s="55">
        <f t="shared" ref="P724:P729" si="26">N724*O724</f>
        <v>8044.54</v>
      </c>
      <c r="Q724" s="53"/>
      <c r="R724" s="105">
        <f t="shared" ref="R724:R733" si="27">P724+Q724</f>
        <v>8044.54</v>
      </c>
      <c r="S724" s="6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>
      <c r="A725" s="2"/>
      <c r="B725" s="156">
        <v>2.0</v>
      </c>
      <c r="C725" s="53">
        <v>1.0046432E9</v>
      </c>
      <c r="D725" s="53" t="s">
        <v>10</v>
      </c>
      <c r="E725" s="53" t="s">
        <v>77</v>
      </c>
      <c r="F725" s="53" t="s">
        <v>116</v>
      </c>
      <c r="G725" s="53" t="s">
        <v>78</v>
      </c>
      <c r="H725" s="53" t="s">
        <v>79</v>
      </c>
      <c r="I725" s="53"/>
      <c r="J725" s="55"/>
      <c r="K725" s="53" t="s">
        <v>38</v>
      </c>
      <c r="L725" s="53" t="s">
        <v>81</v>
      </c>
      <c r="M725" s="53">
        <v>2995.0</v>
      </c>
      <c r="N725" s="53">
        <v>416.0</v>
      </c>
      <c r="O725" s="53">
        <v>19.28</v>
      </c>
      <c r="P725" s="55">
        <f t="shared" si="26"/>
        <v>8020.48</v>
      </c>
      <c r="Q725" s="53">
        <v>505.0</v>
      </c>
      <c r="R725" s="105">
        <f t="shared" si="27"/>
        <v>8525.48</v>
      </c>
      <c r="S725" s="6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>
      <c r="A726" s="2"/>
      <c r="B726" s="156">
        <v>3.0</v>
      </c>
      <c r="C726" s="53">
        <v>1.004643207E9</v>
      </c>
      <c r="D726" s="53" t="s">
        <v>10</v>
      </c>
      <c r="E726" s="53" t="s">
        <v>77</v>
      </c>
      <c r="F726" s="53" t="s">
        <v>116</v>
      </c>
      <c r="G726" s="53" t="s">
        <v>78</v>
      </c>
      <c r="H726" s="55"/>
      <c r="I726" s="55"/>
      <c r="J726" s="55"/>
      <c r="K726" s="53" t="s">
        <v>33</v>
      </c>
      <c r="L726" s="53" t="s">
        <v>124</v>
      </c>
      <c r="M726" s="53">
        <v>1550.0</v>
      </c>
      <c r="N726" s="53">
        <v>266.0</v>
      </c>
      <c r="O726" s="53">
        <v>15.53</v>
      </c>
      <c r="P726" s="55">
        <f t="shared" si="26"/>
        <v>4130.98</v>
      </c>
      <c r="Q726" s="53"/>
      <c r="R726" s="105">
        <f t="shared" si="27"/>
        <v>4130.98</v>
      </c>
      <c r="S726" s="6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>
      <c r="A727" s="2"/>
      <c r="B727" s="156">
        <v>4.0</v>
      </c>
      <c r="C727" s="53">
        <v>1.004643914E9</v>
      </c>
      <c r="D727" s="53" t="s">
        <v>130</v>
      </c>
      <c r="E727" s="53" t="s">
        <v>35</v>
      </c>
      <c r="F727" s="53" t="s">
        <v>36</v>
      </c>
      <c r="G727" s="53" t="s">
        <v>37</v>
      </c>
      <c r="H727" s="55"/>
      <c r="I727" s="55"/>
      <c r="J727" s="55"/>
      <c r="K727" s="53" t="s">
        <v>33</v>
      </c>
      <c r="L727" s="53" t="s">
        <v>96</v>
      </c>
      <c r="M727" s="53">
        <v>2256.0</v>
      </c>
      <c r="N727" s="53">
        <v>200.0</v>
      </c>
      <c r="O727" s="53">
        <v>15.53</v>
      </c>
      <c r="P727" s="55">
        <f t="shared" si="26"/>
        <v>3106</v>
      </c>
      <c r="Q727" s="55"/>
      <c r="R727" s="105">
        <f t="shared" si="27"/>
        <v>3106</v>
      </c>
      <c r="S727" s="6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>
      <c r="A728" s="2"/>
      <c r="B728" s="156">
        <v>5.0</v>
      </c>
      <c r="C728" s="53">
        <v>1.004643925E9</v>
      </c>
      <c r="D728" s="53" t="s">
        <v>130</v>
      </c>
      <c r="E728" s="53" t="s">
        <v>28</v>
      </c>
      <c r="F728" s="53" t="s">
        <v>29</v>
      </c>
      <c r="G728" s="53" t="s">
        <v>31</v>
      </c>
      <c r="H728" s="53" t="s">
        <v>32</v>
      </c>
      <c r="I728" s="55"/>
      <c r="J728" s="55"/>
      <c r="K728" s="53" t="s">
        <v>33</v>
      </c>
      <c r="L728" s="53" t="s">
        <v>34</v>
      </c>
      <c r="M728" s="53">
        <v>1849.0</v>
      </c>
      <c r="N728" s="53">
        <v>185.0</v>
      </c>
      <c r="O728" s="53">
        <v>15.53</v>
      </c>
      <c r="P728" s="55">
        <f t="shared" si="26"/>
        <v>2873.05</v>
      </c>
      <c r="Q728" s="55"/>
      <c r="R728" s="105">
        <f t="shared" si="27"/>
        <v>2873.05</v>
      </c>
      <c r="S728" s="6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>
      <c r="A729" s="2"/>
      <c r="B729" s="156">
        <v>6.0</v>
      </c>
      <c r="C729" s="53">
        <v>1.004644045E9</v>
      </c>
      <c r="D729" s="53" t="s">
        <v>130</v>
      </c>
      <c r="E729" s="53" t="s">
        <v>47</v>
      </c>
      <c r="F729" s="53" t="s">
        <v>44</v>
      </c>
      <c r="G729" s="53" t="s">
        <v>48</v>
      </c>
      <c r="H729" s="55"/>
      <c r="I729" s="55"/>
      <c r="J729" s="55"/>
      <c r="K729" s="53" t="s">
        <v>45</v>
      </c>
      <c r="L729" s="53" t="s">
        <v>98</v>
      </c>
      <c r="M729" s="53">
        <v>1558.0</v>
      </c>
      <c r="N729" s="53">
        <v>250.0</v>
      </c>
      <c r="O729" s="53">
        <v>15.53</v>
      </c>
      <c r="P729" s="55">
        <f t="shared" si="26"/>
        <v>3882.5</v>
      </c>
      <c r="Q729" s="55"/>
      <c r="R729" s="105">
        <f t="shared" si="27"/>
        <v>3882.5</v>
      </c>
      <c r="S729" s="6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>
      <c r="A730" s="2"/>
      <c r="B730" s="156">
        <v>7.0</v>
      </c>
      <c r="C730" s="53">
        <v>1.004644268E9</v>
      </c>
      <c r="D730" s="53" t="s">
        <v>130</v>
      </c>
      <c r="E730" s="53" t="s">
        <v>51</v>
      </c>
      <c r="F730" s="53" t="s">
        <v>49</v>
      </c>
      <c r="G730" s="53" t="s">
        <v>44</v>
      </c>
      <c r="H730" s="53"/>
      <c r="I730" s="55"/>
      <c r="J730" s="55"/>
      <c r="K730" s="53" t="s">
        <v>45</v>
      </c>
      <c r="L730" s="53" t="s">
        <v>131</v>
      </c>
      <c r="M730" s="53">
        <v>1482.0</v>
      </c>
      <c r="N730" s="53">
        <v>230.0</v>
      </c>
      <c r="O730" s="53">
        <v>15.53</v>
      </c>
      <c r="P730" s="53">
        <v>3571.9</v>
      </c>
      <c r="Q730" s="55"/>
      <c r="R730" s="105">
        <f t="shared" si="27"/>
        <v>3571.9</v>
      </c>
      <c r="S730" s="6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>
      <c r="A731" s="2"/>
      <c r="B731" s="156">
        <v>8.0</v>
      </c>
      <c r="C731" s="53">
        <v>1.00464485E9</v>
      </c>
      <c r="D731" s="53" t="s">
        <v>130</v>
      </c>
      <c r="E731" s="53" t="s">
        <v>51</v>
      </c>
      <c r="F731" s="53" t="s">
        <v>44</v>
      </c>
      <c r="G731" s="53"/>
      <c r="H731" s="53"/>
      <c r="I731" s="55"/>
      <c r="J731" s="55"/>
      <c r="K731" s="53" t="s">
        <v>45</v>
      </c>
      <c r="L731" s="53" t="s">
        <v>52</v>
      </c>
      <c r="M731" s="53">
        <v>1448.0</v>
      </c>
      <c r="N731" s="53">
        <v>230.0</v>
      </c>
      <c r="O731" s="53">
        <v>15.53</v>
      </c>
      <c r="P731" s="53">
        <v>3571.9</v>
      </c>
      <c r="Q731" s="55"/>
      <c r="R731" s="105">
        <f t="shared" si="27"/>
        <v>3571.9</v>
      </c>
      <c r="S731" s="6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>
      <c r="A732" s="2"/>
      <c r="B732" s="156">
        <v>9.0</v>
      </c>
      <c r="C732" s="53">
        <v>1.004644854E9</v>
      </c>
      <c r="D732" s="53" t="s">
        <v>130</v>
      </c>
      <c r="E732" s="53" t="s">
        <v>51</v>
      </c>
      <c r="F732" s="53" t="s">
        <v>44</v>
      </c>
      <c r="G732" s="55"/>
      <c r="H732" s="53"/>
      <c r="I732" s="55"/>
      <c r="J732" s="55"/>
      <c r="K732" s="53" t="s">
        <v>45</v>
      </c>
      <c r="L732" s="53" t="s">
        <v>123</v>
      </c>
      <c r="M732" s="53">
        <v>1527.0</v>
      </c>
      <c r="N732" s="53">
        <v>230.0</v>
      </c>
      <c r="O732" s="53">
        <v>15.53</v>
      </c>
      <c r="P732" s="55">
        <f t="shared" ref="P732:P733" si="28">N732*O732</f>
        <v>3571.9</v>
      </c>
      <c r="Q732" s="53"/>
      <c r="R732" s="105">
        <f t="shared" si="27"/>
        <v>3571.9</v>
      </c>
      <c r="S732" s="6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>
      <c r="A733" s="2"/>
      <c r="B733" s="156">
        <v>10.0</v>
      </c>
      <c r="C733" s="53">
        <v>1.004645012E9</v>
      </c>
      <c r="D733" s="53" t="s">
        <v>130</v>
      </c>
      <c r="E733" s="53" t="s">
        <v>106</v>
      </c>
      <c r="F733" s="53" t="s">
        <v>107</v>
      </c>
      <c r="G733" s="53" t="s">
        <v>108</v>
      </c>
      <c r="H733" s="53" t="s">
        <v>109</v>
      </c>
      <c r="I733" s="55"/>
      <c r="J733" s="55"/>
      <c r="K733" s="53" t="s">
        <v>80</v>
      </c>
      <c r="L733" s="53" t="s">
        <v>118</v>
      </c>
      <c r="M733" s="53">
        <v>2741.0</v>
      </c>
      <c r="N733" s="53">
        <v>482.0</v>
      </c>
      <c r="O733" s="53">
        <v>18.28</v>
      </c>
      <c r="P733" s="55">
        <f t="shared" si="28"/>
        <v>8810.96</v>
      </c>
      <c r="Q733" s="53">
        <v>1025.0</v>
      </c>
      <c r="R733" s="105">
        <f t="shared" si="27"/>
        <v>9835.96</v>
      </c>
      <c r="S733" s="6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>
      <c r="A734" s="2"/>
      <c r="B734" s="8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5"/>
      <c r="S734" s="6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>
      <c r="A735" s="2"/>
      <c r="B735" s="67" t="s">
        <v>64</v>
      </c>
      <c r="C735" s="68"/>
      <c r="D735" s="69" t="str">
        <f>MONEYTEXT(R735, "INR")</f>
        <v>Fifty-one thousand one hundred fourteen Indian rupees and twenty-one paise</v>
      </c>
      <c r="E735" s="68"/>
      <c r="F735" s="68"/>
      <c r="G735" s="68"/>
      <c r="H735" s="68"/>
      <c r="I735" s="68"/>
      <c r="J735" s="68"/>
      <c r="K735" s="68"/>
      <c r="L735" s="68"/>
      <c r="M735" s="68"/>
      <c r="N735" s="70" t="s">
        <v>65</v>
      </c>
      <c r="O735" s="4"/>
      <c r="P735" s="96">
        <f t="shared" ref="P735:R735" si="29">SUM(P724:P733)</f>
        <v>49584.21</v>
      </c>
      <c r="Q735" s="96">
        <f t="shared" si="29"/>
        <v>1530</v>
      </c>
      <c r="R735" s="96">
        <f t="shared" si="29"/>
        <v>51114.21</v>
      </c>
      <c r="S735" s="6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>
      <c r="A736" s="2"/>
      <c r="B736" s="67" t="s">
        <v>66</v>
      </c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76"/>
      <c r="P736" s="97" t="s">
        <v>67</v>
      </c>
      <c r="Q736" s="31"/>
      <c r="R736" s="32"/>
      <c r="S736" s="6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>
      <c r="A737" s="2"/>
      <c r="B737" s="79" t="s">
        <v>68</v>
      </c>
      <c r="P737" s="27"/>
      <c r="Q737" s="27"/>
      <c r="R737" s="83"/>
      <c r="S737" s="6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>
      <c r="A738" s="2"/>
      <c r="B738" s="79" t="s">
        <v>70</v>
      </c>
      <c r="P738" s="27"/>
      <c r="Q738" s="27"/>
      <c r="R738" s="83"/>
      <c r="S738" s="6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>
      <c r="A739" s="2"/>
      <c r="B739" s="8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5"/>
      <c r="S739" s="6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>
      <c r="A740" s="2"/>
      <c r="B740" s="8"/>
      <c r="C740" s="6"/>
      <c r="D740" s="6"/>
      <c r="E740" s="6"/>
      <c r="F740" s="6"/>
      <c r="G740" s="6"/>
      <c r="H740" s="6"/>
      <c r="I740" s="6"/>
      <c r="J740" s="6"/>
      <c r="K740" s="19" t="s">
        <v>71</v>
      </c>
      <c r="L740" s="6"/>
      <c r="M740" s="6"/>
      <c r="N740" s="6"/>
      <c r="O740" s="6"/>
      <c r="P740" s="9" t="s">
        <v>72</v>
      </c>
      <c r="R740" s="10"/>
      <c r="S740" s="6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>
      <c r="A741" s="2"/>
      <c r="B741" s="88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89"/>
      <c r="S741" s="6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>
      <c r="A742" s="2"/>
      <c r="B742" s="139"/>
      <c r="C742" s="139"/>
      <c r="D742" s="139"/>
      <c r="E742" s="139"/>
      <c r="F742" s="139"/>
      <c r="G742" s="139"/>
      <c r="H742" s="139"/>
      <c r="I742" s="139"/>
      <c r="J742" s="139"/>
      <c r="K742" s="139"/>
      <c r="L742" s="139"/>
      <c r="M742" s="139"/>
      <c r="N742" s="139"/>
      <c r="O742" s="139"/>
      <c r="P742" s="139"/>
      <c r="Q742" s="139"/>
      <c r="R742" s="139"/>
      <c r="S742" s="6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>
      <c r="A743" s="2"/>
      <c r="B743" s="139"/>
      <c r="C743" s="139"/>
      <c r="D743" s="139"/>
      <c r="E743" s="139"/>
      <c r="F743" s="139"/>
      <c r="G743" s="139"/>
      <c r="H743" s="139"/>
      <c r="I743" s="139"/>
      <c r="J743" s="139"/>
      <c r="K743" s="139"/>
      <c r="L743" s="139"/>
      <c r="M743" s="139"/>
      <c r="N743" s="139"/>
      <c r="O743" s="139"/>
      <c r="P743" s="139"/>
      <c r="Q743" s="139"/>
      <c r="R743" s="139"/>
      <c r="S743" s="6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>
      <c r="A744" s="2"/>
      <c r="B744" s="3" t="s">
        <v>1</v>
      </c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5"/>
      <c r="S744" s="6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>
      <c r="A745" s="2"/>
      <c r="B745" s="8"/>
      <c r="F745" s="9"/>
      <c r="G745" s="9"/>
      <c r="H745" s="9"/>
      <c r="I745" s="9"/>
      <c r="J745" s="9" t="s">
        <v>2</v>
      </c>
      <c r="N745" s="6"/>
      <c r="R745" s="10"/>
      <c r="S745" s="6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>
      <c r="A746" s="2"/>
      <c r="B746" s="13"/>
      <c r="F746" s="9"/>
      <c r="G746" s="9"/>
      <c r="H746" s="9"/>
      <c r="I746" s="9"/>
      <c r="J746" s="9" t="s">
        <v>3</v>
      </c>
      <c r="N746" s="6"/>
      <c r="R746" s="10"/>
      <c r="S746" s="6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>
      <c r="A747" s="2"/>
      <c r="B747" s="13" t="s">
        <v>4</v>
      </c>
      <c r="R747" s="10"/>
      <c r="S747" s="6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>
      <c r="A748" s="2"/>
      <c r="B748" s="16" t="s">
        <v>5</v>
      </c>
      <c r="C748" s="17" t="s">
        <v>6</v>
      </c>
      <c r="D748" s="4"/>
      <c r="E748" s="4"/>
      <c r="F748" s="4"/>
      <c r="G748" s="4"/>
      <c r="H748" s="4"/>
      <c r="I748" s="4"/>
      <c r="J748" s="4"/>
      <c r="K748" s="5"/>
      <c r="L748" s="18" t="s">
        <v>7</v>
      </c>
      <c r="M748" s="19">
        <v>34.0</v>
      </c>
      <c r="N748" s="20"/>
      <c r="O748" s="4"/>
      <c r="P748" s="4"/>
      <c r="Q748" s="4"/>
      <c r="R748" s="5"/>
      <c r="S748" s="6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>
      <c r="A749" s="2"/>
      <c r="B749" s="26"/>
      <c r="C749" s="27" t="s">
        <v>8</v>
      </c>
      <c r="K749" s="10"/>
      <c r="L749" s="18" t="s">
        <v>9</v>
      </c>
      <c r="M749" s="175">
        <v>46117.0</v>
      </c>
      <c r="N749" s="6"/>
      <c r="R749" s="10"/>
      <c r="S749" s="6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>
      <c r="A750" s="2"/>
      <c r="B750" s="16" t="s">
        <v>11</v>
      </c>
      <c r="C750" s="30" t="s">
        <v>12</v>
      </c>
      <c r="D750" s="31"/>
      <c r="E750" s="31"/>
      <c r="F750" s="31"/>
      <c r="G750" s="31"/>
      <c r="H750" s="31"/>
      <c r="I750" s="31"/>
      <c r="J750" s="31"/>
      <c r="K750" s="32"/>
      <c r="L750" s="18" t="s">
        <v>13</v>
      </c>
      <c r="M750" s="33" t="s">
        <v>14</v>
      </c>
      <c r="N750" s="34"/>
      <c r="O750" s="31"/>
      <c r="P750" s="31"/>
      <c r="Q750" s="31"/>
      <c r="R750" s="32"/>
      <c r="S750" s="6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>
      <c r="A751" s="2"/>
      <c r="B751" s="8"/>
      <c r="R751" s="10"/>
      <c r="S751" s="6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>
      <c r="A752" s="2"/>
      <c r="B752" s="39" t="s">
        <v>15</v>
      </c>
      <c r="C752" s="40" t="s">
        <v>16</v>
      </c>
      <c r="D752" s="41" t="s">
        <v>17</v>
      </c>
      <c r="E752" s="41" t="s">
        <v>18</v>
      </c>
      <c r="F752" s="42" t="s">
        <v>19</v>
      </c>
      <c r="G752" s="43"/>
      <c r="H752" s="43"/>
      <c r="I752" s="43"/>
      <c r="J752" s="44"/>
      <c r="K752" s="41" t="s">
        <v>20</v>
      </c>
      <c r="L752" s="41" t="s">
        <v>21</v>
      </c>
      <c r="M752" s="41" t="s">
        <v>22</v>
      </c>
      <c r="N752" s="41" t="s">
        <v>23</v>
      </c>
      <c r="O752" s="41" t="s">
        <v>24</v>
      </c>
      <c r="P752" s="41" t="s">
        <v>25</v>
      </c>
      <c r="Q752" s="41" t="s">
        <v>26</v>
      </c>
      <c r="R752" s="45" t="s">
        <v>27</v>
      </c>
      <c r="S752" s="6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>
      <c r="A753" s="2"/>
      <c r="B753" s="156">
        <v>1.0</v>
      </c>
      <c r="C753" s="53">
        <v>1.004645053E9</v>
      </c>
      <c r="D753" s="53" t="s">
        <v>130</v>
      </c>
      <c r="E753" s="53" t="s">
        <v>55</v>
      </c>
      <c r="F753" s="53" t="s">
        <v>56</v>
      </c>
      <c r="G753" s="53" t="s">
        <v>57</v>
      </c>
      <c r="H753" s="53" t="s">
        <v>58</v>
      </c>
      <c r="I753" s="53" t="s">
        <v>59</v>
      </c>
      <c r="J753" s="55"/>
      <c r="K753" s="53" t="s">
        <v>38</v>
      </c>
      <c r="L753" s="53" t="s">
        <v>60</v>
      </c>
      <c r="M753" s="53">
        <v>3857.0</v>
      </c>
      <c r="N753" s="53">
        <v>572.0</v>
      </c>
      <c r="O753" s="53">
        <v>19.28</v>
      </c>
      <c r="P753" s="55">
        <f t="shared" ref="P753:P762" si="30">N753*O753</f>
        <v>11028.16</v>
      </c>
      <c r="Q753" s="53">
        <v>330.0</v>
      </c>
      <c r="R753" s="105">
        <f t="shared" ref="R753:R762" si="31">P753+Q753</f>
        <v>11358.16</v>
      </c>
      <c r="S753" s="6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>
      <c r="A754" s="2"/>
      <c r="B754" s="156">
        <v>2.0</v>
      </c>
      <c r="C754" s="53">
        <v>1.004645176E9</v>
      </c>
      <c r="D754" s="53" t="s">
        <v>130</v>
      </c>
      <c r="E754" s="53" t="s">
        <v>90</v>
      </c>
      <c r="F754" s="53" t="s">
        <v>91</v>
      </c>
      <c r="G754" s="53" t="s">
        <v>92</v>
      </c>
      <c r="H754" s="53" t="s">
        <v>93</v>
      </c>
      <c r="I754" s="53" t="s">
        <v>94</v>
      </c>
      <c r="J754" s="55"/>
      <c r="K754" s="53" t="s">
        <v>38</v>
      </c>
      <c r="L754" s="53" t="s">
        <v>102</v>
      </c>
      <c r="M754" s="53">
        <v>2947.0</v>
      </c>
      <c r="N754" s="53">
        <v>405.0</v>
      </c>
      <c r="O754" s="53">
        <v>19.28</v>
      </c>
      <c r="P754" s="55">
        <f t="shared" si="30"/>
        <v>7808.4</v>
      </c>
      <c r="Q754" s="53">
        <v>500.0</v>
      </c>
      <c r="R754" s="105">
        <f t="shared" si="31"/>
        <v>8308.4</v>
      </c>
      <c r="S754" s="6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>
      <c r="A755" s="2"/>
      <c r="B755" s="156">
        <v>3.0</v>
      </c>
      <c r="C755" s="53">
        <v>1.004645185E9</v>
      </c>
      <c r="D755" s="53" t="s">
        <v>130</v>
      </c>
      <c r="E755" s="53" t="s">
        <v>100</v>
      </c>
      <c r="F755" s="53" t="s">
        <v>83</v>
      </c>
      <c r="G755" s="53"/>
      <c r="H755" s="55"/>
      <c r="I755" s="55"/>
      <c r="J755" s="55"/>
      <c r="K755" s="53" t="s">
        <v>80</v>
      </c>
      <c r="L755" s="53" t="s">
        <v>41</v>
      </c>
      <c r="M755" s="53">
        <v>2362.0</v>
      </c>
      <c r="N755" s="53">
        <v>122.0</v>
      </c>
      <c r="O755" s="53">
        <v>18.28</v>
      </c>
      <c r="P755" s="55">
        <f t="shared" si="30"/>
        <v>2230.16</v>
      </c>
      <c r="Q755" s="53"/>
      <c r="R755" s="105">
        <f t="shared" si="31"/>
        <v>2230.16</v>
      </c>
      <c r="S755" s="6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>
      <c r="A756" s="2"/>
      <c r="B756" s="156">
        <v>4.0</v>
      </c>
      <c r="C756" s="53">
        <v>1.004646175E9</v>
      </c>
      <c r="D756" s="53" t="s">
        <v>132</v>
      </c>
      <c r="E756" s="53" t="s">
        <v>35</v>
      </c>
      <c r="F756" s="53" t="s">
        <v>36</v>
      </c>
      <c r="G756" s="53" t="s">
        <v>40</v>
      </c>
      <c r="H756" s="53" t="s">
        <v>37</v>
      </c>
      <c r="I756" s="55"/>
      <c r="J756" s="55"/>
      <c r="K756" s="53" t="s">
        <v>38</v>
      </c>
      <c r="L756" s="53" t="s">
        <v>96</v>
      </c>
      <c r="M756" s="53">
        <v>3468.0</v>
      </c>
      <c r="N756" s="53">
        <v>200.0</v>
      </c>
      <c r="O756" s="53">
        <v>19.28</v>
      </c>
      <c r="P756" s="55">
        <f t="shared" si="30"/>
        <v>3856</v>
      </c>
      <c r="Q756" s="55"/>
      <c r="R756" s="105">
        <f t="shared" si="31"/>
        <v>3856</v>
      </c>
      <c r="S756" s="6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>
      <c r="A757" s="2"/>
      <c r="B757" s="156">
        <v>5.0</v>
      </c>
      <c r="C757" s="53">
        <v>1.004646315E9</v>
      </c>
      <c r="D757" s="53" t="s">
        <v>132</v>
      </c>
      <c r="E757" s="53" t="s">
        <v>42</v>
      </c>
      <c r="F757" s="53" t="s">
        <v>43</v>
      </c>
      <c r="G757" s="53" t="s">
        <v>44</v>
      </c>
      <c r="H757" s="55"/>
      <c r="I757" s="55"/>
      <c r="J757" s="55"/>
      <c r="K757" s="53" t="s">
        <v>45</v>
      </c>
      <c r="L757" s="53" t="s">
        <v>98</v>
      </c>
      <c r="M757" s="53">
        <v>1460.0</v>
      </c>
      <c r="N757" s="53">
        <v>299.0</v>
      </c>
      <c r="O757" s="53">
        <v>15.53</v>
      </c>
      <c r="P757" s="55">
        <f t="shared" si="30"/>
        <v>4643.47</v>
      </c>
      <c r="Q757" s="55"/>
      <c r="R757" s="105">
        <f t="shared" si="31"/>
        <v>4643.47</v>
      </c>
      <c r="S757" s="6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>
      <c r="A758" s="2"/>
      <c r="B758" s="156">
        <v>6.0</v>
      </c>
      <c r="C758" s="53">
        <v>1.004646502E9</v>
      </c>
      <c r="D758" s="53" t="s">
        <v>132</v>
      </c>
      <c r="E758" s="53" t="s">
        <v>28</v>
      </c>
      <c r="F758" s="53" t="s">
        <v>29</v>
      </c>
      <c r="G758" s="53" t="s">
        <v>30</v>
      </c>
      <c r="H758" s="53" t="s">
        <v>31</v>
      </c>
      <c r="I758" s="53" t="s">
        <v>32</v>
      </c>
      <c r="J758" s="55"/>
      <c r="K758" s="53" t="s">
        <v>33</v>
      </c>
      <c r="L758" s="53" t="s">
        <v>34</v>
      </c>
      <c r="M758" s="53">
        <v>1838.0</v>
      </c>
      <c r="N758" s="53">
        <v>246.0</v>
      </c>
      <c r="O758" s="53">
        <v>15.53</v>
      </c>
      <c r="P758" s="55">
        <f t="shared" si="30"/>
        <v>3820.38</v>
      </c>
      <c r="Q758" s="55"/>
      <c r="R758" s="105">
        <f t="shared" si="31"/>
        <v>3820.38</v>
      </c>
      <c r="S758" s="6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>
      <c r="A759" s="2"/>
      <c r="B759" s="156">
        <v>7.0</v>
      </c>
      <c r="C759" s="53">
        <v>1.004646582E9</v>
      </c>
      <c r="D759" s="53" t="s">
        <v>132</v>
      </c>
      <c r="E759" s="53" t="s">
        <v>51</v>
      </c>
      <c r="F759" s="53" t="s">
        <v>44</v>
      </c>
      <c r="G759" s="53"/>
      <c r="H759" s="53"/>
      <c r="I759" s="55"/>
      <c r="J759" s="55"/>
      <c r="K759" s="53" t="s">
        <v>45</v>
      </c>
      <c r="L759" s="53" t="s">
        <v>50</v>
      </c>
      <c r="M759" s="53">
        <v>1500.0</v>
      </c>
      <c r="N759" s="53">
        <v>230.0</v>
      </c>
      <c r="O759" s="53">
        <v>15.53</v>
      </c>
      <c r="P759" s="55">
        <f t="shared" si="30"/>
        <v>3571.9</v>
      </c>
      <c r="Q759" s="55"/>
      <c r="R759" s="105">
        <f t="shared" si="31"/>
        <v>3571.9</v>
      </c>
      <c r="S759" s="6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>
      <c r="A760" s="2"/>
      <c r="B760" s="156">
        <v>8.0</v>
      </c>
      <c r="C760" s="53">
        <v>1.004647034E9</v>
      </c>
      <c r="D760" s="53" t="s">
        <v>132</v>
      </c>
      <c r="E760" s="53" t="s">
        <v>51</v>
      </c>
      <c r="F760" s="53" t="s">
        <v>44</v>
      </c>
      <c r="G760" s="53" t="s">
        <v>49</v>
      </c>
      <c r="H760" s="53"/>
      <c r="I760" s="55"/>
      <c r="J760" s="55"/>
      <c r="K760" s="53" t="s">
        <v>45</v>
      </c>
      <c r="L760" s="53" t="s">
        <v>112</v>
      </c>
      <c r="M760" s="53">
        <v>1549.0</v>
      </c>
      <c r="N760" s="53">
        <v>230.0</v>
      </c>
      <c r="O760" s="53">
        <v>15.53</v>
      </c>
      <c r="P760" s="55">
        <f t="shared" si="30"/>
        <v>3571.9</v>
      </c>
      <c r="Q760" s="55"/>
      <c r="R760" s="105">
        <f t="shared" si="31"/>
        <v>3571.9</v>
      </c>
      <c r="S760" s="6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>
      <c r="A761" s="2"/>
      <c r="B761" s="156">
        <v>9.0</v>
      </c>
      <c r="C761" s="53">
        <v>1.004647054E9</v>
      </c>
      <c r="D761" s="53" t="s">
        <v>132</v>
      </c>
      <c r="E761" s="53" t="s">
        <v>51</v>
      </c>
      <c r="F761" s="53" t="s">
        <v>44</v>
      </c>
      <c r="G761" s="55"/>
      <c r="H761" s="53"/>
      <c r="I761" s="55"/>
      <c r="J761" s="55"/>
      <c r="K761" s="53" t="s">
        <v>45</v>
      </c>
      <c r="L761" s="53" t="s">
        <v>54</v>
      </c>
      <c r="M761" s="53">
        <v>1861.0</v>
      </c>
      <c r="N761" s="53">
        <v>230.0</v>
      </c>
      <c r="O761" s="53">
        <v>15.53</v>
      </c>
      <c r="P761" s="55">
        <f t="shared" si="30"/>
        <v>3571.9</v>
      </c>
      <c r="Q761" s="53"/>
      <c r="R761" s="105">
        <f t="shared" si="31"/>
        <v>3571.9</v>
      </c>
      <c r="S761" s="6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>
      <c r="A762" s="2"/>
      <c r="B762" s="156">
        <v>10.0</v>
      </c>
      <c r="C762" s="53">
        <v>1.00464711E9</v>
      </c>
      <c r="D762" s="53" t="s">
        <v>132</v>
      </c>
      <c r="E762" s="53" t="s">
        <v>51</v>
      </c>
      <c r="F762" s="53" t="s">
        <v>44</v>
      </c>
      <c r="G762" s="55"/>
      <c r="H762" s="55"/>
      <c r="I762" s="55"/>
      <c r="J762" s="55"/>
      <c r="K762" s="53" t="s">
        <v>45</v>
      </c>
      <c r="L762" s="53" t="s">
        <v>52</v>
      </c>
      <c r="M762" s="53">
        <v>1821.0</v>
      </c>
      <c r="N762" s="53">
        <v>230.0</v>
      </c>
      <c r="O762" s="53">
        <v>15.53</v>
      </c>
      <c r="P762" s="55">
        <f t="shared" si="30"/>
        <v>3571.9</v>
      </c>
      <c r="Q762" s="53"/>
      <c r="R762" s="105">
        <f t="shared" si="31"/>
        <v>3571.9</v>
      </c>
      <c r="S762" s="6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>
      <c r="A763" s="2"/>
      <c r="B763" s="8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5"/>
      <c r="S763" s="6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>
      <c r="A764" s="2"/>
      <c r="B764" s="67" t="s">
        <v>64</v>
      </c>
      <c r="C764" s="68"/>
      <c r="D764" s="69" t="str">
        <f>MONEYTEXT(R764, "INR")</f>
        <v/>
      </c>
      <c r="E764" s="68"/>
      <c r="F764" s="68"/>
      <c r="G764" s="68"/>
      <c r="H764" s="68"/>
      <c r="I764" s="68"/>
      <c r="J764" s="68"/>
      <c r="K764" s="68"/>
      <c r="L764" s="68"/>
      <c r="M764" s="68"/>
      <c r="N764" s="70" t="s">
        <v>65</v>
      </c>
      <c r="O764" s="4"/>
      <c r="P764" s="96">
        <f t="shared" ref="P764:R764" si="32">SUM(P753:P762)</f>
        <v>47674.17</v>
      </c>
      <c r="Q764" s="96">
        <f t="shared" si="32"/>
        <v>830</v>
      </c>
      <c r="R764" s="96">
        <f t="shared" si="32"/>
        <v>48504.17</v>
      </c>
      <c r="S764" s="6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>
      <c r="A765" s="2"/>
      <c r="B765" s="67" t="s">
        <v>66</v>
      </c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76"/>
      <c r="P765" s="97" t="s">
        <v>67</v>
      </c>
      <c r="Q765" s="31"/>
      <c r="R765" s="32"/>
      <c r="S765" s="6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>
      <c r="A766" s="2"/>
      <c r="B766" s="79" t="s">
        <v>68</v>
      </c>
      <c r="P766" s="27"/>
      <c r="Q766" s="27"/>
      <c r="R766" s="83"/>
      <c r="S766" s="6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>
      <c r="A767" s="2"/>
      <c r="B767" s="79" t="s">
        <v>70</v>
      </c>
      <c r="P767" s="27"/>
      <c r="Q767" s="27"/>
      <c r="R767" s="83"/>
      <c r="S767" s="6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>
      <c r="A768" s="2"/>
      <c r="B768" s="8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5"/>
      <c r="S768" s="6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>
      <c r="A769" s="2"/>
      <c r="B769" s="8"/>
      <c r="C769" s="6"/>
      <c r="D769" s="6"/>
      <c r="E769" s="6"/>
      <c r="F769" s="6"/>
      <c r="G769" s="6"/>
      <c r="H769" s="6"/>
      <c r="I769" s="6"/>
      <c r="J769" s="6"/>
      <c r="K769" s="19" t="s">
        <v>71</v>
      </c>
      <c r="L769" s="6"/>
      <c r="M769" s="6"/>
      <c r="N769" s="6"/>
      <c r="O769" s="6"/>
      <c r="P769" s="9" t="s">
        <v>72</v>
      </c>
      <c r="R769" s="10"/>
      <c r="S769" s="6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>
      <c r="A770" s="2"/>
      <c r="B770" s="88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89"/>
      <c r="S770" s="6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>
      <c r="A771" s="2"/>
      <c r="B771" s="139"/>
      <c r="C771" s="139"/>
      <c r="D771" s="139"/>
      <c r="E771" s="139"/>
      <c r="F771" s="139"/>
      <c r="G771" s="139"/>
      <c r="H771" s="139"/>
      <c r="I771" s="139"/>
      <c r="J771" s="139"/>
      <c r="K771" s="139"/>
      <c r="L771" s="139"/>
      <c r="M771" s="139"/>
      <c r="N771" s="139"/>
      <c r="O771" s="139"/>
      <c r="P771" s="139"/>
      <c r="Q771" s="139"/>
      <c r="R771" s="139"/>
      <c r="S771" s="6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>
      <c r="A772" s="2"/>
      <c r="B772" s="139"/>
      <c r="C772" s="139"/>
      <c r="D772" s="139"/>
      <c r="E772" s="139"/>
      <c r="F772" s="139"/>
      <c r="G772" s="139"/>
      <c r="H772" s="139"/>
      <c r="I772" s="139"/>
      <c r="J772" s="139"/>
      <c r="K772" s="139"/>
      <c r="L772" s="139"/>
      <c r="M772" s="139"/>
      <c r="N772" s="139"/>
      <c r="O772" s="139"/>
      <c r="P772" s="139"/>
      <c r="Q772" s="139"/>
      <c r="R772" s="139"/>
      <c r="S772" s="6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>
      <c r="A773" s="2"/>
      <c r="B773" s="3" t="s">
        <v>1</v>
      </c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5"/>
      <c r="S773" s="6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>
      <c r="A774" s="2"/>
      <c r="B774" s="8"/>
      <c r="F774" s="9"/>
      <c r="G774" s="9"/>
      <c r="H774" s="9"/>
      <c r="I774" s="9"/>
      <c r="J774" s="9" t="s">
        <v>2</v>
      </c>
      <c r="N774" s="6"/>
      <c r="R774" s="10"/>
      <c r="S774" s="6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>
      <c r="A775" s="2"/>
      <c r="B775" s="13"/>
      <c r="F775" s="9"/>
      <c r="G775" s="9"/>
      <c r="H775" s="9"/>
      <c r="I775" s="9"/>
      <c r="J775" s="9" t="s">
        <v>3</v>
      </c>
      <c r="N775" s="6"/>
      <c r="R775" s="10"/>
      <c r="S775" s="6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>
      <c r="A776" s="2"/>
      <c r="B776" s="13" t="s">
        <v>4</v>
      </c>
      <c r="R776" s="10"/>
      <c r="S776" s="6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>
      <c r="A777" s="2"/>
      <c r="B777" s="16" t="s">
        <v>5</v>
      </c>
      <c r="C777" s="17" t="s">
        <v>6</v>
      </c>
      <c r="D777" s="4"/>
      <c r="E777" s="4"/>
      <c r="F777" s="4"/>
      <c r="G777" s="4"/>
      <c r="H777" s="4"/>
      <c r="I777" s="4"/>
      <c r="J777" s="4"/>
      <c r="K777" s="5"/>
      <c r="L777" s="18" t="s">
        <v>7</v>
      </c>
      <c r="M777" s="19">
        <v>35.0</v>
      </c>
      <c r="N777" s="20"/>
      <c r="O777" s="4"/>
      <c r="P777" s="4"/>
      <c r="Q777" s="4"/>
      <c r="R777" s="5"/>
      <c r="S777" s="6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>
      <c r="A778" s="2"/>
      <c r="B778" s="26"/>
      <c r="C778" s="27" t="s">
        <v>8</v>
      </c>
      <c r="K778" s="10"/>
      <c r="L778" s="18" t="s">
        <v>9</v>
      </c>
      <c r="M778" s="175">
        <v>46117.0</v>
      </c>
      <c r="N778" s="6"/>
      <c r="R778" s="10"/>
      <c r="S778" s="6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>
      <c r="A779" s="2"/>
      <c r="B779" s="16" t="s">
        <v>11</v>
      </c>
      <c r="C779" s="30" t="s">
        <v>12</v>
      </c>
      <c r="D779" s="31"/>
      <c r="E779" s="31"/>
      <c r="F779" s="31"/>
      <c r="G779" s="31"/>
      <c r="H779" s="31"/>
      <c r="I779" s="31"/>
      <c r="J779" s="31"/>
      <c r="K779" s="32"/>
      <c r="L779" s="18" t="s">
        <v>13</v>
      </c>
      <c r="M779" s="33" t="s">
        <v>14</v>
      </c>
      <c r="N779" s="34"/>
      <c r="O779" s="31"/>
      <c r="P779" s="31"/>
      <c r="Q779" s="31"/>
      <c r="R779" s="32"/>
      <c r="S779" s="6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>
      <c r="A780" s="2"/>
      <c r="B780" s="8"/>
      <c r="R780" s="10"/>
      <c r="S780" s="6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>
      <c r="A781" s="2"/>
      <c r="B781" s="39" t="s">
        <v>15</v>
      </c>
      <c r="C781" s="40" t="s">
        <v>16</v>
      </c>
      <c r="D781" s="41" t="s">
        <v>17</v>
      </c>
      <c r="E781" s="41" t="s">
        <v>18</v>
      </c>
      <c r="F781" s="42" t="s">
        <v>19</v>
      </c>
      <c r="G781" s="43"/>
      <c r="H781" s="43"/>
      <c r="I781" s="43"/>
      <c r="J781" s="44"/>
      <c r="K781" s="41" t="s">
        <v>20</v>
      </c>
      <c r="L781" s="41" t="s">
        <v>21</v>
      </c>
      <c r="M781" s="41" t="s">
        <v>22</v>
      </c>
      <c r="N781" s="41" t="s">
        <v>23</v>
      </c>
      <c r="O781" s="41" t="s">
        <v>24</v>
      </c>
      <c r="P781" s="41" t="s">
        <v>25</v>
      </c>
      <c r="Q781" s="41" t="s">
        <v>26</v>
      </c>
      <c r="R781" s="45" t="s">
        <v>27</v>
      </c>
      <c r="S781" s="6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>
      <c r="A782" s="2"/>
      <c r="B782" s="156">
        <v>1.0</v>
      </c>
      <c r="C782" s="53">
        <v>1.004647373E9</v>
      </c>
      <c r="D782" s="53" t="s">
        <v>132</v>
      </c>
      <c r="E782" s="53" t="s">
        <v>61</v>
      </c>
      <c r="F782" s="53" t="s">
        <v>73</v>
      </c>
      <c r="G782" s="53" t="s">
        <v>75</v>
      </c>
      <c r="H782" s="53" t="s">
        <v>74</v>
      </c>
      <c r="I782" s="55"/>
      <c r="J782" s="55"/>
      <c r="K782" s="53" t="s">
        <v>38</v>
      </c>
      <c r="L782" s="53" t="s">
        <v>110</v>
      </c>
      <c r="M782" s="53">
        <v>3242.0</v>
      </c>
      <c r="N782" s="53">
        <v>560.0</v>
      </c>
      <c r="O782" s="53">
        <v>19.28</v>
      </c>
      <c r="P782" s="55">
        <f t="shared" ref="P782:P791" si="33">N782*O782</f>
        <v>10796.8</v>
      </c>
      <c r="Q782" s="53">
        <v>1085.0</v>
      </c>
      <c r="R782" s="105">
        <f t="shared" ref="R782:R791" si="34">P782+Q782</f>
        <v>11881.8</v>
      </c>
      <c r="S782" s="6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>
      <c r="A783" s="2"/>
      <c r="B783" s="156">
        <v>2.0</v>
      </c>
      <c r="C783" s="53">
        <v>1.004647385E9</v>
      </c>
      <c r="D783" s="53" t="s">
        <v>132</v>
      </c>
      <c r="E783" s="53" t="s">
        <v>61</v>
      </c>
      <c r="F783" s="53" t="s">
        <v>74</v>
      </c>
      <c r="G783" s="53" t="s">
        <v>62</v>
      </c>
      <c r="H783" s="53"/>
      <c r="I783" s="53"/>
      <c r="J783" s="55"/>
      <c r="K783" s="53" t="s">
        <v>80</v>
      </c>
      <c r="L783" s="53" t="s">
        <v>76</v>
      </c>
      <c r="M783" s="53">
        <v>2392.0</v>
      </c>
      <c r="N783" s="53">
        <v>330.0</v>
      </c>
      <c r="O783" s="53">
        <v>18.28</v>
      </c>
      <c r="P783" s="55">
        <f t="shared" si="33"/>
        <v>6032.4</v>
      </c>
      <c r="Q783" s="53">
        <v>820.0</v>
      </c>
      <c r="R783" s="105">
        <f t="shared" si="34"/>
        <v>6852.4</v>
      </c>
      <c r="S783" s="6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>
      <c r="A784" s="2"/>
      <c r="B784" s="156">
        <v>3.0</v>
      </c>
      <c r="C784" s="53">
        <v>1.004647461E9</v>
      </c>
      <c r="D784" s="53" t="s">
        <v>132</v>
      </c>
      <c r="E784" s="53" t="s">
        <v>77</v>
      </c>
      <c r="F784" s="53" t="s">
        <v>78</v>
      </c>
      <c r="G784" s="53" t="s">
        <v>79</v>
      </c>
      <c r="H784" s="55"/>
      <c r="I784" s="55"/>
      <c r="J784" s="55"/>
      <c r="K784" s="53" t="s">
        <v>38</v>
      </c>
      <c r="L784" s="53" t="s">
        <v>81</v>
      </c>
      <c r="M784" s="53">
        <v>3775.0</v>
      </c>
      <c r="N784" s="53">
        <v>416.0</v>
      </c>
      <c r="O784" s="53">
        <v>19.28</v>
      </c>
      <c r="P784" s="55">
        <f t="shared" si="33"/>
        <v>8020.48</v>
      </c>
      <c r="Q784" s="53">
        <v>505.0</v>
      </c>
      <c r="R784" s="105">
        <f t="shared" si="34"/>
        <v>8525.48</v>
      </c>
      <c r="S784" s="6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>
      <c r="A785" s="2"/>
      <c r="B785" s="156">
        <v>4.0</v>
      </c>
      <c r="C785" s="53">
        <v>1.004647539E9</v>
      </c>
      <c r="D785" s="53" t="s">
        <v>132</v>
      </c>
      <c r="E785" s="53" t="s">
        <v>82</v>
      </c>
      <c r="F785" s="53" t="s">
        <v>86</v>
      </c>
      <c r="G785" s="53" t="s">
        <v>87</v>
      </c>
      <c r="H785" s="53" t="s">
        <v>88</v>
      </c>
      <c r="I785" s="55"/>
      <c r="J785" s="55"/>
      <c r="K785" s="53" t="s">
        <v>38</v>
      </c>
      <c r="L785" s="53" t="s">
        <v>101</v>
      </c>
      <c r="M785" s="53">
        <v>3631.0</v>
      </c>
      <c r="N785" s="53">
        <v>484.0</v>
      </c>
      <c r="O785" s="53">
        <v>19.28</v>
      </c>
      <c r="P785" s="55">
        <f t="shared" si="33"/>
        <v>9331.52</v>
      </c>
      <c r="Q785" s="53">
        <v>930.0</v>
      </c>
      <c r="R785" s="105">
        <f t="shared" si="34"/>
        <v>10261.52</v>
      </c>
      <c r="S785" s="6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>
      <c r="A786" s="2"/>
      <c r="B786" s="156">
        <v>5.0</v>
      </c>
      <c r="C786" s="53">
        <v>1.004647704E9</v>
      </c>
      <c r="D786" s="53" t="s">
        <v>132</v>
      </c>
      <c r="E786" s="53" t="s">
        <v>55</v>
      </c>
      <c r="F786" s="53" t="s">
        <v>57</v>
      </c>
      <c r="G786" s="53" t="s">
        <v>103</v>
      </c>
      <c r="H786" s="53" t="s">
        <v>56</v>
      </c>
      <c r="I786" s="53" t="s">
        <v>59</v>
      </c>
      <c r="J786" s="53" t="s">
        <v>58</v>
      </c>
      <c r="K786" s="53" t="s">
        <v>80</v>
      </c>
      <c r="L786" s="53" t="s">
        <v>105</v>
      </c>
      <c r="M786" s="53">
        <v>2491.0</v>
      </c>
      <c r="N786" s="53">
        <v>572.0</v>
      </c>
      <c r="O786" s="53">
        <v>18.28</v>
      </c>
      <c r="P786" s="55">
        <f t="shared" si="33"/>
        <v>10456.16</v>
      </c>
      <c r="Q786" s="53">
        <v>295.0</v>
      </c>
      <c r="R786" s="105">
        <f t="shared" si="34"/>
        <v>10751.16</v>
      </c>
      <c r="S786" s="6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>
      <c r="A787" s="2"/>
      <c r="B787" s="156">
        <v>6.0</v>
      </c>
      <c r="C787" s="53">
        <v>1.00464816E9</v>
      </c>
      <c r="D787" s="53" t="s">
        <v>133</v>
      </c>
      <c r="E787" s="53" t="s">
        <v>35</v>
      </c>
      <c r="F787" s="53" t="s">
        <v>36</v>
      </c>
      <c r="G787" s="53" t="s">
        <v>40</v>
      </c>
      <c r="H787" s="53" t="s">
        <v>37</v>
      </c>
      <c r="I787" s="55"/>
      <c r="J787" s="55"/>
      <c r="K787" s="53" t="s">
        <v>38</v>
      </c>
      <c r="L787" s="53" t="s">
        <v>96</v>
      </c>
      <c r="M787" s="53">
        <v>3780.0</v>
      </c>
      <c r="N787" s="53">
        <v>200.0</v>
      </c>
      <c r="O787" s="53">
        <v>19.28</v>
      </c>
      <c r="P787" s="55">
        <f t="shared" si="33"/>
        <v>3856</v>
      </c>
      <c r="Q787" s="55"/>
      <c r="R787" s="105">
        <f t="shared" si="34"/>
        <v>3856</v>
      </c>
      <c r="S787" s="6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>
      <c r="A788" s="2"/>
      <c r="B788" s="156">
        <v>7.0</v>
      </c>
      <c r="C788" s="53">
        <v>1.004648432E9</v>
      </c>
      <c r="D788" s="53" t="s">
        <v>133</v>
      </c>
      <c r="E788" s="53" t="s">
        <v>28</v>
      </c>
      <c r="F788" s="53" t="s">
        <v>29</v>
      </c>
      <c r="G788" s="53" t="s">
        <v>30</v>
      </c>
      <c r="H788" s="53" t="s">
        <v>31</v>
      </c>
      <c r="I788" s="55"/>
      <c r="J788" s="55"/>
      <c r="K788" s="53" t="s">
        <v>33</v>
      </c>
      <c r="L788" s="53" t="s">
        <v>34</v>
      </c>
      <c r="M788" s="53">
        <v>1834.0</v>
      </c>
      <c r="N788" s="53">
        <v>246.0</v>
      </c>
      <c r="O788" s="53">
        <v>15.53</v>
      </c>
      <c r="P788" s="55">
        <f t="shared" si="33"/>
        <v>3820.38</v>
      </c>
      <c r="Q788" s="55"/>
      <c r="R788" s="105">
        <f t="shared" si="34"/>
        <v>3820.38</v>
      </c>
      <c r="S788" s="6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>
      <c r="A789" s="2"/>
      <c r="B789" s="156">
        <v>8.0</v>
      </c>
      <c r="C789" s="53">
        <v>1.004648529E9</v>
      </c>
      <c r="D789" s="53" t="s">
        <v>133</v>
      </c>
      <c r="E789" s="53" t="s">
        <v>47</v>
      </c>
      <c r="F789" s="53" t="s">
        <v>44</v>
      </c>
      <c r="G789" s="53" t="s">
        <v>48</v>
      </c>
      <c r="H789" s="53"/>
      <c r="I789" s="55"/>
      <c r="J789" s="55"/>
      <c r="K789" s="53" t="s">
        <v>45</v>
      </c>
      <c r="L789" s="53" t="s">
        <v>98</v>
      </c>
      <c r="M789" s="53">
        <v>1549.0</v>
      </c>
      <c r="N789" s="53">
        <v>250.0</v>
      </c>
      <c r="O789" s="53">
        <v>15.53</v>
      </c>
      <c r="P789" s="55">
        <f t="shared" si="33"/>
        <v>3882.5</v>
      </c>
      <c r="Q789" s="55"/>
      <c r="R789" s="105">
        <f t="shared" si="34"/>
        <v>3882.5</v>
      </c>
      <c r="S789" s="6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>
      <c r="A790" s="2"/>
      <c r="B790" s="156">
        <v>9.0</v>
      </c>
      <c r="C790" s="53">
        <v>1.004648537E9</v>
      </c>
      <c r="D790" s="53" t="s">
        <v>133</v>
      </c>
      <c r="E790" s="53" t="s">
        <v>51</v>
      </c>
      <c r="F790" s="53" t="s">
        <v>44</v>
      </c>
      <c r="G790" s="53" t="s">
        <v>49</v>
      </c>
      <c r="H790" s="53"/>
      <c r="I790" s="55"/>
      <c r="J790" s="55"/>
      <c r="K790" s="53" t="s">
        <v>45</v>
      </c>
      <c r="L790" s="53" t="s">
        <v>50</v>
      </c>
      <c r="M790" s="53">
        <v>1662.0</v>
      </c>
      <c r="N790" s="53">
        <v>230.0</v>
      </c>
      <c r="O790" s="53">
        <v>15.53</v>
      </c>
      <c r="P790" s="55">
        <f t="shared" si="33"/>
        <v>3571.9</v>
      </c>
      <c r="Q790" s="53"/>
      <c r="R790" s="105">
        <f t="shared" si="34"/>
        <v>3571.9</v>
      </c>
      <c r="S790" s="6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>
      <c r="A791" s="2"/>
      <c r="B791" s="156">
        <v>10.0</v>
      </c>
      <c r="C791" s="53">
        <v>1.004649028E9</v>
      </c>
      <c r="D791" s="53" t="s">
        <v>133</v>
      </c>
      <c r="E791" s="53" t="s">
        <v>51</v>
      </c>
      <c r="F791" s="53" t="s">
        <v>44</v>
      </c>
      <c r="G791" s="55"/>
      <c r="H791" s="55"/>
      <c r="I791" s="55"/>
      <c r="J791" s="55"/>
      <c r="K791" s="53" t="s">
        <v>45</v>
      </c>
      <c r="L791" s="53" t="s">
        <v>52</v>
      </c>
      <c r="M791" s="53">
        <v>1755.0</v>
      </c>
      <c r="N791" s="53">
        <v>230.0</v>
      </c>
      <c r="O791" s="53">
        <v>15.53</v>
      </c>
      <c r="P791" s="55">
        <f t="shared" si="33"/>
        <v>3571.9</v>
      </c>
      <c r="Q791" s="53"/>
      <c r="R791" s="105">
        <f t="shared" si="34"/>
        <v>3571.9</v>
      </c>
      <c r="S791" s="6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>
      <c r="A792" s="2"/>
      <c r="B792" s="8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5"/>
      <c r="S792" s="6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>
      <c r="A793" s="2"/>
      <c r="B793" s="67" t="s">
        <v>64</v>
      </c>
      <c r="C793" s="68"/>
      <c r="D793" s="69" t="str">
        <f>MONEYTEXT(R793, "INR")</f>
        <v>Sixty-six thousand nine hundred seventy-five Indian rupees and four paise</v>
      </c>
      <c r="E793" s="68"/>
      <c r="F793" s="68"/>
      <c r="G793" s="68"/>
      <c r="H793" s="68"/>
      <c r="I793" s="68"/>
      <c r="J793" s="68"/>
      <c r="K793" s="68"/>
      <c r="L793" s="68"/>
      <c r="M793" s="68"/>
      <c r="N793" s="70" t="s">
        <v>65</v>
      </c>
      <c r="O793" s="4"/>
      <c r="P793" s="96">
        <f t="shared" ref="P793:R793" si="35">SUM(P782:P791)</f>
        <v>63340.04</v>
      </c>
      <c r="Q793" s="96">
        <f t="shared" si="35"/>
        <v>3635</v>
      </c>
      <c r="R793" s="96">
        <f t="shared" si="35"/>
        <v>66975.04</v>
      </c>
      <c r="S793" s="6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>
      <c r="A794" s="2"/>
      <c r="B794" s="67" t="s">
        <v>66</v>
      </c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76"/>
      <c r="P794" s="97" t="s">
        <v>67</v>
      </c>
      <c r="Q794" s="31"/>
      <c r="R794" s="32"/>
      <c r="S794" s="6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>
      <c r="A795" s="2"/>
      <c r="B795" s="79" t="s">
        <v>68</v>
      </c>
      <c r="P795" s="27"/>
      <c r="Q795" s="27"/>
      <c r="R795" s="83"/>
      <c r="S795" s="6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>
      <c r="A796" s="2"/>
      <c r="B796" s="79" t="s">
        <v>70</v>
      </c>
      <c r="P796" s="27"/>
      <c r="Q796" s="27"/>
      <c r="R796" s="83"/>
      <c r="S796" s="6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>
      <c r="A797" s="2"/>
      <c r="B797" s="8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5"/>
      <c r="S797" s="6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>
      <c r="A798" s="2"/>
      <c r="B798" s="8"/>
      <c r="C798" s="6"/>
      <c r="D798" s="6"/>
      <c r="E798" s="6"/>
      <c r="F798" s="6"/>
      <c r="G798" s="6"/>
      <c r="H798" s="6"/>
      <c r="I798" s="6"/>
      <c r="J798" s="6"/>
      <c r="K798" s="19" t="s">
        <v>71</v>
      </c>
      <c r="L798" s="6"/>
      <c r="M798" s="6"/>
      <c r="N798" s="6"/>
      <c r="O798" s="6"/>
      <c r="P798" s="9" t="s">
        <v>72</v>
      </c>
      <c r="R798" s="10"/>
      <c r="S798" s="6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>
      <c r="A799" s="2"/>
      <c r="B799" s="88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89"/>
      <c r="S799" s="6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>
      <c r="A800" s="2"/>
      <c r="B800" s="139"/>
      <c r="C800" s="139"/>
      <c r="D800" s="139"/>
      <c r="E800" s="139"/>
      <c r="F800" s="139"/>
      <c r="G800" s="139"/>
      <c r="H800" s="139"/>
      <c r="I800" s="139"/>
      <c r="J800" s="139"/>
      <c r="K800" s="139"/>
      <c r="L800" s="139"/>
      <c r="M800" s="139"/>
      <c r="N800" s="139"/>
      <c r="O800" s="139"/>
      <c r="P800" s="139"/>
      <c r="Q800" s="139"/>
      <c r="R800" s="139"/>
      <c r="S800" s="6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>
      <c r="A801" s="2"/>
      <c r="B801" s="139"/>
      <c r="C801" s="139"/>
      <c r="D801" s="139"/>
      <c r="E801" s="139"/>
      <c r="F801" s="139"/>
      <c r="G801" s="139"/>
      <c r="H801" s="139"/>
      <c r="I801" s="139"/>
      <c r="J801" s="139"/>
      <c r="K801" s="139"/>
      <c r="L801" s="139"/>
      <c r="M801" s="139"/>
      <c r="N801" s="139"/>
      <c r="O801" s="139"/>
      <c r="P801" s="139"/>
      <c r="Q801" s="139"/>
      <c r="R801" s="139"/>
      <c r="S801" s="6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>
      <c r="A802" s="2"/>
      <c r="B802" s="3" t="s">
        <v>1</v>
      </c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5"/>
      <c r="S802" s="6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>
      <c r="A803" s="2"/>
      <c r="B803" s="8"/>
      <c r="F803" s="9"/>
      <c r="G803" s="9"/>
      <c r="H803" s="9"/>
      <c r="I803" s="9"/>
      <c r="J803" s="9" t="s">
        <v>2</v>
      </c>
      <c r="N803" s="6"/>
      <c r="R803" s="10"/>
      <c r="S803" s="6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>
      <c r="A804" s="2"/>
      <c r="B804" s="13"/>
      <c r="F804" s="9"/>
      <c r="G804" s="9"/>
      <c r="H804" s="9"/>
      <c r="I804" s="9"/>
      <c r="J804" s="9" t="s">
        <v>3</v>
      </c>
      <c r="N804" s="6"/>
      <c r="R804" s="10"/>
      <c r="S804" s="6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>
      <c r="A805" s="2"/>
      <c r="B805" s="13" t="s">
        <v>4</v>
      </c>
      <c r="R805" s="10"/>
      <c r="S805" s="6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>
      <c r="A806" s="2"/>
      <c r="B806" s="16" t="s">
        <v>5</v>
      </c>
      <c r="C806" s="17" t="s">
        <v>6</v>
      </c>
      <c r="D806" s="4"/>
      <c r="E806" s="4"/>
      <c r="F806" s="4"/>
      <c r="G806" s="4"/>
      <c r="H806" s="4"/>
      <c r="I806" s="4"/>
      <c r="J806" s="4"/>
      <c r="K806" s="5"/>
      <c r="L806" s="18" t="s">
        <v>7</v>
      </c>
      <c r="M806" s="19">
        <v>36.0</v>
      </c>
      <c r="N806" s="20"/>
      <c r="O806" s="4"/>
      <c r="P806" s="4"/>
      <c r="Q806" s="4"/>
      <c r="R806" s="5"/>
      <c r="S806" s="6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>
      <c r="A807" s="2"/>
      <c r="B807" s="26"/>
      <c r="C807" s="27" t="s">
        <v>8</v>
      </c>
      <c r="K807" s="10"/>
      <c r="L807" s="18" t="s">
        <v>9</v>
      </c>
      <c r="M807" s="175">
        <v>46117.0</v>
      </c>
      <c r="N807" s="6"/>
      <c r="R807" s="10"/>
      <c r="S807" s="6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>
      <c r="A808" s="2"/>
      <c r="B808" s="16" t="s">
        <v>11</v>
      </c>
      <c r="C808" s="30" t="s">
        <v>12</v>
      </c>
      <c r="D808" s="31"/>
      <c r="E808" s="31"/>
      <c r="F808" s="31"/>
      <c r="G808" s="31"/>
      <c r="H808" s="31"/>
      <c r="I808" s="31"/>
      <c r="J808" s="31"/>
      <c r="K808" s="32"/>
      <c r="L808" s="18" t="s">
        <v>13</v>
      </c>
      <c r="M808" s="33" t="s">
        <v>14</v>
      </c>
      <c r="N808" s="34"/>
      <c r="O808" s="31"/>
      <c r="P808" s="31"/>
      <c r="Q808" s="31"/>
      <c r="R808" s="32"/>
      <c r="S808" s="6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>
      <c r="A809" s="2"/>
      <c r="B809" s="8"/>
      <c r="R809" s="10"/>
      <c r="S809" s="6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>
      <c r="A810" s="2"/>
      <c r="B810" s="39" t="s">
        <v>15</v>
      </c>
      <c r="C810" s="40" t="s">
        <v>16</v>
      </c>
      <c r="D810" s="41" t="s">
        <v>17</v>
      </c>
      <c r="E810" s="41" t="s">
        <v>18</v>
      </c>
      <c r="F810" s="42" t="s">
        <v>19</v>
      </c>
      <c r="G810" s="43"/>
      <c r="H810" s="43"/>
      <c r="I810" s="43"/>
      <c r="J810" s="44"/>
      <c r="K810" s="41" t="s">
        <v>20</v>
      </c>
      <c r="L810" s="41" t="s">
        <v>21</v>
      </c>
      <c r="M810" s="41" t="s">
        <v>22</v>
      </c>
      <c r="N810" s="41" t="s">
        <v>23</v>
      </c>
      <c r="O810" s="41" t="s">
        <v>24</v>
      </c>
      <c r="P810" s="41" t="s">
        <v>25</v>
      </c>
      <c r="Q810" s="41" t="s">
        <v>26</v>
      </c>
      <c r="R810" s="45" t="s">
        <v>27</v>
      </c>
      <c r="S810" s="6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>
      <c r="A811" s="2"/>
      <c r="B811" s="156">
        <v>1.0</v>
      </c>
      <c r="C811" s="53">
        <v>1.004649054E9</v>
      </c>
      <c r="D811" s="53" t="s">
        <v>133</v>
      </c>
      <c r="E811" s="53" t="s">
        <v>51</v>
      </c>
      <c r="F811" s="53" t="s">
        <v>44</v>
      </c>
      <c r="G811" s="53"/>
      <c r="H811" s="53"/>
      <c r="I811" s="55"/>
      <c r="J811" s="55"/>
      <c r="K811" s="53" t="s">
        <v>45</v>
      </c>
      <c r="L811" s="53" t="s">
        <v>54</v>
      </c>
      <c r="M811" s="53">
        <v>1735.0</v>
      </c>
      <c r="N811" s="53">
        <v>230.0</v>
      </c>
      <c r="O811" s="53">
        <v>15.53</v>
      </c>
      <c r="P811" s="55">
        <f t="shared" ref="P811:P820" si="36">N811*O811</f>
        <v>3571.9</v>
      </c>
      <c r="Q811" s="53"/>
      <c r="R811" s="105">
        <f t="shared" ref="R811:R820" si="37">P811+Q811</f>
        <v>3571.9</v>
      </c>
      <c r="S811" s="6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>
      <c r="A812" s="2"/>
      <c r="B812" s="156">
        <v>2.0</v>
      </c>
      <c r="C812" s="53">
        <v>1.004649096E9</v>
      </c>
      <c r="D812" s="53" t="s">
        <v>133</v>
      </c>
      <c r="E812" s="53" t="s">
        <v>51</v>
      </c>
      <c r="F812" s="53" t="s">
        <v>44</v>
      </c>
      <c r="G812" s="53"/>
      <c r="H812" s="53"/>
      <c r="I812" s="53"/>
      <c r="J812" s="55"/>
      <c r="K812" s="53" t="s">
        <v>45</v>
      </c>
      <c r="L812" s="53" t="s">
        <v>53</v>
      </c>
      <c r="M812" s="53">
        <v>1713.0</v>
      </c>
      <c r="N812" s="53">
        <v>230.0</v>
      </c>
      <c r="O812" s="53">
        <v>15.53</v>
      </c>
      <c r="P812" s="55">
        <f t="shared" si="36"/>
        <v>3571.9</v>
      </c>
      <c r="Q812" s="53"/>
      <c r="R812" s="105">
        <f t="shared" si="37"/>
        <v>3571.9</v>
      </c>
      <c r="S812" s="6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>
      <c r="A813" s="2"/>
      <c r="B813" s="156">
        <v>3.0</v>
      </c>
      <c r="C813" s="53">
        <v>1.004649737E9</v>
      </c>
      <c r="D813" s="53" t="s">
        <v>133</v>
      </c>
      <c r="E813" s="53" t="s">
        <v>106</v>
      </c>
      <c r="F813" s="53" t="s">
        <v>107</v>
      </c>
      <c r="G813" s="53" t="s">
        <v>108</v>
      </c>
      <c r="H813" s="53" t="s">
        <v>109</v>
      </c>
      <c r="I813" s="55"/>
      <c r="J813" s="55"/>
      <c r="K813" s="53" t="s">
        <v>33</v>
      </c>
      <c r="L813" s="53" t="s">
        <v>118</v>
      </c>
      <c r="M813" s="53">
        <v>2249.0</v>
      </c>
      <c r="N813" s="53">
        <v>482.0</v>
      </c>
      <c r="O813" s="53">
        <v>15.53</v>
      </c>
      <c r="P813" s="55">
        <f t="shared" si="36"/>
        <v>7485.46</v>
      </c>
      <c r="Q813" s="53">
        <v>1025.0</v>
      </c>
      <c r="R813" s="105">
        <f t="shared" si="37"/>
        <v>8510.46</v>
      </c>
      <c r="S813" s="6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>
      <c r="A814" s="2"/>
      <c r="B814" s="156">
        <v>4.0</v>
      </c>
      <c r="C814" s="53">
        <v>1.004649488E9</v>
      </c>
      <c r="D814" s="53" t="s">
        <v>133</v>
      </c>
      <c r="E814" s="53" t="s">
        <v>82</v>
      </c>
      <c r="F814" s="53" t="s">
        <v>83</v>
      </c>
      <c r="G814" s="53" t="s">
        <v>87</v>
      </c>
      <c r="H814" s="53" t="s">
        <v>88</v>
      </c>
      <c r="I814" s="55"/>
      <c r="J814" s="55"/>
      <c r="K814" s="53" t="s">
        <v>33</v>
      </c>
      <c r="L814" s="53" t="s">
        <v>89</v>
      </c>
      <c r="M814" s="53">
        <v>1951.0</v>
      </c>
      <c r="N814" s="53">
        <v>484.0</v>
      </c>
      <c r="O814" s="53">
        <v>15.53</v>
      </c>
      <c r="P814" s="55">
        <f t="shared" si="36"/>
        <v>7516.52</v>
      </c>
      <c r="Q814" s="53">
        <v>930.0</v>
      </c>
      <c r="R814" s="105">
        <f t="shared" si="37"/>
        <v>8446.52</v>
      </c>
      <c r="S814" s="6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>
      <c r="A815" s="2"/>
      <c r="B815" s="156">
        <v>5.0</v>
      </c>
      <c r="C815" s="53">
        <v>1.004649544E9</v>
      </c>
      <c r="D815" s="53" t="s">
        <v>133</v>
      </c>
      <c r="E815" s="53" t="s">
        <v>77</v>
      </c>
      <c r="F815" s="53" t="s">
        <v>116</v>
      </c>
      <c r="G815" s="53" t="s">
        <v>78</v>
      </c>
      <c r="H815" s="53" t="s">
        <v>79</v>
      </c>
      <c r="I815" s="55"/>
      <c r="J815" s="55"/>
      <c r="K815" s="53" t="s">
        <v>33</v>
      </c>
      <c r="L815" s="53" t="s">
        <v>134</v>
      </c>
      <c r="M815" s="53">
        <v>1983.0</v>
      </c>
      <c r="N815" s="53">
        <v>416.0</v>
      </c>
      <c r="O815" s="53">
        <v>15.53</v>
      </c>
      <c r="P815" s="55">
        <f t="shared" si="36"/>
        <v>6460.48</v>
      </c>
      <c r="Q815" s="55"/>
      <c r="R815" s="105">
        <f t="shared" si="37"/>
        <v>6460.48</v>
      </c>
      <c r="S815" s="6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>
      <c r="A816" s="2"/>
      <c r="B816" s="156">
        <v>6.0</v>
      </c>
      <c r="C816" s="53">
        <v>1.004650185E9</v>
      </c>
      <c r="D816" s="53" t="s">
        <v>135</v>
      </c>
      <c r="E816" s="53" t="s">
        <v>35</v>
      </c>
      <c r="F816" s="53" t="s">
        <v>36</v>
      </c>
      <c r="G816" s="53" t="s">
        <v>40</v>
      </c>
      <c r="H816" s="55"/>
      <c r="I816" s="55"/>
      <c r="J816" s="55"/>
      <c r="K816" s="53" t="s">
        <v>38</v>
      </c>
      <c r="L816" s="53" t="s">
        <v>136</v>
      </c>
      <c r="M816" s="53">
        <v>3530.0</v>
      </c>
      <c r="N816" s="53">
        <v>150.0</v>
      </c>
      <c r="O816" s="53">
        <v>19.28</v>
      </c>
      <c r="P816" s="55">
        <f t="shared" si="36"/>
        <v>2892</v>
      </c>
      <c r="Q816" s="55"/>
      <c r="R816" s="105">
        <f t="shared" si="37"/>
        <v>2892</v>
      </c>
      <c r="S816" s="6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>
      <c r="A817" s="2"/>
      <c r="B817" s="156">
        <v>7.0</v>
      </c>
      <c r="C817" s="53">
        <v>1.004650203E9</v>
      </c>
      <c r="D817" s="53" t="s">
        <v>135</v>
      </c>
      <c r="E817" s="53" t="s">
        <v>35</v>
      </c>
      <c r="F817" s="53" t="s">
        <v>36</v>
      </c>
      <c r="G817" s="53" t="s">
        <v>37</v>
      </c>
      <c r="H817" s="53"/>
      <c r="I817" s="55"/>
      <c r="J817" s="55"/>
      <c r="K817" s="53" t="s">
        <v>33</v>
      </c>
      <c r="L817" s="53" t="s">
        <v>41</v>
      </c>
      <c r="M817" s="53">
        <v>1874.0</v>
      </c>
      <c r="N817" s="53">
        <v>200.0</v>
      </c>
      <c r="O817" s="53">
        <v>15.53</v>
      </c>
      <c r="P817" s="55">
        <f t="shared" si="36"/>
        <v>3106</v>
      </c>
      <c r="Q817" s="55"/>
      <c r="R817" s="105">
        <f t="shared" si="37"/>
        <v>3106</v>
      </c>
      <c r="S817" s="6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>
      <c r="A818" s="2"/>
      <c r="B818" s="156">
        <v>8.0</v>
      </c>
      <c r="C818" s="53">
        <v>1.004650329E9</v>
      </c>
      <c r="D818" s="53" t="s">
        <v>135</v>
      </c>
      <c r="E818" s="53" t="s">
        <v>42</v>
      </c>
      <c r="F818" s="53" t="s">
        <v>44</v>
      </c>
      <c r="G818" s="53" t="s">
        <v>43</v>
      </c>
      <c r="H818" s="53"/>
      <c r="I818" s="55"/>
      <c r="J818" s="55"/>
      <c r="K818" s="53" t="s">
        <v>45</v>
      </c>
      <c r="L818" s="53" t="s">
        <v>98</v>
      </c>
      <c r="M818" s="53">
        <v>1591.0</v>
      </c>
      <c r="N818" s="53">
        <v>299.0</v>
      </c>
      <c r="O818" s="53">
        <v>15.53</v>
      </c>
      <c r="P818" s="55">
        <f t="shared" si="36"/>
        <v>4643.47</v>
      </c>
      <c r="Q818" s="55"/>
      <c r="R818" s="105">
        <f t="shared" si="37"/>
        <v>4643.47</v>
      </c>
      <c r="S818" s="6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>
      <c r="A819" s="2"/>
      <c r="B819" s="156">
        <v>9.0</v>
      </c>
      <c r="C819" s="53">
        <v>1.004650651E9</v>
      </c>
      <c r="D819" s="53" t="s">
        <v>135</v>
      </c>
      <c r="E819" s="53" t="s">
        <v>51</v>
      </c>
      <c r="F819" s="53" t="s">
        <v>44</v>
      </c>
      <c r="G819" s="55"/>
      <c r="H819" s="53"/>
      <c r="I819" s="55"/>
      <c r="J819" s="55"/>
      <c r="K819" s="53" t="s">
        <v>45</v>
      </c>
      <c r="L819" s="53" t="s">
        <v>50</v>
      </c>
      <c r="M819" s="53">
        <v>1525.0</v>
      </c>
      <c r="N819" s="53">
        <v>230.0</v>
      </c>
      <c r="O819" s="53">
        <v>15.53</v>
      </c>
      <c r="P819" s="55">
        <f t="shared" si="36"/>
        <v>3571.9</v>
      </c>
      <c r="Q819" s="53"/>
      <c r="R819" s="105">
        <f t="shared" si="37"/>
        <v>3571.9</v>
      </c>
      <c r="S819" s="6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>
      <c r="A820" s="2"/>
      <c r="B820" s="156">
        <v>10.0</v>
      </c>
      <c r="C820" s="53">
        <v>1.004650792E9</v>
      </c>
      <c r="D820" s="53" t="s">
        <v>135</v>
      </c>
      <c r="E820" s="53" t="s">
        <v>51</v>
      </c>
      <c r="F820" s="53" t="s">
        <v>44</v>
      </c>
      <c r="G820" s="55"/>
      <c r="H820" s="55"/>
      <c r="I820" s="55"/>
      <c r="J820" s="55"/>
      <c r="K820" s="53" t="s">
        <v>45</v>
      </c>
      <c r="L820" s="53" t="s">
        <v>54</v>
      </c>
      <c r="M820" s="53">
        <v>1519.0</v>
      </c>
      <c r="N820" s="53">
        <v>230.0</v>
      </c>
      <c r="O820" s="53">
        <v>15.53</v>
      </c>
      <c r="P820" s="55">
        <f t="shared" si="36"/>
        <v>3571.9</v>
      </c>
      <c r="Q820" s="53"/>
      <c r="R820" s="105">
        <f t="shared" si="37"/>
        <v>3571.9</v>
      </c>
      <c r="S820" s="6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>
      <c r="A821" s="2"/>
      <c r="B821" s="8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5"/>
      <c r="S821" s="6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>
      <c r="A822" s="2"/>
      <c r="B822" s="67" t="s">
        <v>64</v>
      </c>
      <c r="C822" s="68"/>
      <c r="D822" s="69" t="str">
        <f>MONEYTEXT(R822, "INR")</f>
        <v>Forty-eight thousand three hundred forty-six Indian rupees and fifty-three paise</v>
      </c>
      <c r="E822" s="68"/>
      <c r="F822" s="68"/>
      <c r="G822" s="68"/>
      <c r="H822" s="68"/>
      <c r="I822" s="68"/>
      <c r="J822" s="68"/>
      <c r="K822" s="68"/>
      <c r="L822" s="68"/>
      <c r="M822" s="68"/>
      <c r="N822" s="70" t="s">
        <v>65</v>
      </c>
      <c r="O822" s="4"/>
      <c r="P822" s="96">
        <f t="shared" ref="P822:R822" si="38">SUM(P811:P820)</f>
        <v>46391.53</v>
      </c>
      <c r="Q822" s="96">
        <f t="shared" si="38"/>
        <v>1955</v>
      </c>
      <c r="R822" s="96">
        <f t="shared" si="38"/>
        <v>48346.53</v>
      </c>
      <c r="S822" s="6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>
      <c r="A823" s="2"/>
      <c r="B823" s="67" t="s">
        <v>66</v>
      </c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76"/>
      <c r="P823" s="97" t="s">
        <v>67</v>
      </c>
      <c r="Q823" s="31"/>
      <c r="R823" s="32"/>
      <c r="S823" s="6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>
      <c r="A824" s="2"/>
      <c r="B824" s="79" t="s">
        <v>68</v>
      </c>
      <c r="P824" s="27"/>
      <c r="Q824" s="27"/>
      <c r="R824" s="83"/>
      <c r="S824" s="6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>
      <c r="A825" s="2"/>
      <c r="B825" s="79" t="s">
        <v>70</v>
      </c>
      <c r="P825" s="27"/>
      <c r="Q825" s="27"/>
      <c r="R825" s="83"/>
      <c r="S825" s="6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>
      <c r="A826" s="2"/>
      <c r="B826" s="8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5"/>
      <c r="S826" s="6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>
      <c r="A827" s="2"/>
      <c r="B827" s="8"/>
      <c r="C827" s="6"/>
      <c r="D827" s="6"/>
      <c r="E827" s="6"/>
      <c r="F827" s="6"/>
      <c r="G827" s="6"/>
      <c r="H827" s="6"/>
      <c r="I827" s="6"/>
      <c r="J827" s="6"/>
      <c r="K827" s="19" t="s">
        <v>71</v>
      </c>
      <c r="L827" s="6"/>
      <c r="M827" s="6"/>
      <c r="N827" s="6"/>
      <c r="O827" s="6"/>
      <c r="P827" s="9" t="s">
        <v>72</v>
      </c>
      <c r="R827" s="10"/>
      <c r="S827" s="6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>
      <c r="A828" s="2"/>
      <c r="B828" s="88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89"/>
      <c r="S828" s="6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>
      <c r="A829" s="2"/>
      <c r="B829" s="139"/>
      <c r="C829" s="139"/>
      <c r="D829" s="139"/>
      <c r="E829" s="139"/>
      <c r="F829" s="139"/>
      <c r="G829" s="139"/>
      <c r="H829" s="139"/>
      <c r="I829" s="139"/>
      <c r="J829" s="139"/>
      <c r="K829" s="139"/>
      <c r="L829" s="139"/>
      <c r="M829" s="139"/>
      <c r="N829" s="139"/>
      <c r="O829" s="139"/>
      <c r="P829" s="139"/>
      <c r="Q829" s="139"/>
      <c r="R829" s="139"/>
      <c r="S829" s="6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>
      <c r="A830" s="2"/>
      <c r="B830" s="139"/>
      <c r="C830" s="139"/>
      <c r="D830" s="139"/>
      <c r="E830" s="139"/>
      <c r="F830" s="139"/>
      <c r="G830" s="139"/>
      <c r="H830" s="139"/>
      <c r="I830" s="139"/>
      <c r="J830" s="139"/>
      <c r="K830" s="139"/>
      <c r="L830" s="139"/>
      <c r="M830" s="139"/>
      <c r="N830" s="139"/>
      <c r="O830" s="139"/>
      <c r="P830" s="139"/>
      <c r="Q830" s="139"/>
      <c r="R830" s="139"/>
      <c r="S830" s="6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>
      <c r="A831" s="2"/>
      <c r="B831" s="139"/>
      <c r="C831" s="139"/>
      <c r="D831" s="139"/>
      <c r="E831" s="139"/>
      <c r="F831" s="139"/>
      <c r="G831" s="139"/>
      <c r="H831" s="139"/>
      <c r="I831" s="139"/>
      <c r="J831" s="139"/>
      <c r="K831" s="139"/>
      <c r="L831" s="139"/>
      <c r="M831" s="139"/>
      <c r="N831" s="139"/>
      <c r="O831" s="139"/>
      <c r="P831" s="139"/>
      <c r="Q831" s="139"/>
      <c r="R831" s="139"/>
      <c r="S831" s="6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>
      <c r="A832" s="2"/>
      <c r="B832" s="3" t="s">
        <v>1</v>
      </c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5"/>
      <c r="S832" s="6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>
      <c r="A833" s="2"/>
      <c r="B833" s="8"/>
      <c r="F833" s="9"/>
      <c r="G833" s="9"/>
      <c r="H833" s="9"/>
      <c r="I833" s="9"/>
      <c r="J833" s="9" t="s">
        <v>2</v>
      </c>
      <c r="N833" s="6"/>
      <c r="R833" s="10"/>
      <c r="S833" s="6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>
      <c r="A834" s="2"/>
      <c r="B834" s="13"/>
      <c r="F834" s="9"/>
      <c r="G834" s="9"/>
      <c r="H834" s="9"/>
      <c r="I834" s="9"/>
      <c r="J834" s="9" t="s">
        <v>3</v>
      </c>
      <c r="N834" s="6"/>
      <c r="R834" s="10"/>
      <c r="S834" s="6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>
      <c r="A835" s="2"/>
      <c r="B835" s="13" t="s">
        <v>4</v>
      </c>
      <c r="R835" s="10"/>
      <c r="S835" s="6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>
      <c r="A836" s="2"/>
      <c r="B836" s="16" t="s">
        <v>5</v>
      </c>
      <c r="C836" s="17" t="s">
        <v>6</v>
      </c>
      <c r="D836" s="4"/>
      <c r="E836" s="4"/>
      <c r="F836" s="4"/>
      <c r="G836" s="4"/>
      <c r="H836" s="4"/>
      <c r="I836" s="4"/>
      <c r="J836" s="4"/>
      <c r="K836" s="5"/>
      <c r="L836" s="18" t="s">
        <v>7</v>
      </c>
      <c r="M836" s="19">
        <v>37.0</v>
      </c>
      <c r="N836" s="20"/>
      <c r="O836" s="4"/>
      <c r="P836" s="4"/>
      <c r="Q836" s="4"/>
      <c r="R836" s="5"/>
      <c r="S836" s="6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>
      <c r="A837" s="2"/>
      <c r="B837" s="26"/>
      <c r="C837" s="27" t="s">
        <v>8</v>
      </c>
      <c r="K837" s="10"/>
      <c r="L837" s="18" t="s">
        <v>9</v>
      </c>
      <c r="M837" s="175">
        <v>46117.0</v>
      </c>
      <c r="N837" s="6"/>
      <c r="R837" s="10"/>
      <c r="S837" s="6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>
      <c r="A838" s="2"/>
      <c r="B838" s="16" t="s">
        <v>11</v>
      </c>
      <c r="C838" s="30" t="s">
        <v>12</v>
      </c>
      <c r="D838" s="31"/>
      <c r="E838" s="31"/>
      <c r="F838" s="31"/>
      <c r="G838" s="31"/>
      <c r="H838" s="31"/>
      <c r="I838" s="31"/>
      <c r="J838" s="31"/>
      <c r="K838" s="32"/>
      <c r="L838" s="18" t="s">
        <v>13</v>
      </c>
      <c r="M838" s="33" t="s">
        <v>14</v>
      </c>
      <c r="N838" s="34"/>
      <c r="O838" s="31"/>
      <c r="P838" s="31"/>
      <c r="Q838" s="31"/>
      <c r="R838" s="32"/>
      <c r="S838" s="6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>
      <c r="A839" s="2"/>
      <c r="B839" s="8"/>
      <c r="R839" s="10"/>
      <c r="S839" s="6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>
      <c r="A840" s="2"/>
      <c r="B840" s="39" t="s">
        <v>15</v>
      </c>
      <c r="C840" s="40" t="s">
        <v>16</v>
      </c>
      <c r="D840" s="41" t="s">
        <v>17</v>
      </c>
      <c r="E840" s="41" t="s">
        <v>18</v>
      </c>
      <c r="F840" s="42" t="s">
        <v>19</v>
      </c>
      <c r="G840" s="43"/>
      <c r="H840" s="43"/>
      <c r="I840" s="43"/>
      <c r="J840" s="44"/>
      <c r="K840" s="41" t="s">
        <v>20</v>
      </c>
      <c r="L840" s="41" t="s">
        <v>21</v>
      </c>
      <c r="M840" s="41" t="s">
        <v>22</v>
      </c>
      <c r="N840" s="41" t="s">
        <v>23</v>
      </c>
      <c r="O840" s="41" t="s">
        <v>24</v>
      </c>
      <c r="P840" s="41" t="s">
        <v>25</v>
      </c>
      <c r="Q840" s="41" t="s">
        <v>26</v>
      </c>
      <c r="R840" s="45" t="s">
        <v>27</v>
      </c>
      <c r="S840" s="6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>
      <c r="A841" s="2"/>
      <c r="B841" s="156">
        <v>1.0</v>
      </c>
      <c r="C841" s="53">
        <v>1.004650811E9</v>
      </c>
      <c r="D841" s="53" t="s">
        <v>135</v>
      </c>
      <c r="E841" s="53" t="s">
        <v>51</v>
      </c>
      <c r="F841" s="53" t="s">
        <v>44</v>
      </c>
      <c r="G841" s="53"/>
      <c r="H841" s="53"/>
      <c r="I841" s="55"/>
      <c r="J841" s="55"/>
      <c r="K841" s="53" t="s">
        <v>45</v>
      </c>
      <c r="L841" s="53" t="s">
        <v>52</v>
      </c>
      <c r="M841" s="53">
        <v>1651.0</v>
      </c>
      <c r="N841" s="53">
        <v>230.0</v>
      </c>
      <c r="O841" s="53">
        <v>15.53</v>
      </c>
      <c r="P841" s="55">
        <f t="shared" ref="P841:P850" si="39">N841*O841</f>
        <v>3571.9</v>
      </c>
      <c r="Q841" s="53"/>
      <c r="R841" s="105">
        <f t="shared" ref="R841:R850" si="40">P841+Q841</f>
        <v>3571.9</v>
      </c>
      <c r="S841" s="6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>
      <c r="A842" s="2"/>
      <c r="B842" s="156">
        <v>2.0</v>
      </c>
      <c r="C842" s="53">
        <v>1.00465082E9</v>
      </c>
      <c r="D842" s="53" t="s">
        <v>135</v>
      </c>
      <c r="E842" s="53" t="s">
        <v>51</v>
      </c>
      <c r="F842" s="53" t="s">
        <v>49</v>
      </c>
      <c r="G842" s="53" t="s">
        <v>44</v>
      </c>
      <c r="H842" s="53"/>
      <c r="I842" s="55"/>
      <c r="J842" s="55"/>
      <c r="K842" s="53" t="s">
        <v>45</v>
      </c>
      <c r="L842" s="53" t="s">
        <v>53</v>
      </c>
      <c r="M842" s="53">
        <v>1618.0</v>
      </c>
      <c r="N842" s="53">
        <v>230.0</v>
      </c>
      <c r="O842" s="53">
        <v>15.53</v>
      </c>
      <c r="P842" s="55">
        <f t="shared" si="39"/>
        <v>3571.9</v>
      </c>
      <c r="Q842" s="55"/>
      <c r="R842" s="105">
        <f t="shared" si="40"/>
        <v>3571.9</v>
      </c>
      <c r="S842" s="6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>
      <c r="A843" s="2"/>
      <c r="B843" s="156">
        <v>3.0</v>
      </c>
      <c r="C843" s="53">
        <v>1.004651156E9</v>
      </c>
      <c r="D843" s="53" t="s">
        <v>135</v>
      </c>
      <c r="E843" s="53" t="s">
        <v>51</v>
      </c>
      <c r="F843" s="53" t="s">
        <v>44</v>
      </c>
      <c r="G843" s="53"/>
      <c r="H843" s="55"/>
      <c r="I843" s="55"/>
      <c r="J843" s="55"/>
      <c r="K843" s="53" t="s">
        <v>45</v>
      </c>
      <c r="L843" s="53" t="s">
        <v>112</v>
      </c>
      <c r="M843" s="53">
        <v>1728.0</v>
      </c>
      <c r="N843" s="53">
        <v>230.0</v>
      </c>
      <c r="O843" s="53">
        <v>15.53</v>
      </c>
      <c r="P843" s="55">
        <f t="shared" si="39"/>
        <v>3571.9</v>
      </c>
      <c r="Q843" s="55"/>
      <c r="R843" s="105">
        <f t="shared" si="40"/>
        <v>3571.9</v>
      </c>
      <c r="S843" s="6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>
      <c r="A844" s="2"/>
      <c r="B844" s="156">
        <v>4.0</v>
      </c>
      <c r="C844" s="53">
        <v>1.004651448E9</v>
      </c>
      <c r="D844" s="53" t="s">
        <v>135</v>
      </c>
      <c r="E844" s="53" t="s">
        <v>61</v>
      </c>
      <c r="F844" s="53" t="s">
        <v>74</v>
      </c>
      <c r="G844" s="53" t="s">
        <v>73</v>
      </c>
      <c r="H844" s="53" t="s">
        <v>62</v>
      </c>
      <c r="I844" s="53" t="s">
        <v>75</v>
      </c>
      <c r="J844" s="55"/>
      <c r="K844" s="53" t="s">
        <v>38</v>
      </c>
      <c r="L844" s="53" t="s">
        <v>110</v>
      </c>
      <c r="M844" s="53">
        <v>3185.0</v>
      </c>
      <c r="N844" s="53">
        <v>560.0</v>
      </c>
      <c r="O844" s="53">
        <v>19.28</v>
      </c>
      <c r="P844" s="55">
        <f t="shared" si="39"/>
        <v>10796.8</v>
      </c>
      <c r="Q844" s="53">
        <v>1085.0</v>
      </c>
      <c r="R844" s="105">
        <f t="shared" si="40"/>
        <v>11881.8</v>
      </c>
      <c r="S844" s="6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>
      <c r="A845" s="2"/>
      <c r="B845" s="156">
        <v>5.0</v>
      </c>
      <c r="C845" s="53">
        <v>1.004651567E9</v>
      </c>
      <c r="D845" s="53" t="s">
        <v>135</v>
      </c>
      <c r="E845" s="53" t="s">
        <v>55</v>
      </c>
      <c r="F845" s="53" t="s">
        <v>56</v>
      </c>
      <c r="G845" s="53" t="s">
        <v>58</v>
      </c>
      <c r="H845" s="53" t="s">
        <v>103</v>
      </c>
      <c r="I845" s="55"/>
      <c r="J845" s="55"/>
      <c r="K845" s="53" t="s">
        <v>38</v>
      </c>
      <c r="L845" s="53" t="s">
        <v>60</v>
      </c>
      <c r="M845" s="53">
        <v>3560.0</v>
      </c>
      <c r="N845" s="53">
        <v>572.0</v>
      </c>
      <c r="O845" s="53">
        <v>19.28</v>
      </c>
      <c r="P845" s="55">
        <f t="shared" si="39"/>
        <v>11028.16</v>
      </c>
      <c r="Q845" s="53">
        <v>330.0</v>
      </c>
      <c r="R845" s="105">
        <f t="shared" si="40"/>
        <v>11358.16</v>
      </c>
      <c r="S845" s="6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>
      <c r="A846" s="2"/>
      <c r="B846" s="156">
        <v>6.0</v>
      </c>
      <c r="C846" s="53">
        <v>1.004651578E9</v>
      </c>
      <c r="D846" s="53" t="s">
        <v>135</v>
      </c>
      <c r="E846" s="53" t="s">
        <v>55</v>
      </c>
      <c r="F846" s="53" t="s">
        <v>57</v>
      </c>
      <c r="G846" s="53" t="s">
        <v>58</v>
      </c>
      <c r="H846" s="53" t="s">
        <v>59</v>
      </c>
      <c r="I846" s="55"/>
      <c r="J846" s="55"/>
      <c r="K846" s="53" t="s">
        <v>38</v>
      </c>
      <c r="L846" s="53" t="s">
        <v>104</v>
      </c>
      <c r="M846" s="53">
        <v>2868.0</v>
      </c>
      <c r="N846" s="53">
        <v>518.0</v>
      </c>
      <c r="O846" s="53">
        <v>19.28</v>
      </c>
      <c r="P846" s="55">
        <f t="shared" si="39"/>
        <v>9987.04</v>
      </c>
      <c r="Q846" s="55"/>
      <c r="R846" s="105">
        <f t="shared" si="40"/>
        <v>9987.04</v>
      </c>
      <c r="S846" s="6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>
      <c r="A847" s="2"/>
      <c r="B847" s="156">
        <v>7.0</v>
      </c>
      <c r="C847" s="53">
        <v>1.004651599E9</v>
      </c>
      <c r="D847" s="53" t="s">
        <v>135</v>
      </c>
      <c r="E847" s="53" t="s">
        <v>82</v>
      </c>
      <c r="F847" s="53" t="s">
        <v>86</v>
      </c>
      <c r="G847" s="53" t="s">
        <v>84</v>
      </c>
      <c r="H847" s="53"/>
      <c r="I847" s="55"/>
      <c r="J847" s="55"/>
      <c r="K847" s="53" t="s">
        <v>38</v>
      </c>
      <c r="L847" s="53" t="s">
        <v>101</v>
      </c>
      <c r="M847" s="53">
        <v>3550.0</v>
      </c>
      <c r="N847" s="53">
        <v>384.0</v>
      </c>
      <c r="O847" s="53">
        <v>19.28</v>
      </c>
      <c r="P847" s="55">
        <f t="shared" si="39"/>
        <v>7403.52</v>
      </c>
      <c r="Q847" s="53">
        <v>755.0</v>
      </c>
      <c r="R847" s="105">
        <f t="shared" si="40"/>
        <v>8158.52</v>
      </c>
      <c r="S847" s="6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>
      <c r="A848" s="2"/>
      <c r="B848" s="156">
        <v>8.0</v>
      </c>
      <c r="C848" s="53">
        <v>1.004651681E9</v>
      </c>
      <c r="D848" s="53" t="s">
        <v>135</v>
      </c>
      <c r="E848" s="53" t="s">
        <v>90</v>
      </c>
      <c r="F848" s="53" t="s">
        <v>94</v>
      </c>
      <c r="G848" s="53" t="s">
        <v>93</v>
      </c>
      <c r="H848" s="53" t="s">
        <v>91</v>
      </c>
      <c r="I848" s="53" t="s">
        <v>92</v>
      </c>
      <c r="J848" s="55"/>
      <c r="K848" s="53" t="s">
        <v>38</v>
      </c>
      <c r="L848" s="53" t="s">
        <v>102</v>
      </c>
      <c r="M848" s="53">
        <v>3457.0</v>
      </c>
      <c r="N848" s="53">
        <v>405.0</v>
      </c>
      <c r="O848" s="53">
        <v>19.28</v>
      </c>
      <c r="P848" s="55">
        <f t="shared" si="39"/>
        <v>7808.4</v>
      </c>
      <c r="Q848" s="53">
        <v>500.0</v>
      </c>
      <c r="R848" s="105">
        <f t="shared" si="40"/>
        <v>8308.4</v>
      </c>
      <c r="S848" s="6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>
      <c r="A849" s="2"/>
      <c r="B849" s="156">
        <v>9.0</v>
      </c>
      <c r="C849" s="53">
        <v>1.004651587E9</v>
      </c>
      <c r="D849" s="53" t="s">
        <v>135</v>
      </c>
      <c r="E849" s="53" t="s">
        <v>90</v>
      </c>
      <c r="F849" s="53" t="s">
        <v>83</v>
      </c>
      <c r="G849" s="53" t="s">
        <v>91</v>
      </c>
      <c r="H849" s="53"/>
      <c r="I849" s="55"/>
      <c r="J849" s="55"/>
      <c r="K849" s="53" t="s">
        <v>80</v>
      </c>
      <c r="L849" s="53" t="s">
        <v>95</v>
      </c>
      <c r="M849" s="53">
        <v>2779.0</v>
      </c>
      <c r="N849" s="53">
        <v>216.0</v>
      </c>
      <c r="O849" s="53">
        <v>18.28</v>
      </c>
      <c r="P849" s="55">
        <f t="shared" si="39"/>
        <v>3948.48</v>
      </c>
      <c r="Q849" s="53"/>
      <c r="R849" s="105">
        <f t="shared" si="40"/>
        <v>3948.48</v>
      </c>
      <c r="S849" s="6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>
      <c r="A850" s="2"/>
      <c r="B850" s="156">
        <v>10.0</v>
      </c>
      <c r="C850" s="53">
        <v>1.00465236E9</v>
      </c>
      <c r="D850" s="53" t="s">
        <v>137</v>
      </c>
      <c r="E850" s="53" t="s">
        <v>28</v>
      </c>
      <c r="F850" s="53" t="s">
        <v>29</v>
      </c>
      <c r="G850" s="53" t="s">
        <v>30</v>
      </c>
      <c r="H850" s="53" t="s">
        <v>31</v>
      </c>
      <c r="I850" s="53" t="s">
        <v>32</v>
      </c>
      <c r="J850" s="55"/>
      <c r="K850" s="53" t="s">
        <v>38</v>
      </c>
      <c r="L850" s="53" t="s">
        <v>138</v>
      </c>
      <c r="M850" s="53">
        <v>3154.0</v>
      </c>
      <c r="N850" s="53">
        <v>246.0</v>
      </c>
      <c r="O850" s="53">
        <v>19.28</v>
      </c>
      <c r="P850" s="55">
        <f t="shared" si="39"/>
        <v>4742.88</v>
      </c>
      <c r="Q850" s="53"/>
      <c r="R850" s="105">
        <f t="shared" si="40"/>
        <v>4742.88</v>
      </c>
      <c r="S850" s="6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>
      <c r="A851" s="2"/>
      <c r="B851" s="8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5"/>
      <c r="S851" s="6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>
      <c r="A852" s="2"/>
      <c r="B852" s="67" t="s">
        <v>64</v>
      </c>
      <c r="C852" s="68"/>
      <c r="D852" s="69" t="str">
        <f>MONEYTEXT(R852, "INR")</f>
        <v/>
      </c>
      <c r="E852" s="68"/>
      <c r="F852" s="68"/>
      <c r="G852" s="68"/>
      <c r="H852" s="68"/>
      <c r="I852" s="68"/>
      <c r="J852" s="68"/>
      <c r="K852" s="68"/>
      <c r="L852" s="68"/>
      <c r="M852" s="68"/>
      <c r="N852" s="70" t="s">
        <v>65</v>
      </c>
      <c r="O852" s="4"/>
      <c r="P852" s="96">
        <f t="shared" ref="P852:R852" si="41">SUM(P841:P850)</f>
        <v>66430.98</v>
      </c>
      <c r="Q852" s="96">
        <f t="shared" si="41"/>
        <v>2670</v>
      </c>
      <c r="R852" s="96">
        <f t="shared" si="41"/>
        <v>69100.98</v>
      </c>
      <c r="S852" s="6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>
      <c r="A853" s="2"/>
      <c r="B853" s="67" t="s">
        <v>66</v>
      </c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76"/>
      <c r="P853" s="97" t="s">
        <v>67</v>
      </c>
      <c r="Q853" s="31"/>
      <c r="R853" s="32"/>
      <c r="S853" s="6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>
      <c r="A854" s="2"/>
      <c r="B854" s="79" t="s">
        <v>68</v>
      </c>
      <c r="P854" s="27"/>
      <c r="Q854" s="27"/>
      <c r="R854" s="83"/>
      <c r="S854" s="6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>
      <c r="A855" s="2"/>
      <c r="B855" s="79" t="s">
        <v>70</v>
      </c>
      <c r="P855" s="27"/>
      <c r="Q855" s="27"/>
      <c r="R855" s="83"/>
      <c r="S855" s="6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>
      <c r="A856" s="2"/>
      <c r="B856" s="8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5"/>
      <c r="S856" s="6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>
      <c r="A857" s="2"/>
      <c r="B857" s="8"/>
      <c r="C857" s="6"/>
      <c r="D857" s="6"/>
      <c r="E857" s="6"/>
      <c r="F857" s="6"/>
      <c r="G857" s="6"/>
      <c r="H857" s="6"/>
      <c r="I857" s="6"/>
      <c r="J857" s="6"/>
      <c r="K857" s="19" t="s">
        <v>71</v>
      </c>
      <c r="L857" s="6"/>
      <c r="M857" s="6"/>
      <c r="N857" s="6"/>
      <c r="O857" s="6"/>
      <c r="P857" s="9" t="s">
        <v>72</v>
      </c>
      <c r="R857" s="10"/>
      <c r="S857" s="6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>
      <c r="A858" s="2"/>
      <c r="B858" s="88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89"/>
      <c r="S858" s="6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>
      <c r="A859" s="2"/>
      <c r="B859" s="139"/>
      <c r="C859" s="139"/>
      <c r="D859" s="139"/>
      <c r="E859" s="139"/>
      <c r="F859" s="139"/>
      <c r="G859" s="139"/>
      <c r="H859" s="139"/>
      <c r="I859" s="139"/>
      <c r="J859" s="139"/>
      <c r="K859" s="139"/>
      <c r="L859" s="139"/>
      <c r="M859" s="139"/>
      <c r="N859" s="139"/>
      <c r="O859" s="139"/>
      <c r="P859" s="139"/>
      <c r="Q859" s="139"/>
      <c r="R859" s="139"/>
      <c r="S859" s="6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>
      <c r="A860" s="2"/>
      <c r="B860" s="139"/>
      <c r="C860" s="139"/>
      <c r="D860" s="139"/>
      <c r="E860" s="139"/>
      <c r="F860" s="139"/>
      <c r="G860" s="139"/>
      <c r="H860" s="139"/>
      <c r="I860" s="139"/>
      <c r="J860" s="139"/>
      <c r="K860" s="139"/>
      <c r="L860" s="139"/>
      <c r="M860" s="139"/>
      <c r="N860" s="139"/>
      <c r="O860" s="139"/>
      <c r="P860" s="139"/>
      <c r="Q860" s="139"/>
      <c r="R860" s="139"/>
      <c r="S860" s="6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>
      <c r="A861" s="2"/>
      <c r="B861" s="139"/>
      <c r="C861" s="139"/>
      <c r="D861" s="139"/>
      <c r="E861" s="139"/>
      <c r="F861" s="139"/>
      <c r="G861" s="139"/>
      <c r="H861" s="139"/>
      <c r="I861" s="139"/>
      <c r="J861" s="139"/>
      <c r="K861" s="139"/>
      <c r="L861" s="139"/>
      <c r="M861" s="139"/>
      <c r="N861" s="139"/>
      <c r="O861" s="139"/>
      <c r="P861" s="139"/>
      <c r="Q861" s="139"/>
      <c r="R861" s="139"/>
      <c r="S861" s="6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>
      <c r="A862" s="2"/>
      <c r="B862" s="3" t="s">
        <v>1</v>
      </c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5"/>
      <c r="S862" s="6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>
      <c r="A863" s="2"/>
      <c r="B863" s="8"/>
      <c r="F863" s="9"/>
      <c r="G863" s="9"/>
      <c r="H863" s="9"/>
      <c r="I863" s="9"/>
      <c r="J863" s="9" t="s">
        <v>2</v>
      </c>
      <c r="N863" s="6"/>
      <c r="R863" s="10"/>
      <c r="S863" s="6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>
      <c r="A864" s="2"/>
      <c r="B864" s="13"/>
      <c r="F864" s="9"/>
      <c r="G864" s="9"/>
      <c r="H864" s="9"/>
      <c r="I864" s="9"/>
      <c r="J864" s="9" t="s">
        <v>3</v>
      </c>
      <c r="N864" s="6"/>
      <c r="R864" s="10"/>
      <c r="S864" s="6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>
      <c r="A865" s="2"/>
      <c r="B865" s="13" t="s">
        <v>4</v>
      </c>
      <c r="R865" s="10"/>
      <c r="S865" s="6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>
      <c r="A866" s="2"/>
      <c r="B866" s="16" t="s">
        <v>5</v>
      </c>
      <c r="C866" s="17" t="s">
        <v>6</v>
      </c>
      <c r="D866" s="4"/>
      <c r="E866" s="4"/>
      <c r="F866" s="4"/>
      <c r="G866" s="4"/>
      <c r="H866" s="4"/>
      <c r="I866" s="4"/>
      <c r="J866" s="4"/>
      <c r="K866" s="5"/>
      <c r="L866" s="18" t="s">
        <v>7</v>
      </c>
      <c r="M866" s="19">
        <v>38.0</v>
      </c>
      <c r="N866" s="20"/>
      <c r="O866" s="4"/>
      <c r="P866" s="4"/>
      <c r="Q866" s="4"/>
      <c r="R866" s="5"/>
      <c r="S866" s="6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>
      <c r="A867" s="2"/>
      <c r="B867" s="26"/>
      <c r="C867" s="27" t="s">
        <v>8</v>
      </c>
      <c r="K867" s="10"/>
      <c r="L867" s="18" t="s">
        <v>9</v>
      </c>
      <c r="M867" s="175">
        <v>46117.0</v>
      </c>
      <c r="N867" s="6"/>
      <c r="R867" s="10"/>
      <c r="S867" s="6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>
      <c r="A868" s="2"/>
      <c r="B868" s="16" t="s">
        <v>11</v>
      </c>
      <c r="C868" s="30" t="s">
        <v>12</v>
      </c>
      <c r="D868" s="31"/>
      <c r="E868" s="31"/>
      <c r="F868" s="31"/>
      <c r="G868" s="31"/>
      <c r="H868" s="31"/>
      <c r="I868" s="31"/>
      <c r="J868" s="31"/>
      <c r="K868" s="32"/>
      <c r="L868" s="18" t="s">
        <v>13</v>
      </c>
      <c r="M868" s="33" t="s">
        <v>14</v>
      </c>
      <c r="N868" s="34"/>
      <c r="O868" s="31"/>
      <c r="P868" s="31"/>
      <c r="Q868" s="31"/>
      <c r="R868" s="32"/>
      <c r="S868" s="6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>
      <c r="A869" s="2"/>
      <c r="B869" s="8"/>
      <c r="R869" s="10"/>
      <c r="S869" s="6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>
      <c r="A870" s="2"/>
      <c r="B870" s="39" t="s">
        <v>15</v>
      </c>
      <c r="C870" s="40" t="s">
        <v>16</v>
      </c>
      <c r="D870" s="41" t="s">
        <v>17</v>
      </c>
      <c r="E870" s="41" t="s">
        <v>18</v>
      </c>
      <c r="F870" s="42" t="s">
        <v>19</v>
      </c>
      <c r="G870" s="43"/>
      <c r="H870" s="43"/>
      <c r="I870" s="43"/>
      <c r="J870" s="44"/>
      <c r="K870" s="41" t="s">
        <v>20</v>
      </c>
      <c r="L870" s="41" t="s">
        <v>21</v>
      </c>
      <c r="M870" s="41" t="s">
        <v>22</v>
      </c>
      <c r="N870" s="41" t="s">
        <v>23</v>
      </c>
      <c r="O870" s="41" t="s">
        <v>24</v>
      </c>
      <c r="P870" s="41" t="s">
        <v>25</v>
      </c>
      <c r="Q870" s="41" t="s">
        <v>26</v>
      </c>
      <c r="R870" s="45" t="s">
        <v>27</v>
      </c>
      <c r="S870" s="6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>
      <c r="A871" s="2"/>
      <c r="B871" s="156">
        <v>1.0</v>
      </c>
      <c r="C871" s="53">
        <v>1.004652476E9</v>
      </c>
      <c r="D871" s="53" t="s">
        <v>137</v>
      </c>
      <c r="E871" s="53" t="s">
        <v>35</v>
      </c>
      <c r="F871" s="53" t="s">
        <v>36</v>
      </c>
      <c r="G871" s="53" t="s">
        <v>40</v>
      </c>
      <c r="H871" s="53" t="s">
        <v>37</v>
      </c>
      <c r="I871" s="55"/>
      <c r="J871" s="55"/>
      <c r="K871" s="53" t="s">
        <v>38</v>
      </c>
      <c r="L871" s="53" t="s">
        <v>96</v>
      </c>
      <c r="M871" s="53">
        <v>3768.0</v>
      </c>
      <c r="N871" s="53">
        <v>200.0</v>
      </c>
      <c r="O871" s="53">
        <v>19.28</v>
      </c>
      <c r="P871" s="55">
        <f t="shared" ref="P871:P880" si="42">N871*O871</f>
        <v>3856</v>
      </c>
      <c r="Q871" s="53"/>
      <c r="R871" s="105">
        <f t="shared" ref="R871:R880" si="43">P871+Q871</f>
        <v>3856</v>
      </c>
      <c r="S871" s="6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>
      <c r="A872" s="2"/>
      <c r="B872" s="156">
        <v>2.0</v>
      </c>
      <c r="C872" s="53">
        <v>1.004652516E9</v>
      </c>
      <c r="D872" s="53" t="s">
        <v>137</v>
      </c>
      <c r="E872" s="53" t="s">
        <v>47</v>
      </c>
      <c r="F872" s="53" t="s">
        <v>44</v>
      </c>
      <c r="G872" s="53" t="s">
        <v>48</v>
      </c>
      <c r="H872" s="53" t="s">
        <v>49</v>
      </c>
      <c r="I872" s="55"/>
      <c r="J872" s="55"/>
      <c r="K872" s="53" t="s">
        <v>45</v>
      </c>
      <c r="L872" s="53" t="s">
        <v>98</v>
      </c>
      <c r="M872" s="53">
        <v>1655.0</v>
      </c>
      <c r="N872" s="53">
        <v>250.0</v>
      </c>
      <c r="O872" s="53">
        <v>15.53</v>
      </c>
      <c r="P872" s="55">
        <f t="shared" si="42"/>
        <v>3882.5</v>
      </c>
      <c r="Q872" s="55"/>
      <c r="R872" s="105">
        <f t="shared" si="43"/>
        <v>3882.5</v>
      </c>
      <c r="S872" s="6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>
      <c r="A873" s="2"/>
      <c r="B873" s="156">
        <v>3.0</v>
      </c>
      <c r="C873" s="53">
        <v>1.004652693E9</v>
      </c>
      <c r="D873" s="53" t="s">
        <v>137</v>
      </c>
      <c r="E873" s="53" t="s">
        <v>82</v>
      </c>
      <c r="F873" s="53" t="s">
        <v>83</v>
      </c>
      <c r="G873" s="53"/>
      <c r="H873" s="55"/>
      <c r="I873" s="55"/>
      <c r="J873" s="55"/>
      <c r="K873" s="53" t="s">
        <v>38</v>
      </c>
      <c r="L873" s="53" t="s">
        <v>124</v>
      </c>
      <c r="M873" s="53">
        <v>3380.0</v>
      </c>
      <c r="N873" s="53">
        <v>122.0</v>
      </c>
      <c r="O873" s="53">
        <v>19.28</v>
      </c>
      <c r="P873" s="55">
        <f t="shared" si="42"/>
        <v>2352.16</v>
      </c>
      <c r="Q873" s="55"/>
      <c r="R873" s="105">
        <f t="shared" si="43"/>
        <v>2352.16</v>
      </c>
      <c r="S873" s="6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>
      <c r="A874" s="2"/>
      <c r="B874" s="156">
        <v>4.0</v>
      </c>
      <c r="C874" s="53">
        <v>1.004653005E9</v>
      </c>
      <c r="D874" s="53" t="s">
        <v>137</v>
      </c>
      <c r="E874" s="53" t="s">
        <v>77</v>
      </c>
      <c r="F874" s="53" t="s">
        <v>116</v>
      </c>
      <c r="G874" s="53" t="s">
        <v>78</v>
      </c>
      <c r="H874" s="53" t="s">
        <v>79</v>
      </c>
      <c r="I874" s="53" t="s">
        <v>128</v>
      </c>
      <c r="J874" s="55"/>
      <c r="K874" s="53" t="s">
        <v>38</v>
      </c>
      <c r="L874" s="53" t="s">
        <v>81</v>
      </c>
      <c r="M874" s="53">
        <v>3568.0</v>
      </c>
      <c r="N874" s="53">
        <v>462.0</v>
      </c>
      <c r="O874" s="53">
        <v>19.28</v>
      </c>
      <c r="P874" s="55">
        <f t="shared" si="42"/>
        <v>8907.36</v>
      </c>
      <c r="Q874" s="53">
        <v>505.0</v>
      </c>
      <c r="R874" s="105">
        <f t="shared" si="43"/>
        <v>9412.36</v>
      </c>
      <c r="S874" s="6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>
      <c r="A875" s="2"/>
      <c r="B875" s="156">
        <v>5.0</v>
      </c>
      <c r="C875" s="53">
        <v>1.004653024E9</v>
      </c>
      <c r="D875" s="53" t="s">
        <v>137</v>
      </c>
      <c r="E875" s="53" t="s">
        <v>77</v>
      </c>
      <c r="F875" s="53" t="s">
        <v>78</v>
      </c>
      <c r="G875" s="53"/>
      <c r="H875" s="55"/>
      <c r="I875" s="55"/>
      <c r="J875" s="55"/>
      <c r="K875" s="53" t="s">
        <v>80</v>
      </c>
      <c r="L875" s="53" t="s">
        <v>63</v>
      </c>
      <c r="M875" s="53">
        <v>2447.0</v>
      </c>
      <c r="N875" s="53">
        <v>266.0</v>
      </c>
      <c r="O875" s="53">
        <v>18.28</v>
      </c>
      <c r="P875" s="55">
        <f t="shared" si="42"/>
        <v>4862.48</v>
      </c>
      <c r="Q875" s="55"/>
      <c r="R875" s="105">
        <f t="shared" si="43"/>
        <v>4862.48</v>
      </c>
      <c r="S875" s="6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>
      <c r="A876" s="2"/>
      <c r="B876" s="156">
        <v>6.0</v>
      </c>
      <c r="C876" s="53">
        <v>1.004653068E9</v>
      </c>
      <c r="D876" s="53" t="s">
        <v>137</v>
      </c>
      <c r="E876" s="53" t="s">
        <v>51</v>
      </c>
      <c r="F876" s="53" t="s">
        <v>44</v>
      </c>
      <c r="G876" s="55"/>
      <c r="H876" s="55"/>
      <c r="I876" s="55"/>
      <c r="J876" s="55"/>
      <c r="K876" s="53" t="s">
        <v>45</v>
      </c>
      <c r="L876" s="53" t="s">
        <v>50</v>
      </c>
      <c r="M876" s="53">
        <v>1509.0</v>
      </c>
      <c r="N876" s="53">
        <v>230.0</v>
      </c>
      <c r="O876" s="53">
        <v>15.53</v>
      </c>
      <c r="P876" s="55">
        <f t="shared" si="42"/>
        <v>3571.9</v>
      </c>
      <c r="Q876" s="55"/>
      <c r="R876" s="105">
        <f t="shared" si="43"/>
        <v>3571.9</v>
      </c>
      <c r="S876" s="6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>
      <c r="A877" s="2"/>
      <c r="B877" s="156">
        <v>7.0</v>
      </c>
      <c r="C877" s="53">
        <v>1.004653492E9</v>
      </c>
      <c r="D877" s="53" t="s">
        <v>137</v>
      </c>
      <c r="E877" s="53" t="s">
        <v>51</v>
      </c>
      <c r="F877" s="53" t="s">
        <v>44</v>
      </c>
      <c r="G877" s="53" t="s">
        <v>49</v>
      </c>
      <c r="H877" s="53"/>
      <c r="I877" s="55"/>
      <c r="J877" s="55"/>
      <c r="K877" s="53" t="s">
        <v>45</v>
      </c>
      <c r="L877" s="53" t="s">
        <v>52</v>
      </c>
      <c r="M877" s="53">
        <v>1759.0</v>
      </c>
      <c r="N877" s="53">
        <v>230.0</v>
      </c>
      <c r="O877" s="53">
        <v>15.53</v>
      </c>
      <c r="P877" s="55">
        <f t="shared" si="42"/>
        <v>3571.9</v>
      </c>
      <c r="Q877" s="55"/>
      <c r="R877" s="105">
        <f t="shared" si="43"/>
        <v>3571.9</v>
      </c>
      <c r="S877" s="6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>
      <c r="A878" s="2"/>
      <c r="B878" s="156">
        <v>8.0</v>
      </c>
      <c r="C878" s="53">
        <v>1.004653485E9</v>
      </c>
      <c r="D878" s="53" t="s">
        <v>137</v>
      </c>
      <c r="E878" s="53" t="s">
        <v>51</v>
      </c>
      <c r="F878" s="53" t="s">
        <v>44</v>
      </c>
      <c r="G878" s="53"/>
      <c r="H878" s="53"/>
      <c r="I878" s="55"/>
      <c r="J878" s="55"/>
      <c r="K878" s="53" t="s">
        <v>45</v>
      </c>
      <c r="L878" s="53" t="s">
        <v>99</v>
      </c>
      <c r="M878" s="53">
        <v>1857.0</v>
      </c>
      <c r="N878" s="53">
        <v>230.0</v>
      </c>
      <c r="O878" s="53">
        <v>15.53</v>
      </c>
      <c r="P878" s="55">
        <f t="shared" si="42"/>
        <v>3571.9</v>
      </c>
      <c r="Q878" s="55"/>
      <c r="R878" s="105">
        <f t="shared" si="43"/>
        <v>3571.9</v>
      </c>
      <c r="S878" s="6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>
      <c r="A879" s="2"/>
      <c r="B879" s="156">
        <v>9.0</v>
      </c>
      <c r="C879" s="53">
        <v>1.004653882E9</v>
      </c>
      <c r="D879" s="53" t="s">
        <v>137</v>
      </c>
      <c r="E879" s="53" t="s">
        <v>82</v>
      </c>
      <c r="F879" s="53" t="s">
        <v>88</v>
      </c>
      <c r="G879" s="53" t="s">
        <v>84</v>
      </c>
      <c r="H879" s="53" t="s">
        <v>87</v>
      </c>
      <c r="I879" s="55"/>
      <c r="J879" s="55"/>
      <c r="K879" s="53" t="s">
        <v>33</v>
      </c>
      <c r="L879" s="53" t="s">
        <v>89</v>
      </c>
      <c r="M879" s="53">
        <v>2034.0</v>
      </c>
      <c r="N879" s="53">
        <v>484.0</v>
      </c>
      <c r="O879" s="53">
        <v>15.53</v>
      </c>
      <c r="P879" s="55">
        <f t="shared" si="42"/>
        <v>7516.52</v>
      </c>
      <c r="Q879" s="53">
        <v>930.0</v>
      </c>
      <c r="R879" s="105">
        <f t="shared" si="43"/>
        <v>8446.52</v>
      </c>
      <c r="S879" s="6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>
      <c r="A880" s="2"/>
      <c r="B880" s="156">
        <v>10.0</v>
      </c>
      <c r="C880" s="53">
        <v>1.004653588E9</v>
      </c>
      <c r="D880" s="53" t="s">
        <v>137</v>
      </c>
      <c r="E880" s="53" t="s">
        <v>106</v>
      </c>
      <c r="F880" s="53" t="s">
        <v>109</v>
      </c>
      <c r="G880" s="53" t="s">
        <v>107</v>
      </c>
      <c r="H880" s="53" t="s">
        <v>108</v>
      </c>
      <c r="I880" s="55"/>
      <c r="J880" s="55"/>
      <c r="K880" s="53" t="s">
        <v>33</v>
      </c>
      <c r="L880" s="53" t="s">
        <v>118</v>
      </c>
      <c r="M880" s="53">
        <v>1844.0</v>
      </c>
      <c r="N880" s="53">
        <v>482.0</v>
      </c>
      <c r="O880" s="53">
        <v>15.53</v>
      </c>
      <c r="P880" s="55">
        <f t="shared" si="42"/>
        <v>7485.46</v>
      </c>
      <c r="Q880" s="53">
        <v>1055.0</v>
      </c>
      <c r="R880" s="105">
        <f t="shared" si="43"/>
        <v>8540.46</v>
      </c>
      <c r="S880" s="6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>
      <c r="A881" s="2"/>
      <c r="B881" s="8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5"/>
      <c r="S881" s="6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>
      <c r="A882" s="2"/>
      <c r="B882" s="67" t="s">
        <v>64</v>
      </c>
      <c r="C882" s="68"/>
      <c r="D882" s="69" t="str">
        <f>MONEYTEXT(R882, "INR")</f>
        <v>Fifty-two thousand and sixty-eight Indian rupees and eighteen paise</v>
      </c>
      <c r="E882" s="68"/>
      <c r="F882" s="68"/>
      <c r="G882" s="68"/>
      <c r="H882" s="68"/>
      <c r="I882" s="68"/>
      <c r="J882" s="68"/>
      <c r="K882" s="68"/>
      <c r="L882" s="68"/>
      <c r="M882" s="68"/>
      <c r="N882" s="70" t="s">
        <v>65</v>
      </c>
      <c r="O882" s="4"/>
      <c r="P882" s="96">
        <f t="shared" ref="P882:R882" si="44">SUM(P871:P880)</f>
        <v>49578.18</v>
      </c>
      <c r="Q882" s="96">
        <f t="shared" si="44"/>
        <v>2490</v>
      </c>
      <c r="R882" s="96">
        <f t="shared" si="44"/>
        <v>52068.18</v>
      </c>
      <c r="S882" s="6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>
      <c r="A883" s="2"/>
      <c r="B883" s="67" t="s">
        <v>66</v>
      </c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76"/>
      <c r="P883" s="97" t="s">
        <v>67</v>
      </c>
      <c r="Q883" s="31"/>
      <c r="R883" s="32"/>
      <c r="S883" s="6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>
      <c r="A884" s="2"/>
      <c r="B884" s="79" t="s">
        <v>68</v>
      </c>
      <c r="P884" s="27"/>
      <c r="Q884" s="27"/>
      <c r="R884" s="83"/>
      <c r="S884" s="6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>
      <c r="A885" s="2"/>
      <c r="B885" s="79" t="s">
        <v>70</v>
      </c>
      <c r="P885" s="27"/>
      <c r="Q885" s="27"/>
      <c r="R885" s="83"/>
      <c r="S885" s="6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>
      <c r="A886" s="2"/>
      <c r="B886" s="8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5"/>
      <c r="S886" s="6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>
      <c r="A887" s="2"/>
      <c r="B887" s="8"/>
      <c r="C887" s="6"/>
      <c r="D887" s="6"/>
      <c r="E887" s="6"/>
      <c r="F887" s="6"/>
      <c r="G887" s="6"/>
      <c r="H887" s="6"/>
      <c r="I887" s="6"/>
      <c r="J887" s="6"/>
      <c r="K887" s="19" t="s">
        <v>71</v>
      </c>
      <c r="L887" s="6"/>
      <c r="M887" s="6"/>
      <c r="N887" s="6"/>
      <c r="O887" s="6"/>
      <c r="P887" s="9" t="s">
        <v>72</v>
      </c>
      <c r="R887" s="10"/>
      <c r="S887" s="6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>
      <c r="A888" s="2"/>
      <c r="B888" s="88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89"/>
      <c r="S888" s="6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>
      <c r="A889" s="2"/>
      <c r="B889" s="139"/>
      <c r="C889" s="139"/>
      <c r="D889" s="139"/>
      <c r="E889" s="139"/>
      <c r="F889" s="139"/>
      <c r="G889" s="139"/>
      <c r="H889" s="139"/>
      <c r="I889" s="139"/>
      <c r="J889" s="139"/>
      <c r="K889" s="139"/>
      <c r="L889" s="139"/>
      <c r="M889" s="139"/>
      <c r="N889" s="139"/>
      <c r="O889" s="139"/>
      <c r="P889" s="139"/>
      <c r="Q889" s="139"/>
      <c r="R889" s="139"/>
      <c r="S889" s="6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>
      <c r="A890" s="2"/>
      <c r="B890" s="139"/>
      <c r="C890" s="139"/>
      <c r="D890" s="139"/>
      <c r="E890" s="139"/>
      <c r="F890" s="139"/>
      <c r="G890" s="139"/>
      <c r="H890" s="139"/>
      <c r="I890" s="139"/>
      <c r="J890" s="139"/>
      <c r="K890" s="139"/>
      <c r="L890" s="139"/>
      <c r="M890" s="139"/>
      <c r="N890" s="139"/>
      <c r="O890" s="139"/>
      <c r="P890" s="139"/>
      <c r="Q890" s="139"/>
      <c r="R890" s="139"/>
      <c r="S890" s="6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>
      <c r="A891" s="2"/>
      <c r="B891" s="139"/>
      <c r="C891" s="139"/>
      <c r="D891" s="139"/>
      <c r="E891" s="139"/>
      <c r="F891" s="139"/>
      <c r="G891" s="139"/>
      <c r="H891" s="139"/>
      <c r="I891" s="139"/>
      <c r="J891" s="139"/>
      <c r="K891" s="139"/>
      <c r="L891" s="139"/>
      <c r="M891" s="139"/>
      <c r="N891" s="139"/>
      <c r="O891" s="139"/>
      <c r="P891" s="139"/>
      <c r="Q891" s="139"/>
      <c r="R891" s="139"/>
      <c r="S891" s="6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>
      <c r="A892" s="2"/>
      <c r="B892" s="3" t="s">
        <v>1</v>
      </c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5"/>
      <c r="S892" s="6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>
      <c r="A893" s="2"/>
      <c r="B893" s="8"/>
      <c r="F893" s="9"/>
      <c r="G893" s="9"/>
      <c r="H893" s="9"/>
      <c r="I893" s="9"/>
      <c r="J893" s="9" t="s">
        <v>2</v>
      </c>
      <c r="N893" s="6"/>
      <c r="R893" s="10"/>
      <c r="S893" s="6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>
      <c r="A894" s="2"/>
      <c r="B894" s="13"/>
      <c r="F894" s="9"/>
      <c r="G894" s="9"/>
      <c r="H894" s="9"/>
      <c r="I894" s="9"/>
      <c r="J894" s="9" t="s">
        <v>3</v>
      </c>
      <c r="N894" s="6"/>
      <c r="R894" s="10"/>
      <c r="S894" s="6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>
      <c r="A895" s="2"/>
      <c r="B895" s="13" t="s">
        <v>4</v>
      </c>
      <c r="R895" s="10"/>
      <c r="S895" s="6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>
      <c r="A896" s="2"/>
      <c r="B896" s="16" t="s">
        <v>5</v>
      </c>
      <c r="C896" s="17" t="s">
        <v>6</v>
      </c>
      <c r="D896" s="4"/>
      <c r="E896" s="4"/>
      <c r="F896" s="4"/>
      <c r="G896" s="4"/>
      <c r="H896" s="4"/>
      <c r="I896" s="4"/>
      <c r="J896" s="4"/>
      <c r="K896" s="5"/>
      <c r="L896" s="18" t="s">
        <v>7</v>
      </c>
      <c r="M896" s="19">
        <v>39.0</v>
      </c>
      <c r="N896" s="20"/>
      <c r="O896" s="4"/>
      <c r="P896" s="4"/>
      <c r="Q896" s="4"/>
      <c r="R896" s="5"/>
      <c r="S896" s="6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>
      <c r="A897" s="2"/>
      <c r="B897" s="26"/>
      <c r="C897" s="27" t="s">
        <v>8</v>
      </c>
      <c r="K897" s="10"/>
      <c r="L897" s="18" t="s">
        <v>9</v>
      </c>
      <c r="M897" s="175">
        <v>46117.0</v>
      </c>
      <c r="N897" s="6"/>
      <c r="R897" s="10"/>
      <c r="S897" s="6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>
      <c r="A898" s="2"/>
      <c r="B898" s="16" t="s">
        <v>11</v>
      </c>
      <c r="C898" s="30" t="s">
        <v>12</v>
      </c>
      <c r="D898" s="31"/>
      <c r="E898" s="31"/>
      <c r="F898" s="31"/>
      <c r="G898" s="31"/>
      <c r="H898" s="31"/>
      <c r="I898" s="31"/>
      <c r="J898" s="31"/>
      <c r="K898" s="32"/>
      <c r="L898" s="18" t="s">
        <v>13</v>
      </c>
      <c r="M898" s="33" t="s">
        <v>14</v>
      </c>
      <c r="N898" s="34"/>
      <c r="O898" s="31"/>
      <c r="P898" s="31"/>
      <c r="Q898" s="31"/>
      <c r="R898" s="32"/>
      <c r="S898" s="6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>
      <c r="A899" s="2"/>
      <c r="B899" s="8"/>
      <c r="R899" s="10"/>
      <c r="S899" s="6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>
      <c r="A900" s="2"/>
      <c r="B900" s="39" t="s">
        <v>15</v>
      </c>
      <c r="C900" s="40" t="s">
        <v>16</v>
      </c>
      <c r="D900" s="41" t="s">
        <v>17</v>
      </c>
      <c r="E900" s="41" t="s">
        <v>18</v>
      </c>
      <c r="F900" s="42" t="s">
        <v>19</v>
      </c>
      <c r="G900" s="43"/>
      <c r="H900" s="43"/>
      <c r="I900" s="43"/>
      <c r="J900" s="44"/>
      <c r="K900" s="41" t="s">
        <v>20</v>
      </c>
      <c r="L900" s="41" t="s">
        <v>21</v>
      </c>
      <c r="M900" s="41" t="s">
        <v>22</v>
      </c>
      <c r="N900" s="41" t="s">
        <v>23</v>
      </c>
      <c r="O900" s="41" t="s">
        <v>24</v>
      </c>
      <c r="P900" s="41" t="s">
        <v>25</v>
      </c>
      <c r="Q900" s="41" t="s">
        <v>26</v>
      </c>
      <c r="R900" s="45" t="s">
        <v>27</v>
      </c>
      <c r="S900" s="6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>
      <c r="A901" s="2"/>
      <c r="B901" s="156">
        <v>1.0</v>
      </c>
      <c r="C901" s="53">
        <v>1.004653603E9</v>
      </c>
      <c r="D901" s="53" t="s">
        <v>137</v>
      </c>
      <c r="E901" s="53" t="s">
        <v>61</v>
      </c>
      <c r="F901" s="53" t="s">
        <v>74</v>
      </c>
      <c r="G901" s="53" t="s">
        <v>62</v>
      </c>
      <c r="H901" s="53" t="s">
        <v>75</v>
      </c>
      <c r="I901" s="53" t="s">
        <v>73</v>
      </c>
      <c r="J901" s="55"/>
      <c r="K901" s="53" t="s">
        <v>33</v>
      </c>
      <c r="L901" s="53" t="s">
        <v>76</v>
      </c>
      <c r="M901" s="53">
        <v>1806.0</v>
      </c>
      <c r="N901" s="53">
        <v>560.0</v>
      </c>
      <c r="O901" s="53">
        <v>15.53</v>
      </c>
      <c r="P901" s="55">
        <f t="shared" ref="P901:P910" si="45">N901*O901</f>
        <v>8696.8</v>
      </c>
      <c r="Q901" s="53">
        <v>1080.0</v>
      </c>
      <c r="R901" s="105">
        <f t="shared" ref="R901:R910" si="46">P901+Q901</f>
        <v>9776.8</v>
      </c>
      <c r="S901" s="6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>
      <c r="A902" s="2"/>
      <c r="B902" s="156">
        <v>2.0</v>
      </c>
      <c r="C902" s="53">
        <v>1.004654337E9</v>
      </c>
      <c r="D902" s="53" t="s">
        <v>139</v>
      </c>
      <c r="E902" s="53" t="s">
        <v>28</v>
      </c>
      <c r="F902" s="53" t="s">
        <v>29</v>
      </c>
      <c r="G902" s="53" t="s">
        <v>30</v>
      </c>
      <c r="H902" s="53" t="s">
        <v>31</v>
      </c>
      <c r="I902" s="53" t="s">
        <v>32</v>
      </c>
      <c r="J902" s="55"/>
      <c r="K902" s="53" t="s">
        <v>33</v>
      </c>
      <c r="L902" s="53" t="s">
        <v>34</v>
      </c>
      <c r="M902" s="53">
        <v>1591.0</v>
      </c>
      <c r="N902" s="53">
        <v>246.0</v>
      </c>
      <c r="O902" s="53">
        <v>15.53</v>
      </c>
      <c r="P902" s="55">
        <f t="shared" si="45"/>
        <v>3820.38</v>
      </c>
      <c r="Q902" s="53"/>
      <c r="R902" s="105">
        <f t="shared" si="46"/>
        <v>3820.38</v>
      </c>
      <c r="S902" s="6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>
      <c r="A903" s="2"/>
      <c r="B903" s="156">
        <v>3.0</v>
      </c>
      <c r="C903" s="53">
        <v>1.004654406E9</v>
      </c>
      <c r="D903" s="53" t="s">
        <v>139</v>
      </c>
      <c r="E903" s="53" t="s">
        <v>35</v>
      </c>
      <c r="F903" s="53" t="s">
        <v>36</v>
      </c>
      <c r="G903" s="53" t="s">
        <v>40</v>
      </c>
      <c r="H903" s="53" t="s">
        <v>37</v>
      </c>
      <c r="I903" s="53"/>
      <c r="J903" s="55"/>
      <c r="K903" s="53" t="s">
        <v>38</v>
      </c>
      <c r="L903" s="53" t="s">
        <v>96</v>
      </c>
      <c r="M903" s="53">
        <v>3480.0</v>
      </c>
      <c r="N903" s="53">
        <v>200.0</v>
      </c>
      <c r="O903" s="53">
        <v>19.28</v>
      </c>
      <c r="P903" s="55">
        <f t="shared" si="45"/>
        <v>3856</v>
      </c>
      <c r="Q903" s="53"/>
      <c r="R903" s="105">
        <f t="shared" si="46"/>
        <v>3856</v>
      </c>
      <c r="S903" s="6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>
      <c r="A904" s="2"/>
      <c r="B904" s="156">
        <v>4.0</v>
      </c>
      <c r="C904" s="53">
        <v>1.004654751E9</v>
      </c>
      <c r="D904" s="53" t="s">
        <v>139</v>
      </c>
      <c r="E904" s="53" t="s">
        <v>51</v>
      </c>
      <c r="F904" s="53" t="s">
        <v>44</v>
      </c>
      <c r="G904" s="53"/>
      <c r="H904" s="55"/>
      <c r="I904" s="55"/>
      <c r="J904" s="55"/>
      <c r="K904" s="53" t="s">
        <v>45</v>
      </c>
      <c r="L904" s="53" t="s">
        <v>98</v>
      </c>
      <c r="M904" s="53">
        <v>1426.0</v>
      </c>
      <c r="N904" s="53">
        <v>230.0</v>
      </c>
      <c r="O904" s="53">
        <v>15.53</v>
      </c>
      <c r="P904" s="55">
        <f t="shared" si="45"/>
        <v>3571.9</v>
      </c>
      <c r="Q904" s="55"/>
      <c r="R904" s="105">
        <f t="shared" si="46"/>
        <v>3571.9</v>
      </c>
      <c r="S904" s="6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>
      <c r="A905" s="2"/>
      <c r="B905" s="156">
        <v>5.0</v>
      </c>
      <c r="C905" s="53">
        <v>1.00465503E9</v>
      </c>
      <c r="D905" s="53" t="s">
        <v>139</v>
      </c>
      <c r="E905" s="53" t="s">
        <v>51</v>
      </c>
      <c r="F905" s="53" t="s">
        <v>44</v>
      </c>
      <c r="G905" s="53"/>
      <c r="H905" s="55"/>
      <c r="I905" s="55"/>
      <c r="J905" s="55"/>
      <c r="K905" s="53" t="s">
        <v>45</v>
      </c>
      <c r="L905" s="53" t="s">
        <v>99</v>
      </c>
      <c r="M905" s="53">
        <v>1482.0</v>
      </c>
      <c r="N905" s="53">
        <v>230.0</v>
      </c>
      <c r="O905" s="53">
        <v>15.53</v>
      </c>
      <c r="P905" s="55">
        <f t="shared" si="45"/>
        <v>3571.9</v>
      </c>
      <c r="Q905" s="55"/>
      <c r="R905" s="105">
        <f t="shared" si="46"/>
        <v>3571.9</v>
      </c>
      <c r="S905" s="6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>
      <c r="A906" s="2"/>
      <c r="B906" s="156">
        <v>6.0</v>
      </c>
      <c r="C906" s="53">
        <v>1.004655312E9</v>
      </c>
      <c r="D906" s="53" t="s">
        <v>139</v>
      </c>
      <c r="E906" s="53" t="s">
        <v>51</v>
      </c>
      <c r="F906" s="53" t="s">
        <v>44</v>
      </c>
      <c r="G906" s="53" t="s">
        <v>49</v>
      </c>
      <c r="H906" s="55"/>
      <c r="I906" s="55"/>
      <c r="J906" s="55"/>
      <c r="K906" s="53" t="s">
        <v>45</v>
      </c>
      <c r="L906" s="53" t="s">
        <v>50</v>
      </c>
      <c r="M906" s="53">
        <v>1625.0</v>
      </c>
      <c r="N906" s="53">
        <v>230.0</v>
      </c>
      <c r="O906" s="53">
        <v>15.53</v>
      </c>
      <c r="P906" s="55">
        <f t="shared" si="45"/>
        <v>3571.9</v>
      </c>
      <c r="Q906" s="55"/>
      <c r="R906" s="105">
        <f t="shared" si="46"/>
        <v>3571.9</v>
      </c>
      <c r="S906" s="6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>
      <c r="A907" s="2"/>
      <c r="B907" s="156">
        <v>7.0</v>
      </c>
      <c r="C907" s="53">
        <v>1.004655362E9</v>
      </c>
      <c r="D907" s="53" t="s">
        <v>139</v>
      </c>
      <c r="E907" s="53" t="s">
        <v>51</v>
      </c>
      <c r="F907" s="53" t="s">
        <v>44</v>
      </c>
      <c r="G907" s="53"/>
      <c r="H907" s="53"/>
      <c r="I907" s="55"/>
      <c r="J907" s="55"/>
      <c r="K907" s="53" t="s">
        <v>45</v>
      </c>
      <c r="L907" s="53" t="s">
        <v>52</v>
      </c>
      <c r="M907" s="53">
        <v>1404.0</v>
      </c>
      <c r="N907" s="53">
        <v>230.0</v>
      </c>
      <c r="O907" s="53">
        <v>15.53</v>
      </c>
      <c r="P907" s="55">
        <f t="shared" si="45"/>
        <v>3571.9</v>
      </c>
      <c r="Q907" s="55"/>
      <c r="R907" s="105">
        <f t="shared" si="46"/>
        <v>3571.9</v>
      </c>
      <c r="S907" s="6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>
      <c r="A908" s="2"/>
      <c r="B908" s="156">
        <v>8.0</v>
      </c>
      <c r="C908" s="53">
        <v>1.004655634E9</v>
      </c>
      <c r="D908" s="53" t="s">
        <v>139</v>
      </c>
      <c r="E908" s="53" t="s">
        <v>61</v>
      </c>
      <c r="F908" s="53" t="s">
        <v>73</v>
      </c>
      <c r="G908" s="53" t="s">
        <v>74</v>
      </c>
      <c r="H908" s="53" t="s">
        <v>62</v>
      </c>
      <c r="I908" s="55"/>
      <c r="J908" s="55"/>
      <c r="K908" s="53" t="s">
        <v>80</v>
      </c>
      <c r="L908" s="53" t="s">
        <v>76</v>
      </c>
      <c r="M908" s="53">
        <v>2230.0</v>
      </c>
      <c r="N908" s="53">
        <v>560.0</v>
      </c>
      <c r="O908" s="53">
        <v>18.28</v>
      </c>
      <c r="P908" s="55">
        <f t="shared" si="45"/>
        <v>10236.8</v>
      </c>
      <c r="Q908" s="53">
        <v>1085.0</v>
      </c>
      <c r="R908" s="105">
        <f t="shared" si="46"/>
        <v>11321.8</v>
      </c>
      <c r="S908" s="6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>
      <c r="A909" s="2"/>
      <c r="B909" s="156">
        <v>9.0</v>
      </c>
      <c r="C909" s="53">
        <v>1.004655683E9</v>
      </c>
      <c r="D909" s="53" t="s">
        <v>139</v>
      </c>
      <c r="E909" s="53" t="s">
        <v>55</v>
      </c>
      <c r="F909" s="53" t="s">
        <v>103</v>
      </c>
      <c r="G909" s="53" t="s">
        <v>56</v>
      </c>
      <c r="H909" s="53" t="s">
        <v>58</v>
      </c>
      <c r="I909" s="55"/>
      <c r="J909" s="55"/>
      <c r="K909" s="53" t="s">
        <v>38</v>
      </c>
      <c r="L909" s="53" t="s">
        <v>105</v>
      </c>
      <c r="M909" s="53">
        <v>3338.0</v>
      </c>
      <c r="N909" s="53">
        <v>572.0</v>
      </c>
      <c r="O909" s="53">
        <v>19.28</v>
      </c>
      <c r="P909" s="55">
        <f t="shared" si="45"/>
        <v>11028.16</v>
      </c>
      <c r="Q909" s="53">
        <v>330.0</v>
      </c>
      <c r="R909" s="105">
        <f t="shared" si="46"/>
        <v>11358.16</v>
      </c>
      <c r="S909" s="6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>
      <c r="A910" s="2"/>
      <c r="B910" s="156">
        <v>10.0</v>
      </c>
      <c r="C910" s="53">
        <v>1.004655687E9</v>
      </c>
      <c r="D910" s="53" t="s">
        <v>139</v>
      </c>
      <c r="E910" s="53" t="s">
        <v>55</v>
      </c>
      <c r="F910" s="53" t="s">
        <v>59</v>
      </c>
      <c r="G910" s="53" t="s">
        <v>57</v>
      </c>
      <c r="H910" s="53" t="s">
        <v>58</v>
      </c>
      <c r="I910" s="55"/>
      <c r="J910" s="55"/>
      <c r="K910" s="53" t="s">
        <v>33</v>
      </c>
      <c r="L910" s="53" t="s">
        <v>101</v>
      </c>
      <c r="M910" s="53">
        <v>1912.0</v>
      </c>
      <c r="N910" s="53">
        <v>518.0</v>
      </c>
      <c r="O910" s="53">
        <v>15.23</v>
      </c>
      <c r="P910" s="55">
        <f t="shared" si="45"/>
        <v>7889.14</v>
      </c>
      <c r="Q910" s="53"/>
      <c r="R910" s="105">
        <f t="shared" si="46"/>
        <v>7889.14</v>
      </c>
      <c r="S910" s="6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>
      <c r="A911" s="2"/>
      <c r="B911" s="8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5"/>
      <c r="S911" s="6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>
      <c r="A912" s="2"/>
      <c r="B912" s="67" t="s">
        <v>64</v>
      </c>
      <c r="C912" s="68"/>
      <c r="D912" s="69" t="str">
        <f>MONEYTEXT(R912, "INR")</f>
        <v/>
      </c>
      <c r="E912" s="68"/>
      <c r="F912" s="68"/>
      <c r="G912" s="68"/>
      <c r="H912" s="68"/>
      <c r="I912" s="68"/>
      <c r="J912" s="68"/>
      <c r="K912" s="68"/>
      <c r="L912" s="68"/>
      <c r="M912" s="68"/>
      <c r="N912" s="70" t="s">
        <v>65</v>
      </c>
      <c r="O912" s="4"/>
      <c r="P912" s="96">
        <f t="shared" ref="P912:R912" si="47">SUM(P901:P910)</f>
        <v>59814.88</v>
      </c>
      <c r="Q912" s="96">
        <f t="shared" si="47"/>
        <v>2495</v>
      </c>
      <c r="R912" s="96">
        <f t="shared" si="47"/>
        <v>62309.88</v>
      </c>
      <c r="S912" s="6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>
      <c r="A913" s="2"/>
      <c r="B913" s="67" t="s">
        <v>66</v>
      </c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76"/>
      <c r="P913" s="97" t="s">
        <v>67</v>
      </c>
      <c r="Q913" s="31"/>
      <c r="R913" s="32"/>
      <c r="S913" s="6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>
      <c r="A914" s="2"/>
      <c r="B914" s="79" t="s">
        <v>68</v>
      </c>
      <c r="P914" s="27"/>
      <c r="Q914" s="27"/>
      <c r="R914" s="83"/>
      <c r="S914" s="6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>
      <c r="A915" s="2"/>
      <c r="B915" s="79" t="s">
        <v>70</v>
      </c>
      <c r="P915" s="27"/>
      <c r="Q915" s="27"/>
      <c r="R915" s="83"/>
      <c r="S915" s="6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>
      <c r="A916" s="2"/>
      <c r="B916" s="8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5"/>
      <c r="S916" s="6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>
      <c r="A917" s="2"/>
      <c r="B917" s="8"/>
      <c r="C917" s="6"/>
      <c r="D917" s="6"/>
      <c r="E917" s="6"/>
      <c r="F917" s="6"/>
      <c r="G917" s="6"/>
      <c r="H917" s="6"/>
      <c r="I917" s="6"/>
      <c r="J917" s="6"/>
      <c r="K917" s="19" t="s">
        <v>71</v>
      </c>
      <c r="L917" s="6"/>
      <c r="M917" s="6"/>
      <c r="N917" s="6"/>
      <c r="O917" s="6"/>
      <c r="P917" s="9" t="s">
        <v>72</v>
      </c>
      <c r="R917" s="10"/>
      <c r="S917" s="6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>
      <c r="A918" s="2"/>
      <c r="B918" s="88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89"/>
      <c r="S918" s="6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>
      <c r="A919" s="2"/>
      <c r="B919" s="139"/>
      <c r="C919" s="139"/>
      <c r="D919" s="139"/>
      <c r="E919" s="139"/>
      <c r="F919" s="139"/>
      <c r="G919" s="139"/>
      <c r="H919" s="139"/>
      <c r="I919" s="139"/>
      <c r="J919" s="139"/>
      <c r="K919" s="139"/>
      <c r="L919" s="139"/>
      <c r="M919" s="139"/>
      <c r="N919" s="139"/>
      <c r="O919" s="139"/>
      <c r="P919" s="139"/>
      <c r="Q919" s="139"/>
      <c r="R919" s="139"/>
      <c r="S919" s="6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>
      <c r="A920" s="2"/>
      <c r="B920" s="139"/>
      <c r="C920" s="139"/>
      <c r="D920" s="139"/>
      <c r="E920" s="139"/>
      <c r="F920" s="139"/>
      <c r="G920" s="139"/>
      <c r="H920" s="139"/>
      <c r="I920" s="139"/>
      <c r="J920" s="139"/>
      <c r="K920" s="139"/>
      <c r="L920" s="139"/>
      <c r="M920" s="139"/>
      <c r="N920" s="139"/>
      <c r="O920" s="139"/>
      <c r="P920" s="139"/>
      <c r="Q920" s="139"/>
      <c r="R920" s="139"/>
      <c r="S920" s="6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>
      <c r="A921" s="2"/>
      <c r="B921" s="139"/>
      <c r="C921" s="139"/>
      <c r="D921" s="139"/>
      <c r="E921" s="139"/>
      <c r="F921" s="139"/>
      <c r="G921" s="139"/>
      <c r="H921" s="139"/>
      <c r="I921" s="139"/>
      <c r="J921" s="139"/>
      <c r="K921" s="139"/>
      <c r="L921" s="139"/>
      <c r="M921" s="139"/>
      <c r="N921" s="139"/>
      <c r="O921" s="139"/>
      <c r="P921" s="139"/>
      <c r="Q921" s="139"/>
      <c r="R921" s="139"/>
      <c r="S921" s="6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>
      <c r="A922" s="2"/>
      <c r="B922" s="3" t="s">
        <v>1</v>
      </c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5"/>
      <c r="S922" s="6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>
      <c r="A923" s="2"/>
      <c r="B923" s="8"/>
      <c r="F923" s="9"/>
      <c r="G923" s="9"/>
      <c r="H923" s="9"/>
      <c r="I923" s="9"/>
      <c r="J923" s="9" t="s">
        <v>2</v>
      </c>
      <c r="N923" s="6"/>
      <c r="R923" s="10"/>
      <c r="S923" s="6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>
      <c r="A924" s="2"/>
      <c r="B924" s="13"/>
      <c r="F924" s="9"/>
      <c r="G924" s="9"/>
      <c r="H924" s="9"/>
      <c r="I924" s="9"/>
      <c r="J924" s="9" t="s">
        <v>3</v>
      </c>
      <c r="N924" s="6"/>
      <c r="R924" s="10"/>
      <c r="S924" s="6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>
      <c r="A925" s="2"/>
      <c r="B925" s="13" t="s">
        <v>4</v>
      </c>
      <c r="R925" s="10"/>
      <c r="S925" s="6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>
      <c r="A926" s="2"/>
      <c r="B926" s="16" t="s">
        <v>5</v>
      </c>
      <c r="C926" s="17" t="s">
        <v>6</v>
      </c>
      <c r="D926" s="4"/>
      <c r="E926" s="4"/>
      <c r="F926" s="4"/>
      <c r="G926" s="4"/>
      <c r="H926" s="4"/>
      <c r="I926" s="4"/>
      <c r="J926" s="4"/>
      <c r="K926" s="5"/>
      <c r="L926" s="18" t="s">
        <v>7</v>
      </c>
      <c r="M926" s="19">
        <v>40.0</v>
      </c>
      <c r="N926" s="20"/>
      <c r="O926" s="4"/>
      <c r="P926" s="4"/>
      <c r="Q926" s="4"/>
      <c r="R926" s="5"/>
      <c r="S926" s="6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>
      <c r="A927" s="2"/>
      <c r="B927" s="26"/>
      <c r="C927" s="27" t="s">
        <v>8</v>
      </c>
      <c r="K927" s="10"/>
      <c r="L927" s="18" t="s">
        <v>9</v>
      </c>
      <c r="M927" s="175">
        <v>46117.0</v>
      </c>
      <c r="N927" s="6"/>
      <c r="R927" s="10"/>
      <c r="S927" s="6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>
      <c r="A928" s="2"/>
      <c r="B928" s="16" t="s">
        <v>11</v>
      </c>
      <c r="C928" s="30" t="s">
        <v>12</v>
      </c>
      <c r="D928" s="31"/>
      <c r="E928" s="31"/>
      <c r="F928" s="31"/>
      <c r="G928" s="31"/>
      <c r="H928" s="31"/>
      <c r="I928" s="31"/>
      <c r="J928" s="31"/>
      <c r="K928" s="32"/>
      <c r="L928" s="18" t="s">
        <v>13</v>
      </c>
      <c r="M928" s="33" t="s">
        <v>14</v>
      </c>
      <c r="N928" s="34"/>
      <c r="O928" s="31"/>
      <c r="P928" s="31"/>
      <c r="Q928" s="31"/>
      <c r="R928" s="32"/>
      <c r="S928" s="6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>
      <c r="A929" s="2"/>
      <c r="B929" s="8"/>
      <c r="R929" s="10"/>
      <c r="S929" s="6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>
      <c r="A930" s="2"/>
      <c r="B930" s="39" t="s">
        <v>15</v>
      </c>
      <c r="C930" s="40" t="s">
        <v>16</v>
      </c>
      <c r="D930" s="41" t="s">
        <v>17</v>
      </c>
      <c r="E930" s="41" t="s">
        <v>18</v>
      </c>
      <c r="F930" s="42" t="s">
        <v>19</v>
      </c>
      <c r="G930" s="43"/>
      <c r="H930" s="43"/>
      <c r="I930" s="43"/>
      <c r="J930" s="44"/>
      <c r="K930" s="41" t="s">
        <v>20</v>
      </c>
      <c r="L930" s="41" t="s">
        <v>21</v>
      </c>
      <c r="M930" s="41"/>
      <c r="N930" s="41" t="s">
        <v>23</v>
      </c>
      <c r="O930" s="41" t="s">
        <v>24</v>
      </c>
      <c r="P930" s="41" t="s">
        <v>25</v>
      </c>
      <c r="Q930" s="41" t="s">
        <v>26</v>
      </c>
      <c r="R930" s="45" t="s">
        <v>27</v>
      </c>
      <c r="S930" s="6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>
      <c r="A931" s="2"/>
      <c r="B931" s="156">
        <v>1.0</v>
      </c>
      <c r="C931" s="53">
        <v>1.004655832E9</v>
      </c>
      <c r="D931" s="53" t="s">
        <v>139</v>
      </c>
      <c r="E931" s="53" t="s">
        <v>82</v>
      </c>
      <c r="F931" s="53" t="s">
        <v>87</v>
      </c>
      <c r="G931" s="53" t="s">
        <v>86</v>
      </c>
      <c r="H931" s="53" t="s">
        <v>83</v>
      </c>
      <c r="I931" s="53" t="s">
        <v>84</v>
      </c>
      <c r="J931" s="53" t="s">
        <v>88</v>
      </c>
      <c r="K931" s="53" t="s">
        <v>38</v>
      </c>
      <c r="L931" s="53" t="s">
        <v>89</v>
      </c>
      <c r="M931" s="53">
        <v>3033.0</v>
      </c>
      <c r="N931" s="53">
        <v>484.0</v>
      </c>
      <c r="O931" s="53">
        <v>19.28</v>
      </c>
      <c r="P931" s="55">
        <f t="shared" ref="P931:P940" si="48">N931*O931</f>
        <v>9331.52</v>
      </c>
      <c r="Q931" s="53">
        <v>755.0</v>
      </c>
      <c r="R931" s="105">
        <f t="shared" ref="R931:R940" si="49">P931+Q931</f>
        <v>10086.52</v>
      </c>
      <c r="S931" s="6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>
      <c r="A932" s="2"/>
      <c r="B932" s="156">
        <v>2.0</v>
      </c>
      <c r="C932" s="53">
        <v>1.004655849E9</v>
      </c>
      <c r="D932" s="53" t="s">
        <v>139</v>
      </c>
      <c r="E932" s="53" t="s">
        <v>77</v>
      </c>
      <c r="F932" s="53" t="s">
        <v>78</v>
      </c>
      <c r="G932" s="53" t="s">
        <v>79</v>
      </c>
      <c r="H932" s="53"/>
      <c r="I932" s="55"/>
      <c r="J932" s="55"/>
      <c r="K932" s="53" t="s">
        <v>38</v>
      </c>
      <c r="L932" s="53" t="s">
        <v>81</v>
      </c>
      <c r="M932" s="53">
        <v>3397.0</v>
      </c>
      <c r="N932" s="53">
        <v>416.0</v>
      </c>
      <c r="O932" s="53">
        <v>19.28</v>
      </c>
      <c r="P932" s="55">
        <f t="shared" si="48"/>
        <v>8020.48</v>
      </c>
      <c r="Q932" s="53">
        <v>565.0</v>
      </c>
      <c r="R932" s="105">
        <f t="shared" si="49"/>
        <v>8585.48</v>
      </c>
      <c r="S932" s="6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>
      <c r="A933" s="2"/>
      <c r="B933" s="156">
        <v>3.0</v>
      </c>
      <c r="C933" s="53">
        <v>1.004656601E9</v>
      </c>
      <c r="D933" s="53" t="s">
        <v>140</v>
      </c>
      <c r="E933" s="53" t="s">
        <v>35</v>
      </c>
      <c r="F933" s="53" t="s">
        <v>36</v>
      </c>
      <c r="G933" s="53" t="s">
        <v>40</v>
      </c>
      <c r="H933" s="53" t="s">
        <v>37</v>
      </c>
      <c r="I933" s="55"/>
      <c r="J933" s="55"/>
      <c r="K933" s="53" t="s">
        <v>38</v>
      </c>
      <c r="L933" s="53" t="s">
        <v>96</v>
      </c>
      <c r="M933" s="53">
        <v>3107.0</v>
      </c>
      <c r="N933" s="53">
        <v>200.0</v>
      </c>
      <c r="O933" s="53">
        <v>19.28</v>
      </c>
      <c r="P933" s="55">
        <f t="shared" si="48"/>
        <v>3856</v>
      </c>
      <c r="Q933" s="55"/>
      <c r="R933" s="105">
        <f t="shared" si="49"/>
        <v>3856</v>
      </c>
      <c r="S933" s="6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>
      <c r="A934" s="2"/>
      <c r="B934" s="156">
        <v>4.0</v>
      </c>
      <c r="C934" s="53">
        <v>1.004656784E9</v>
      </c>
      <c r="D934" s="53" t="s">
        <v>140</v>
      </c>
      <c r="E934" s="53" t="s">
        <v>28</v>
      </c>
      <c r="F934" s="53" t="s">
        <v>29</v>
      </c>
      <c r="G934" s="53" t="s">
        <v>30</v>
      </c>
      <c r="H934" s="53" t="s">
        <v>31</v>
      </c>
      <c r="I934" s="55"/>
      <c r="J934" s="55"/>
      <c r="K934" s="53" t="s">
        <v>80</v>
      </c>
      <c r="L934" s="53" t="s">
        <v>34</v>
      </c>
      <c r="M934" s="53">
        <v>2430.0</v>
      </c>
      <c r="N934" s="53">
        <v>246.0</v>
      </c>
      <c r="O934" s="53">
        <v>18.28</v>
      </c>
      <c r="P934" s="55">
        <f t="shared" si="48"/>
        <v>4496.88</v>
      </c>
      <c r="Q934" s="55"/>
      <c r="R934" s="105">
        <f t="shared" si="49"/>
        <v>4496.88</v>
      </c>
      <c r="S934" s="6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>
      <c r="A935" s="2"/>
      <c r="B935" s="156">
        <v>5.0</v>
      </c>
      <c r="C935" s="53">
        <v>1.004656886E9</v>
      </c>
      <c r="D935" s="53" t="s">
        <v>140</v>
      </c>
      <c r="E935" s="53" t="s">
        <v>47</v>
      </c>
      <c r="F935" s="53" t="s">
        <v>44</v>
      </c>
      <c r="G935" s="53" t="s">
        <v>48</v>
      </c>
      <c r="H935" s="53" t="s">
        <v>49</v>
      </c>
      <c r="I935" s="55"/>
      <c r="J935" s="55"/>
      <c r="K935" s="53" t="s">
        <v>45</v>
      </c>
      <c r="L935" s="53" t="s">
        <v>98</v>
      </c>
      <c r="M935" s="53">
        <v>1491.0</v>
      </c>
      <c r="N935" s="53">
        <v>250.0</v>
      </c>
      <c r="O935" s="53">
        <v>15.53</v>
      </c>
      <c r="P935" s="55">
        <f t="shared" si="48"/>
        <v>3882.5</v>
      </c>
      <c r="Q935" s="55"/>
      <c r="R935" s="105">
        <f t="shared" si="49"/>
        <v>3882.5</v>
      </c>
      <c r="S935" s="6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>
      <c r="A936" s="2"/>
      <c r="B936" s="156">
        <v>6.0</v>
      </c>
      <c r="C936" s="53">
        <v>1.004656976E9</v>
      </c>
      <c r="D936" s="53" t="s">
        <v>140</v>
      </c>
      <c r="E936" s="53" t="s">
        <v>51</v>
      </c>
      <c r="F936" s="53" t="s">
        <v>44</v>
      </c>
      <c r="G936" s="53" t="s">
        <v>49</v>
      </c>
      <c r="H936" s="55"/>
      <c r="I936" s="55"/>
      <c r="J936" s="55"/>
      <c r="K936" s="53" t="s">
        <v>45</v>
      </c>
      <c r="L936" s="53" t="s">
        <v>50</v>
      </c>
      <c r="M936" s="53">
        <v>1395.0</v>
      </c>
      <c r="N936" s="53">
        <v>230.0</v>
      </c>
      <c r="O936" s="53">
        <v>15.53</v>
      </c>
      <c r="P936" s="55">
        <f t="shared" si="48"/>
        <v>3571.9</v>
      </c>
      <c r="Q936" s="55"/>
      <c r="R936" s="105">
        <f t="shared" si="49"/>
        <v>3571.9</v>
      </c>
      <c r="S936" s="6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>
      <c r="A937" s="2"/>
      <c r="B937" s="156">
        <v>7.0</v>
      </c>
      <c r="C937" s="53">
        <v>1.004657239E9</v>
      </c>
      <c r="D937" s="53" t="s">
        <v>140</v>
      </c>
      <c r="E937" s="53" t="s">
        <v>51</v>
      </c>
      <c r="F937" s="53" t="s">
        <v>44</v>
      </c>
      <c r="G937" s="53"/>
      <c r="H937" s="53"/>
      <c r="I937" s="55"/>
      <c r="J937" s="55"/>
      <c r="K937" s="53" t="s">
        <v>45</v>
      </c>
      <c r="L937" s="53" t="s">
        <v>54</v>
      </c>
      <c r="M937" s="53">
        <v>1576.0</v>
      </c>
      <c r="N937" s="53">
        <v>230.0</v>
      </c>
      <c r="O937" s="53">
        <v>15.53</v>
      </c>
      <c r="P937" s="55">
        <f t="shared" si="48"/>
        <v>3571.9</v>
      </c>
      <c r="Q937" s="55"/>
      <c r="R937" s="105">
        <f t="shared" si="49"/>
        <v>3571.9</v>
      </c>
      <c r="S937" s="6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>
      <c r="A938" s="2"/>
      <c r="B938" s="156">
        <v>8.0</v>
      </c>
      <c r="C938" s="53">
        <v>1.004657534E9</v>
      </c>
      <c r="D938" s="53" t="s">
        <v>140</v>
      </c>
      <c r="E938" s="53" t="s">
        <v>51</v>
      </c>
      <c r="F938" s="53" t="s">
        <v>44</v>
      </c>
      <c r="G938" s="53"/>
      <c r="H938" s="53"/>
      <c r="I938" s="55"/>
      <c r="J938" s="55"/>
      <c r="K938" s="53" t="s">
        <v>45</v>
      </c>
      <c r="L938" s="53" t="s">
        <v>52</v>
      </c>
      <c r="M938" s="53">
        <v>1495.0</v>
      </c>
      <c r="N938" s="53">
        <v>230.0</v>
      </c>
      <c r="O938" s="53">
        <v>15.53</v>
      </c>
      <c r="P938" s="55">
        <f t="shared" si="48"/>
        <v>3571.9</v>
      </c>
      <c r="Q938" s="55"/>
      <c r="R938" s="105">
        <f t="shared" si="49"/>
        <v>3571.9</v>
      </c>
      <c r="S938" s="6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>
      <c r="A939" s="2"/>
      <c r="B939" s="156">
        <v>9.0</v>
      </c>
      <c r="C939" s="53">
        <v>1.004657539E9</v>
      </c>
      <c r="D939" s="53" t="s">
        <v>140</v>
      </c>
      <c r="E939" s="53" t="s">
        <v>51</v>
      </c>
      <c r="F939" s="53" t="s">
        <v>44</v>
      </c>
      <c r="G939" s="55"/>
      <c r="H939" s="53"/>
      <c r="I939" s="55"/>
      <c r="J939" s="55"/>
      <c r="K939" s="53" t="s">
        <v>45</v>
      </c>
      <c r="L939" s="53" t="s">
        <v>53</v>
      </c>
      <c r="M939" s="53">
        <v>1438.0</v>
      </c>
      <c r="N939" s="53">
        <v>230.0</v>
      </c>
      <c r="O939" s="53">
        <v>15.53</v>
      </c>
      <c r="P939" s="55">
        <f t="shared" si="48"/>
        <v>3571.9</v>
      </c>
      <c r="Q939" s="53"/>
      <c r="R939" s="105">
        <f t="shared" si="49"/>
        <v>3571.9</v>
      </c>
      <c r="S939" s="6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>
      <c r="A940" s="12" t="s">
        <v>141</v>
      </c>
      <c r="B940" s="156">
        <v>10.0</v>
      </c>
      <c r="C940" s="53">
        <v>1.00465767E9</v>
      </c>
      <c r="D940" s="53" t="s">
        <v>140</v>
      </c>
      <c r="E940" s="53" t="s">
        <v>106</v>
      </c>
      <c r="F940" s="53" t="s">
        <v>108</v>
      </c>
      <c r="G940" s="53" t="s">
        <v>107</v>
      </c>
      <c r="H940" s="53" t="s">
        <v>109</v>
      </c>
      <c r="I940" s="55"/>
      <c r="J940" s="55"/>
      <c r="K940" s="53" t="s">
        <v>38</v>
      </c>
      <c r="L940" s="53" t="s">
        <v>110</v>
      </c>
      <c r="M940" s="53">
        <v>3741.0</v>
      </c>
      <c r="N940" s="53">
        <v>482.0</v>
      </c>
      <c r="O940" s="53">
        <v>19.28</v>
      </c>
      <c r="P940" s="55">
        <f t="shared" si="48"/>
        <v>9292.96</v>
      </c>
      <c r="Q940" s="53">
        <v>1025.0</v>
      </c>
      <c r="R940" s="105">
        <f t="shared" si="49"/>
        <v>10317.96</v>
      </c>
      <c r="S940" s="6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>
      <c r="A941" s="2"/>
      <c r="B941" s="8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5"/>
      <c r="S941" s="6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>
      <c r="A942" s="2"/>
      <c r="B942" s="67" t="s">
        <v>64</v>
      </c>
      <c r="C942" s="68"/>
      <c r="D942" s="69" t="str">
        <f>MONEYTEXT(R942, "INR")</f>
        <v>Fifty-five thousand five hundred twelve Indian rupees and ninety-four paise</v>
      </c>
      <c r="E942" s="68"/>
      <c r="F942" s="68"/>
      <c r="G942" s="68"/>
      <c r="H942" s="68"/>
      <c r="I942" s="68"/>
      <c r="J942" s="68"/>
      <c r="K942" s="68"/>
      <c r="L942" s="68"/>
      <c r="M942" s="68"/>
      <c r="N942" s="70" t="s">
        <v>65</v>
      </c>
      <c r="O942" s="4"/>
      <c r="P942" s="96">
        <f t="shared" ref="P942:R942" si="50">SUM(P931:P940)</f>
        <v>53167.94</v>
      </c>
      <c r="Q942" s="96">
        <f t="shared" si="50"/>
        <v>2345</v>
      </c>
      <c r="R942" s="96">
        <f t="shared" si="50"/>
        <v>55512.94</v>
      </c>
      <c r="S942" s="6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>
      <c r="A943" s="2"/>
      <c r="B943" s="67" t="s">
        <v>66</v>
      </c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76"/>
      <c r="P943" s="97" t="s">
        <v>67</v>
      </c>
      <c r="Q943" s="31"/>
      <c r="R943" s="32"/>
      <c r="S943" s="6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>
      <c r="A944" s="2"/>
      <c r="B944" s="79" t="s">
        <v>68</v>
      </c>
      <c r="P944" s="27"/>
      <c r="Q944" s="27"/>
      <c r="R944" s="83"/>
      <c r="S944" s="6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>
      <c r="A945" s="2"/>
      <c r="B945" s="79" t="s">
        <v>70</v>
      </c>
      <c r="P945" s="27"/>
      <c r="Q945" s="27"/>
      <c r="R945" s="83"/>
      <c r="S945" s="6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>
      <c r="A946" s="2"/>
      <c r="B946" s="8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5"/>
      <c r="S946" s="6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>
      <c r="A947" s="2"/>
      <c r="B947" s="8"/>
      <c r="C947" s="6"/>
      <c r="D947" s="6"/>
      <c r="E947" s="6"/>
      <c r="F947" s="6"/>
      <c r="G947" s="6"/>
      <c r="H947" s="6"/>
      <c r="I947" s="6"/>
      <c r="J947" s="6"/>
      <c r="K947" s="19" t="s">
        <v>71</v>
      </c>
      <c r="L947" s="6"/>
      <c r="M947" s="6"/>
      <c r="N947" s="6"/>
      <c r="O947" s="6"/>
      <c r="P947" s="9" t="s">
        <v>72</v>
      </c>
      <c r="R947" s="10"/>
      <c r="S947" s="6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>
      <c r="A948" s="2"/>
      <c r="B948" s="88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89"/>
      <c r="S948" s="6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>
      <c r="A949" s="2"/>
      <c r="B949" s="139"/>
      <c r="C949" s="139"/>
      <c r="D949" s="139"/>
      <c r="E949" s="139"/>
      <c r="F949" s="139"/>
      <c r="G949" s="139"/>
      <c r="H949" s="139"/>
      <c r="I949" s="139"/>
      <c r="J949" s="139"/>
      <c r="K949" s="139"/>
      <c r="L949" s="139"/>
      <c r="M949" s="139"/>
      <c r="N949" s="139"/>
      <c r="O949" s="139"/>
      <c r="P949" s="139"/>
      <c r="Q949" s="139"/>
      <c r="R949" s="139"/>
      <c r="S949" s="6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>
      <c r="A950" s="2"/>
      <c r="B950" s="139"/>
      <c r="C950" s="139"/>
      <c r="D950" s="139"/>
      <c r="E950" s="139"/>
      <c r="F950" s="139"/>
      <c r="G950" s="139"/>
      <c r="H950" s="139"/>
      <c r="I950" s="139"/>
      <c r="J950" s="139"/>
      <c r="K950" s="139"/>
      <c r="L950" s="139"/>
      <c r="M950" s="139"/>
      <c r="N950" s="139"/>
      <c r="O950" s="139"/>
      <c r="P950" s="139"/>
      <c r="Q950" s="139"/>
      <c r="R950" s="139"/>
      <c r="S950" s="6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>
      <c r="A951" s="2"/>
      <c r="B951" s="139"/>
      <c r="C951" s="139"/>
      <c r="D951" s="139"/>
      <c r="E951" s="139"/>
      <c r="F951" s="139"/>
      <c r="G951" s="139"/>
      <c r="H951" s="139"/>
      <c r="I951" s="139"/>
      <c r="J951" s="139"/>
      <c r="K951" s="139"/>
      <c r="L951" s="139"/>
      <c r="M951" s="139"/>
      <c r="N951" s="139"/>
      <c r="O951" s="139"/>
      <c r="P951" s="139"/>
      <c r="Q951" s="139"/>
      <c r="R951" s="139"/>
      <c r="S951" s="6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>
      <c r="A952" s="2"/>
      <c r="B952" s="3" t="s">
        <v>1</v>
      </c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5"/>
      <c r="S952" s="6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>
      <c r="A953" s="2"/>
      <c r="B953" s="8"/>
      <c r="F953" s="9"/>
      <c r="G953" s="9"/>
      <c r="H953" s="9"/>
      <c r="I953" s="9"/>
      <c r="J953" s="9" t="s">
        <v>2</v>
      </c>
      <c r="N953" s="6"/>
      <c r="R953" s="10"/>
      <c r="S953" s="6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>
      <c r="A954" s="2"/>
      <c r="B954" s="13"/>
      <c r="F954" s="9"/>
      <c r="G954" s="9"/>
      <c r="H954" s="9"/>
      <c r="I954" s="9"/>
      <c r="J954" s="9" t="s">
        <v>3</v>
      </c>
      <c r="N954" s="6"/>
      <c r="R954" s="10"/>
      <c r="S954" s="6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>
      <c r="A955" s="2"/>
      <c r="B955" s="13" t="s">
        <v>4</v>
      </c>
      <c r="R955" s="10"/>
      <c r="S955" s="6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>
      <c r="A956" s="2"/>
      <c r="B956" s="16" t="s">
        <v>5</v>
      </c>
      <c r="C956" s="17" t="s">
        <v>6</v>
      </c>
      <c r="D956" s="4"/>
      <c r="E956" s="4"/>
      <c r="F956" s="4"/>
      <c r="G956" s="4"/>
      <c r="H956" s="4"/>
      <c r="I956" s="4"/>
      <c r="J956" s="4"/>
      <c r="K956" s="5"/>
      <c r="L956" s="18" t="s">
        <v>7</v>
      </c>
      <c r="M956" s="19">
        <v>41.0</v>
      </c>
      <c r="N956" s="20"/>
      <c r="O956" s="4"/>
      <c r="P956" s="4"/>
      <c r="Q956" s="4"/>
      <c r="R956" s="5"/>
      <c r="S956" s="6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>
      <c r="A957" s="2"/>
      <c r="B957" s="26"/>
      <c r="C957" s="27" t="s">
        <v>8</v>
      </c>
      <c r="K957" s="10"/>
      <c r="L957" s="18" t="s">
        <v>9</v>
      </c>
      <c r="M957" s="175">
        <v>46117.0</v>
      </c>
      <c r="N957" s="6"/>
      <c r="R957" s="10"/>
      <c r="S957" s="6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>
      <c r="A958" s="2"/>
      <c r="B958" s="16" t="s">
        <v>11</v>
      </c>
      <c r="C958" s="30" t="s">
        <v>12</v>
      </c>
      <c r="D958" s="31"/>
      <c r="E958" s="31"/>
      <c r="F958" s="31"/>
      <c r="G958" s="31"/>
      <c r="H958" s="31"/>
      <c r="I958" s="31"/>
      <c r="J958" s="31"/>
      <c r="K958" s="32"/>
      <c r="L958" s="18" t="s">
        <v>13</v>
      </c>
      <c r="M958" s="33" t="s">
        <v>14</v>
      </c>
      <c r="N958" s="34"/>
      <c r="O958" s="31"/>
      <c r="P958" s="31"/>
      <c r="Q958" s="31"/>
      <c r="R958" s="32"/>
      <c r="S958" s="6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>
      <c r="A959" s="2"/>
      <c r="B959" s="8"/>
      <c r="R959" s="10"/>
      <c r="S959" s="6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>
      <c r="A960" s="2"/>
      <c r="B960" s="39" t="s">
        <v>15</v>
      </c>
      <c r="C960" s="40" t="s">
        <v>16</v>
      </c>
      <c r="D960" s="41" t="s">
        <v>17</v>
      </c>
      <c r="E960" s="41" t="s">
        <v>18</v>
      </c>
      <c r="F960" s="42" t="s">
        <v>19</v>
      </c>
      <c r="G960" s="43"/>
      <c r="H960" s="43"/>
      <c r="I960" s="43"/>
      <c r="J960" s="44"/>
      <c r="K960" s="41" t="s">
        <v>20</v>
      </c>
      <c r="L960" s="41" t="s">
        <v>21</v>
      </c>
      <c r="M960" s="41" t="s">
        <v>22</v>
      </c>
      <c r="N960" s="41" t="s">
        <v>23</v>
      </c>
      <c r="O960" s="41" t="s">
        <v>24</v>
      </c>
      <c r="P960" s="41" t="s">
        <v>25</v>
      </c>
      <c r="Q960" s="41" t="s">
        <v>26</v>
      </c>
      <c r="R960" s="45" t="s">
        <v>27</v>
      </c>
      <c r="S960" s="6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>
      <c r="A961" s="2"/>
      <c r="B961" s="156">
        <v>1.0</v>
      </c>
      <c r="C961" s="53">
        <v>1.004657813E9</v>
      </c>
      <c r="D961" s="53" t="s">
        <v>140</v>
      </c>
      <c r="E961" s="53" t="s">
        <v>90</v>
      </c>
      <c r="F961" s="53" t="s">
        <v>91</v>
      </c>
      <c r="G961" s="53" t="s">
        <v>92</v>
      </c>
      <c r="H961" s="53" t="s">
        <v>83</v>
      </c>
      <c r="I961" s="53" t="s">
        <v>94</v>
      </c>
      <c r="J961" s="55"/>
      <c r="K961" s="53" t="s">
        <v>38</v>
      </c>
      <c r="L961" s="53" t="s">
        <v>102</v>
      </c>
      <c r="M961" s="53">
        <v>3414.0</v>
      </c>
      <c r="N961" s="53">
        <v>346.0</v>
      </c>
      <c r="O961" s="53">
        <v>19.28</v>
      </c>
      <c r="P961" s="55">
        <f t="shared" ref="P961:P970" si="51">N961*O961</f>
        <v>6670.88</v>
      </c>
      <c r="Q961" s="53">
        <v>500.0</v>
      </c>
      <c r="R961" s="105">
        <f t="shared" ref="R961:R970" si="52">P961+Q961</f>
        <v>7170.88</v>
      </c>
      <c r="S961" s="6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>
      <c r="A962" s="2"/>
      <c r="B962" s="156">
        <v>2.0</v>
      </c>
      <c r="C962" s="53">
        <v>1.004658624E9</v>
      </c>
      <c r="D962" s="53" t="s">
        <v>142</v>
      </c>
      <c r="E962" s="53" t="s">
        <v>100</v>
      </c>
      <c r="F962" s="53" t="s">
        <v>83</v>
      </c>
      <c r="G962" s="53"/>
      <c r="H962" s="53"/>
      <c r="I962" s="55"/>
      <c r="J962" s="55"/>
      <c r="K962" s="53" t="s">
        <v>33</v>
      </c>
      <c r="L962" s="53" t="s">
        <v>124</v>
      </c>
      <c r="M962" s="53">
        <v>2047.0</v>
      </c>
      <c r="N962" s="53">
        <v>122.0</v>
      </c>
      <c r="O962" s="53">
        <v>15.53</v>
      </c>
      <c r="P962" s="55">
        <f t="shared" si="51"/>
        <v>1894.66</v>
      </c>
      <c r="Q962" s="55"/>
      <c r="R962" s="105">
        <f t="shared" si="52"/>
        <v>1894.66</v>
      </c>
      <c r="S962" s="6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>
      <c r="A963" s="2"/>
      <c r="B963" s="156">
        <v>3.0</v>
      </c>
      <c r="C963" s="53">
        <v>1.004658724E9</v>
      </c>
      <c r="D963" s="53" t="s">
        <v>142</v>
      </c>
      <c r="E963" s="53" t="s">
        <v>35</v>
      </c>
      <c r="F963" s="53" t="s">
        <v>36</v>
      </c>
      <c r="G963" s="53" t="s">
        <v>37</v>
      </c>
      <c r="H963" s="55"/>
      <c r="I963" s="55"/>
      <c r="J963" s="55"/>
      <c r="K963" s="53" t="s">
        <v>38</v>
      </c>
      <c r="L963" s="53" t="s">
        <v>96</v>
      </c>
      <c r="M963" s="53">
        <v>3083.0</v>
      </c>
      <c r="N963" s="53">
        <v>200.0</v>
      </c>
      <c r="O963" s="53">
        <v>19.28</v>
      </c>
      <c r="P963" s="55">
        <f t="shared" si="51"/>
        <v>3856</v>
      </c>
      <c r="Q963" s="55"/>
      <c r="R963" s="105">
        <f t="shared" si="52"/>
        <v>3856</v>
      </c>
      <c r="S963" s="6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>
      <c r="A964" s="2"/>
      <c r="B964" s="156">
        <v>4.0</v>
      </c>
      <c r="C964" s="53">
        <v>1.004658731E9</v>
      </c>
      <c r="D964" s="53" t="s">
        <v>142</v>
      </c>
      <c r="E964" s="53" t="s">
        <v>35</v>
      </c>
      <c r="F964" s="53" t="s">
        <v>40</v>
      </c>
      <c r="G964" s="53" t="s">
        <v>36</v>
      </c>
      <c r="H964" s="55"/>
      <c r="I964" s="55"/>
      <c r="J964" s="55"/>
      <c r="K964" s="53" t="s">
        <v>38</v>
      </c>
      <c r="L964" s="53" t="s">
        <v>41</v>
      </c>
      <c r="M964" s="53">
        <v>3341.0</v>
      </c>
      <c r="N964" s="53">
        <v>150.0</v>
      </c>
      <c r="O964" s="53">
        <v>19.28</v>
      </c>
      <c r="P964" s="55">
        <f t="shared" si="51"/>
        <v>2892</v>
      </c>
      <c r="Q964" s="55"/>
      <c r="R964" s="105">
        <f t="shared" si="52"/>
        <v>2892</v>
      </c>
      <c r="S964" s="6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>
      <c r="A965" s="2"/>
      <c r="B965" s="156">
        <v>5.0</v>
      </c>
      <c r="C965" s="53">
        <v>1.004658734E9</v>
      </c>
      <c r="D965" s="53" t="s">
        <v>142</v>
      </c>
      <c r="E965" s="53" t="s">
        <v>35</v>
      </c>
      <c r="F965" s="53" t="s">
        <v>36</v>
      </c>
      <c r="G965" s="53"/>
      <c r="H965" s="55"/>
      <c r="I965" s="55"/>
      <c r="J965" s="55"/>
      <c r="K965" s="53" t="s">
        <v>33</v>
      </c>
      <c r="L965" s="53" t="s">
        <v>143</v>
      </c>
      <c r="M965" s="53">
        <v>2035.0</v>
      </c>
      <c r="N965" s="53">
        <v>130.0</v>
      </c>
      <c r="O965" s="53">
        <v>15.53</v>
      </c>
      <c r="P965" s="55">
        <f t="shared" si="51"/>
        <v>2018.9</v>
      </c>
      <c r="Q965" s="55"/>
      <c r="R965" s="105">
        <f t="shared" si="52"/>
        <v>2018.9</v>
      </c>
      <c r="S965" s="6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>
      <c r="A966" s="2"/>
      <c r="B966" s="156">
        <v>6.0</v>
      </c>
      <c r="C966" s="53">
        <v>1.004658953E9</v>
      </c>
      <c r="D966" s="53" t="s">
        <v>142</v>
      </c>
      <c r="E966" s="53" t="s">
        <v>42</v>
      </c>
      <c r="F966" s="53" t="s">
        <v>44</v>
      </c>
      <c r="G966" s="53" t="s">
        <v>43</v>
      </c>
      <c r="H966" s="53" t="s">
        <v>49</v>
      </c>
      <c r="I966" s="55"/>
      <c r="J966" s="55"/>
      <c r="K966" s="53" t="s">
        <v>45</v>
      </c>
      <c r="L966" s="53" t="s">
        <v>98</v>
      </c>
      <c r="M966" s="53">
        <v>1505.0</v>
      </c>
      <c r="N966" s="53">
        <v>299.0</v>
      </c>
      <c r="O966" s="53">
        <v>15.53</v>
      </c>
      <c r="P966" s="55">
        <f t="shared" si="51"/>
        <v>4643.47</v>
      </c>
      <c r="Q966" s="55"/>
      <c r="R966" s="105">
        <f t="shared" si="52"/>
        <v>4643.47</v>
      </c>
      <c r="S966" s="6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>
      <c r="A967" s="2"/>
      <c r="B967" s="156">
        <v>7.0</v>
      </c>
      <c r="C967" s="53">
        <v>1.004659583E9</v>
      </c>
      <c r="D967" s="53" t="s">
        <v>142</v>
      </c>
      <c r="E967" s="53" t="s">
        <v>51</v>
      </c>
      <c r="F967" s="53" t="s">
        <v>44</v>
      </c>
      <c r="G967" s="53"/>
      <c r="H967" s="53"/>
      <c r="I967" s="55"/>
      <c r="J967" s="55"/>
      <c r="K967" s="53" t="s">
        <v>45</v>
      </c>
      <c r="L967" s="53" t="s">
        <v>54</v>
      </c>
      <c r="M967" s="53">
        <v>1667.0</v>
      </c>
      <c r="N967" s="53">
        <v>230.0</v>
      </c>
      <c r="O967" s="53">
        <v>15.53</v>
      </c>
      <c r="P967" s="55">
        <f t="shared" si="51"/>
        <v>3571.9</v>
      </c>
      <c r="Q967" s="55"/>
      <c r="R967" s="105">
        <f t="shared" si="52"/>
        <v>3571.9</v>
      </c>
      <c r="S967" s="6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>
      <c r="A968" s="2"/>
      <c r="B968" s="156">
        <v>8.0</v>
      </c>
      <c r="C968" s="53">
        <v>1.004659589E9</v>
      </c>
      <c r="D968" s="53" t="s">
        <v>142</v>
      </c>
      <c r="E968" s="53" t="s">
        <v>51</v>
      </c>
      <c r="F968" s="53" t="s">
        <v>44</v>
      </c>
      <c r="G968" s="53"/>
      <c r="H968" s="53"/>
      <c r="I968" s="55"/>
      <c r="J968" s="55"/>
      <c r="K968" s="53" t="s">
        <v>45</v>
      </c>
      <c r="L968" s="53" t="s">
        <v>112</v>
      </c>
      <c r="M968" s="53">
        <v>1728.0</v>
      </c>
      <c r="N968" s="53">
        <v>230.0</v>
      </c>
      <c r="O968" s="53">
        <v>15.53</v>
      </c>
      <c r="P968" s="55">
        <f t="shared" si="51"/>
        <v>3571.9</v>
      </c>
      <c r="Q968" s="55"/>
      <c r="R968" s="105">
        <f t="shared" si="52"/>
        <v>3571.9</v>
      </c>
      <c r="S968" s="6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>
      <c r="A969" s="2"/>
      <c r="B969" s="156">
        <v>9.0</v>
      </c>
      <c r="C969" s="53">
        <v>1.004659593E9</v>
      </c>
      <c r="D969" s="53" t="s">
        <v>142</v>
      </c>
      <c r="E969" s="53" t="s">
        <v>51</v>
      </c>
      <c r="F969" s="53" t="s">
        <v>44</v>
      </c>
      <c r="G969" s="55"/>
      <c r="H969" s="53"/>
      <c r="I969" s="55"/>
      <c r="J969" s="55"/>
      <c r="K969" s="53" t="s">
        <v>45</v>
      </c>
      <c r="L969" s="53" t="s">
        <v>129</v>
      </c>
      <c r="M969" s="53">
        <v>1721.0</v>
      </c>
      <c r="N969" s="53">
        <v>230.0</v>
      </c>
      <c r="O969" s="53">
        <v>15.53</v>
      </c>
      <c r="P969" s="55">
        <f t="shared" si="51"/>
        <v>3571.9</v>
      </c>
      <c r="Q969" s="53"/>
      <c r="R969" s="105">
        <f t="shared" si="52"/>
        <v>3571.9</v>
      </c>
      <c r="S969" s="6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>
      <c r="A970" s="2"/>
      <c r="B970" s="156">
        <v>10.0</v>
      </c>
      <c r="C970" s="53">
        <v>1.004659636E9</v>
      </c>
      <c r="D970" s="53" t="s">
        <v>142</v>
      </c>
      <c r="E970" s="53" t="s">
        <v>51</v>
      </c>
      <c r="F970" s="53" t="s">
        <v>44</v>
      </c>
      <c r="G970" s="55"/>
      <c r="H970" s="55"/>
      <c r="I970" s="55"/>
      <c r="J970" s="55"/>
      <c r="K970" s="53" t="s">
        <v>45</v>
      </c>
      <c r="L970" s="53" t="s">
        <v>50</v>
      </c>
      <c r="M970" s="53">
        <v>1452.0</v>
      </c>
      <c r="N970" s="53">
        <v>230.0</v>
      </c>
      <c r="O970" s="53">
        <v>15.53</v>
      </c>
      <c r="P970" s="55">
        <f t="shared" si="51"/>
        <v>3571.9</v>
      </c>
      <c r="Q970" s="53"/>
      <c r="R970" s="105">
        <f t="shared" si="52"/>
        <v>3571.9</v>
      </c>
      <c r="S970" s="6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>
      <c r="A971" s="2"/>
      <c r="B971" s="8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5"/>
      <c r="S971" s="6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>
      <c r="A972" s="2"/>
      <c r="B972" s="67" t="s">
        <v>64</v>
      </c>
      <c r="C972" s="68"/>
      <c r="D972" s="69" t="str">
        <f>MONEYTEXT(R972, "INR")</f>
        <v/>
      </c>
      <c r="E972" s="68"/>
      <c r="F972" s="68"/>
      <c r="G972" s="68"/>
      <c r="H972" s="68"/>
      <c r="I972" s="68"/>
      <c r="J972" s="68"/>
      <c r="K972" s="68"/>
      <c r="L972" s="68"/>
      <c r="M972" s="68"/>
      <c r="N972" s="70" t="s">
        <v>65</v>
      </c>
      <c r="O972" s="4"/>
      <c r="P972" s="96">
        <f t="shared" ref="P972:R972" si="53">SUM(P961:P970)</f>
        <v>36263.51</v>
      </c>
      <c r="Q972" s="96">
        <f t="shared" si="53"/>
        <v>500</v>
      </c>
      <c r="R972" s="96">
        <f t="shared" si="53"/>
        <v>36763.51</v>
      </c>
      <c r="S972" s="6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>
      <c r="A973" s="2"/>
      <c r="B973" s="67" t="s">
        <v>66</v>
      </c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76"/>
      <c r="P973" s="97" t="s">
        <v>67</v>
      </c>
      <c r="Q973" s="31"/>
      <c r="R973" s="32"/>
      <c r="S973" s="6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>
      <c r="A974" s="2"/>
      <c r="B974" s="79" t="s">
        <v>68</v>
      </c>
      <c r="P974" s="27"/>
      <c r="Q974" s="27"/>
      <c r="R974" s="83"/>
      <c r="S974" s="6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>
      <c r="A975" s="2"/>
      <c r="B975" s="79" t="s">
        <v>70</v>
      </c>
      <c r="P975" s="27"/>
      <c r="Q975" s="27"/>
      <c r="R975" s="83"/>
      <c r="S975" s="6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>
      <c r="A976" s="2"/>
      <c r="B976" s="8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5"/>
      <c r="S976" s="6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>
      <c r="A977" s="2"/>
      <c r="B977" s="8"/>
      <c r="C977" s="6"/>
      <c r="D977" s="6"/>
      <c r="E977" s="6"/>
      <c r="F977" s="6"/>
      <c r="G977" s="6"/>
      <c r="H977" s="6"/>
      <c r="I977" s="6"/>
      <c r="J977" s="6"/>
      <c r="K977" s="19" t="s">
        <v>71</v>
      </c>
      <c r="L977" s="6"/>
      <c r="M977" s="6"/>
      <c r="N977" s="6"/>
      <c r="O977" s="6"/>
      <c r="P977" s="9" t="s">
        <v>72</v>
      </c>
      <c r="R977" s="10"/>
      <c r="S977" s="6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>
      <c r="A978" s="2"/>
      <c r="B978" s="88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89"/>
      <c r="S978" s="6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>
      <c r="A979" s="2"/>
      <c r="B979" s="139"/>
      <c r="C979" s="139"/>
      <c r="D979" s="139"/>
      <c r="E979" s="139"/>
      <c r="F979" s="139"/>
      <c r="G979" s="139"/>
      <c r="H979" s="139"/>
      <c r="I979" s="139"/>
      <c r="J979" s="139"/>
      <c r="K979" s="139"/>
      <c r="L979" s="139"/>
      <c r="M979" s="139"/>
      <c r="N979" s="139"/>
      <c r="O979" s="139"/>
      <c r="P979" s="139"/>
      <c r="Q979" s="139"/>
      <c r="R979" s="139"/>
      <c r="S979" s="6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>
      <c r="A980" s="2"/>
      <c r="B980" s="139"/>
      <c r="C980" s="139"/>
      <c r="D980" s="139"/>
      <c r="E980" s="139"/>
      <c r="F980" s="139"/>
      <c r="G980" s="139"/>
      <c r="H980" s="139"/>
      <c r="I980" s="139"/>
      <c r="J980" s="139"/>
      <c r="K980" s="139"/>
      <c r="L980" s="139"/>
      <c r="M980" s="139"/>
      <c r="N980" s="139"/>
      <c r="O980" s="139"/>
      <c r="P980" s="139"/>
      <c r="Q980" s="139"/>
      <c r="R980" s="139"/>
      <c r="S980" s="6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>
      <c r="A981" s="2"/>
      <c r="B981" s="139"/>
      <c r="C981" s="139"/>
      <c r="D981" s="139"/>
      <c r="E981" s="139"/>
      <c r="F981" s="139"/>
      <c r="G981" s="139"/>
      <c r="H981" s="139"/>
      <c r="I981" s="139"/>
      <c r="J981" s="139"/>
      <c r="K981" s="139"/>
      <c r="L981" s="139"/>
      <c r="M981" s="139"/>
      <c r="N981" s="139"/>
      <c r="O981" s="139"/>
      <c r="P981" s="139"/>
      <c r="Q981" s="139"/>
      <c r="R981" s="139"/>
      <c r="S981" s="6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>
      <c r="A982" s="2"/>
      <c r="B982" s="3" t="s">
        <v>1</v>
      </c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5"/>
      <c r="S982" s="6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>
      <c r="A983" s="2"/>
      <c r="B983" s="8"/>
      <c r="F983" s="9"/>
      <c r="G983" s="9"/>
      <c r="H983" s="9"/>
      <c r="I983" s="9"/>
      <c r="J983" s="9" t="s">
        <v>2</v>
      </c>
      <c r="N983" s="6"/>
      <c r="R983" s="10"/>
      <c r="S983" s="6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>
      <c r="A984" s="2"/>
      <c r="B984" s="13"/>
      <c r="F984" s="9"/>
      <c r="G984" s="9"/>
      <c r="H984" s="9"/>
      <c r="I984" s="9"/>
      <c r="J984" s="9" t="s">
        <v>3</v>
      </c>
      <c r="N984" s="6"/>
      <c r="R984" s="10"/>
      <c r="S984" s="6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>
      <c r="A985" s="2"/>
      <c r="B985" s="13" t="s">
        <v>4</v>
      </c>
      <c r="R985" s="10"/>
      <c r="S985" s="6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>
      <c r="A986" s="2"/>
      <c r="B986" s="16" t="s">
        <v>5</v>
      </c>
      <c r="C986" s="17" t="s">
        <v>6</v>
      </c>
      <c r="D986" s="4"/>
      <c r="E986" s="4"/>
      <c r="F986" s="4"/>
      <c r="G986" s="4"/>
      <c r="H986" s="4"/>
      <c r="I986" s="4"/>
      <c r="J986" s="4"/>
      <c r="K986" s="5"/>
      <c r="L986" s="18" t="s">
        <v>7</v>
      </c>
      <c r="M986" s="19">
        <v>42.0</v>
      </c>
      <c r="N986" s="20"/>
      <c r="O986" s="4"/>
      <c r="P986" s="4"/>
      <c r="Q986" s="4"/>
      <c r="R986" s="5"/>
      <c r="S986" s="6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>
      <c r="A987" s="2"/>
      <c r="B987" s="26"/>
      <c r="C987" s="27" t="s">
        <v>8</v>
      </c>
      <c r="K987" s="10"/>
      <c r="L987" s="18" t="s">
        <v>9</v>
      </c>
      <c r="M987" s="175">
        <v>46117.0</v>
      </c>
      <c r="N987" s="6"/>
      <c r="R987" s="10"/>
      <c r="S987" s="6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>
      <c r="A988" s="2"/>
      <c r="B988" s="16" t="s">
        <v>11</v>
      </c>
      <c r="C988" s="30" t="s">
        <v>12</v>
      </c>
      <c r="D988" s="31"/>
      <c r="E988" s="31"/>
      <c r="F988" s="31"/>
      <c r="G988" s="31"/>
      <c r="H988" s="31"/>
      <c r="I988" s="31"/>
      <c r="J988" s="31"/>
      <c r="K988" s="32"/>
      <c r="L988" s="18" t="s">
        <v>13</v>
      </c>
      <c r="M988" s="33" t="s">
        <v>14</v>
      </c>
      <c r="N988" s="34"/>
      <c r="O988" s="31"/>
      <c r="P988" s="31"/>
      <c r="Q988" s="31"/>
      <c r="R988" s="32"/>
      <c r="S988" s="6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>
      <c r="A989" s="2"/>
      <c r="B989" s="8"/>
      <c r="R989" s="10"/>
      <c r="S989" s="6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>
      <c r="A990" s="2"/>
      <c r="B990" s="39" t="s">
        <v>15</v>
      </c>
      <c r="C990" s="40" t="s">
        <v>16</v>
      </c>
      <c r="D990" s="53" t="s">
        <v>142</v>
      </c>
      <c r="E990" s="41" t="s">
        <v>18</v>
      </c>
      <c r="F990" s="42" t="s">
        <v>19</v>
      </c>
      <c r="G990" s="43"/>
      <c r="H990" s="43"/>
      <c r="I990" s="43"/>
      <c r="J990" s="44"/>
      <c r="K990" s="41" t="s">
        <v>20</v>
      </c>
      <c r="L990" s="41" t="s">
        <v>21</v>
      </c>
      <c r="M990" s="41" t="s">
        <v>22</v>
      </c>
      <c r="N990" s="41" t="s">
        <v>23</v>
      </c>
      <c r="O990" s="41" t="s">
        <v>24</v>
      </c>
      <c r="P990" s="41" t="s">
        <v>25</v>
      </c>
      <c r="Q990" s="41" t="s">
        <v>26</v>
      </c>
      <c r="R990" s="45" t="s">
        <v>27</v>
      </c>
      <c r="S990" s="6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>
      <c r="A991" s="2"/>
      <c r="B991" s="156">
        <v>1.0</v>
      </c>
      <c r="C991" s="53">
        <v>1.004659647E9</v>
      </c>
      <c r="D991" s="53" t="s">
        <v>142</v>
      </c>
      <c r="E991" s="53" t="s">
        <v>51</v>
      </c>
      <c r="F991" s="53" t="s">
        <v>44</v>
      </c>
      <c r="G991" s="53" t="s">
        <v>49</v>
      </c>
      <c r="H991" s="53"/>
      <c r="I991" s="55"/>
      <c r="J991" s="55"/>
      <c r="K991" s="53" t="s">
        <v>45</v>
      </c>
      <c r="L991" s="53" t="s">
        <v>52</v>
      </c>
      <c r="M991" s="53">
        <v>1779.0</v>
      </c>
      <c r="N991" s="53">
        <v>230.0</v>
      </c>
      <c r="O991" s="53">
        <v>15.53</v>
      </c>
      <c r="P991" s="55">
        <f t="shared" ref="P991:P995" si="54">N991*O991</f>
        <v>3571.9</v>
      </c>
      <c r="Q991" s="53"/>
      <c r="R991" s="105">
        <f t="shared" ref="R991:R1000" si="55">P991+Q991</f>
        <v>3571.9</v>
      </c>
      <c r="S991" s="6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>
      <c r="A992" s="2"/>
      <c r="B992" s="156">
        <v>2.0</v>
      </c>
      <c r="C992" s="53">
        <v>1.004659904E9</v>
      </c>
      <c r="D992" s="53" t="s">
        <v>142</v>
      </c>
      <c r="E992" s="53" t="s">
        <v>61</v>
      </c>
      <c r="F992" s="53" t="s">
        <v>74</v>
      </c>
      <c r="G992" s="53" t="s">
        <v>62</v>
      </c>
      <c r="H992" s="53"/>
      <c r="I992" s="55"/>
      <c r="J992" s="55"/>
      <c r="K992" s="53" t="s">
        <v>33</v>
      </c>
      <c r="L992" s="53" t="s">
        <v>144</v>
      </c>
      <c r="M992" s="53">
        <v>1520.0</v>
      </c>
      <c r="N992" s="53">
        <v>330.0</v>
      </c>
      <c r="O992" s="53">
        <v>15.53</v>
      </c>
      <c r="P992" s="55">
        <f t="shared" si="54"/>
        <v>5124.9</v>
      </c>
      <c r="Q992" s="55"/>
      <c r="R992" s="105">
        <f t="shared" si="55"/>
        <v>5124.9</v>
      </c>
      <c r="S992" s="6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>
      <c r="A993" s="2"/>
      <c r="B993" s="156">
        <v>3.0</v>
      </c>
      <c r="C993" s="53">
        <v>1.004659896E9</v>
      </c>
      <c r="D993" s="53" t="s">
        <v>142</v>
      </c>
      <c r="E993" s="53" t="s">
        <v>61</v>
      </c>
      <c r="F993" s="53" t="s">
        <v>74</v>
      </c>
      <c r="G993" s="53" t="s">
        <v>75</v>
      </c>
      <c r="H993" s="53" t="s">
        <v>73</v>
      </c>
      <c r="I993" s="55"/>
      <c r="J993" s="55"/>
      <c r="K993" s="53" t="s">
        <v>38</v>
      </c>
      <c r="L993" s="53" t="s">
        <v>76</v>
      </c>
      <c r="M993" s="53">
        <v>3024.0</v>
      </c>
      <c r="N993" s="53">
        <v>560.0</v>
      </c>
      <c r="O993" s="53">
        <v>19.28</v>
      </c>
      <c r="P993" s="55">
        <f t="shared" si="54"/>
        <v>10796.8</v>
      </c>
      <c r="Q993" s="53">
        <v>1085.0</v>
      </c>
      <c r="R993" s="105">
        <f t="shared" si="55"/>
        <v>11881.8</v>
      </c>
      <c r="S993" s="6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>
      <c r="A994" s="2"/>
      <c r="B994" s="156">
        <v>4.0</v>
      </c>
      <c r="C994" s="53">
        <v>1.004660025E9</v>
      </c>
      <c r="D994" s="53" t="s">
        <v>142</v>
      </c>
      <c r="E994" s="53" t="s">
        <v>77</v>
      </c>
      <c r="F994" s="53" t="s">
        <v>78</v>
      </c>
      <c r="G994" s="53" t="s">
        <v>79</v>
      </c>
      <c r="H994" s="55"/>
      <c r="I994" s="55"/>
      <c r="J994" s="55"/>
      <c r="K994" s="53" t="s">
        <v>80</v>
      </c>
      <c r="L994" s="53" t="s">
        <v>81</v>
      </c>
      <c r="M994" s="53">
        <v>2777.0</v>
      </c>
      <c r="N994" s="53">
        <v>416.0</v>
      </c>
      <c r="O994" s="53">
        <v>18.28</v>
      </c>
      <c r="P994" s="55">
        <f t="shared" si="54"/>
        <v>7604.48</v>
      </c>
      <c r="Q994" s="53">
        <v>505.0</v>
      </c>
      <c r="R994" s="105">
        <f t="shared" si="55"/>
        <v>8109.48</v>
      </c>
      <c r="S994" s="6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>
      <c r="A995" s="2"/>
      <c r="B995" s="156">
        <v>5.0</v>
      </c>
      <c r="C995" s="53">
        <v>1.004660654E9</v>
      </c>
      <c r="D995" s="53" t="s">
        <v>145</v>
      </c>
      <c r="E995" s="53" t="s">
        <v>28</v>
      </c>
      <c r="F995" s="53" t="s">
        <v>29</v>
      </c>
      <c r="G995" s="53" t="s">
        <v>30</v>
      </c>
      <c r="H995" s="53" t="s">
        <v>32</v>
      </c>
      <c r="I995" s="53" t="s">
        <v>31</v>
      </c>
      <c r="J995" s="55"/>
      <c r="K995" s="53" t="s">
        <v>38</v>
      </c>
      <c r="L995" s="53" t="s">
        <v>34</v>
      </c>
      <c r="M995" s="53">
        <v>3289.0</v>
      </c>
      <c r="N995" s="53">
        <v>246.0</v>
      </c>
      <c r="O995" s="53">
        <v>19.28</v>
      </c>
      <c r="P995" s="55">
        <f t="shared" si="54"/>
        <v>4742.88</v>
      </c>
      <c r="Q995" s="55"/>
      <c r="R995" s="105">
        <f t="shared" si="55"/>
        <v>4742.88</v>
      </c>
      <c r="S995" s="6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>
      <c r="A996" s="2"/>
      <c r="B996" s="156">
        <v>6.0</v>
      </c>
      <c r="C996" s="53">
        <v>1.004660819E9</v>
      </c>
      <c r="D996" s="53" t="s">
        <v>145</v>
      </c>
      <c r="E996" s="53" t="s">
        <v>51</v>
      </c>
      <c r="F996" s="53" t="s">
        <v>44</v>
      </c>
      <c r="G996" s="55"/>
      <c r="H996" s="55"/>
      <c r="I996" s="55"/>
      <c r="J996" s="55"/>
      <c r="K996" s="53" t="s">
        <v>45</v>
      </c>
      <c r="L996" s="53" t="s">
        <v>54</v>
      </c>
      <c r="M996" s="53">
        <v>1523.0</v>
      </c>
      <c r="N996" s="53">
        <v>230.0</v>
      </c>
      <c r="O996" s="53">
        <v>15.53</v>
      </c>
      <c r="P996" s="53">
        <v>3571.9</v>
      </c>
      <c r="Q996" s="55"/>
      <c r="R996" s="105">
        <f t="shared" si="55"/>
        <v>3571.9</v>
      </c>
      <c r="S996" s="6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>
      <c r="A997" s="2"/>
      <c r="B997" s="156">
        <v>7.0</v>
      </c>
      <c r="C997" s="53">
        <v>1.004661042E9</v>
      </c>
      <c r="D997" s="53" t="s">
        <v>145</v>
      </c>
      <c r="E997" s="53" t="s">
        <v>35</v>
      </c>
      <c r="F997" s="53" t="s">
        <v>36</v>
      </c>
      <c r="G997" s="53" t="s">
        <v>40</v>
      </c>
      <c r="H997" s="53" t="s">
        <v>37</v>
      </c>
      <c r="I997" s="55"/>
      <c r="J997" s="55"/>
      <c r="K997" s="53" t="s">
        <v>33</v>
      </c>
      <c r="L997" s="53" t="s">
        <v>96</v>
      </c>
      <c r="M997" s="53">
        <v>1888.0</v>
      </c>
      <c r="N997" s="53">
        <v>200.0</v>
      </c>
      <c r="O997" s="53">
        <v>15.53</v>
      </c>
      <c r="P997" s="55">
        <f t="shared" ref="P997:P1000" si="56">N997*O997</f>
        <v>3106</v>
      </c>
      <c r="Q997" s="55"/>
      <c r="R997" s="105">
        <f t="shared" si="55"/>
        <v>3106</v>
      </c>
      <c r="S997" s="6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>
      <c r="A998" s="2"/>
      <c r="B998" s="156">
        <v>8.0</v>
      </c>
      <c r="C998" s="53">
        <v>1.004661119E9</v>
      </c>
      <c r="D998" s="53" t="s">
        <v>145</v>
      </c>
      <c r="E998" s="53" t="s">
        <v>47</v>
      </c>
      <c r="F998" s="53" t="s">
        <v>49</v>
      </c>
      <c r="G998" s="53" t="s">
        <v>44</v>
      </c>
      <c r="H998" s="53" t="s">
        <v>48</v>
      </c>
      <c r="I998" s="55"/>
      <c r="J998" s="55"/>
      <c r="K998" s="53" t="s">
        <v>45</v>
      </c>
      <c r="L998" s="53" t="s">
        <v>98</v>
      </c>
      <c r="M998" s="53">
        <v>1633.0</v>
      </c>
      <c r="N998" s="53">
        <v>250.0</v>
      </c>
      <c r="O998" s="53">
        <v>15.53</v>
      </c>
      <c r="P998" s="55">
        <f t="shared" si="56"/>
        <v>3882.5</v>
      </c>
      <c r="Q998" s="55"/>
      <c r="R998" s="105">
        <f t="shared" si="55"/>
        <v>3882.5</v>
      </c>
      <c r="S998" s="6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>
      <c r="A999" s="2"/>
      <c r="B999" s="156">
        <v>9.0</v>
      </c>
      <c r="C999" s="53">
        <v>1.004661351E9</v>
      </c>
      <c r="D999" s="53" t="s">
        <v>145</v>
      </c>
      <c r="E999" s="53" t="s">
        <v>51</v>
      </c>
      <c r="F999" s="53" t="s">
        <v>44</v>
      </c>
      <c r="G999" s="55"/>
      <c r="H999" s="53"/>
      <c r="I999" s="55"/>
      <c r="J999" s="55"/>
      <c r="K999" s="53" t="s">
        <v>45</v>
      </c>
      <c r="L999" s="53" t="s">
        <v>50</v>
      </c>
      <c r="M999" s="53">
        <v>1584.0</v>
      </c>
      <c r="N999" s="53">
        <v>230.0</v>
      </c>
      <c r="O999" s="53">
        <v>15.53</v>
      </c>
      <c r="P999" s="55">
        <f t="shared" si="56"/>
        <v>3571.9</v>
      </c>
      <c r="Q999" s="53"/>
      <c r="R999" s="105">
        <f t="shared" si="55"/>
        <v>3571.9</v>
      </c>
      <c r="S999" s="6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>
      <c r="A1000" s="2"/>
      <c r="B1000" s="156">
        <v>10.0</v>
      </c>
      <c r="C1000" s="53">
        <v>1.004661525E9</v>
      </c>
      <c r="D1000" s="53" t="s">
        <v>145</v>
      </c>
      <c r="E1000" s="53" t="s">
        <v>51</v>
      </c>
      <c r="F1000" s="53" t="s">
        <v>44</v>
      </c>
      <c r="G1000" s="55"/>
      <c r="H1000" s="55"/>
      <c r="I1000" s="55"/>
      <c r="J1000" s="55"/>
      <c r="K1000" s="53" t="s">
        <v>45</v>
      </c>
      <c r="L1000" s="53" t="s">
        <v>112</v>
      </c>
      <c r="M1000" s="53">
        <v>1473.0</v>
      </c>
      <c r="N1000" s="53">
        <v>230.0</v>
      </c>
      <c r="O1000" s="53">
        <v>15.53</v>
      </c>
      <c r="P1000" s="55">
        <f t="shared" si="56"/>
        <v>3571.9</v>
      </c>
      <c r="Q1000" s="53"/>
      <c r="R1000" s="105">
        <f t="shared" si="55"/>
        <v>3571.9</v>
      </c>
      <c r="S1000" s="6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  <row r="1001">
      <c r="A1001" s="2"/>
      <c r="B1001" s="8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5"/>
      <c r="S1001" s="6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</row>
    <row r="1002">
      <c r="A1002" s="2"/>
      <c r="B1002" s="67" t="s">
        <v>64</v>
      </c>
      <c r="C1002" s="68"/>
      <c r="D1002" s="69" t="str">
        <f>MONEYTEXT(R1002, "INR")</f>
        <v>Fifty-one thousand one hundred thirty-five Indian rupees and sixteen paise</v>
      </c>
      <c r="E1002" s="68"/>
      <c r="F1002" s="68"/>
      <c r="G1002" s="68"/>
      <c r="H1002" s="68"/>
      <c r="I1002" s="68"/>
      <c r="J1002" s="68"/>
      <c r="K1002" s="68"/>
      <c r="L1002" s="68"/>
      <c r="M1002" s="68"/>
      <c r="N1002" s="70" t="s">
        <v>65</v>
      </c>
      <c r="O1002" s="4"/>
      <c r="P1002" s="96">
        <f t="shared" ref="P1002:R1002" si="57">SUM(P991:P1000)</f>
        <v>49545.16</v>
      </c>
      <c r="Q1002" s="96">
        <f t="shared" si="57"/>
        <v>1590</v>
      </c>
      <c r="R1002" s="96">
        <f t="shared" si="57"/>
        <v>51135.16</v>
      </c>
      <c r="S1002" s="6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</row>
    <row r="1003">
      <c r="A1003" s="2"/>
      <c r="B1003" s="67" t="s">
        <v>66</v>
      </c>
      <c r="C1003" s="68"/>
      <c r="D1003" s="68"/>
      <c r="E1003" s="68"/>
      <c r="F1003" s="68"/>
      <c r="G1003" s="68"/>
      <c r="H1003" s="68"/>
      <c r="I1003" s="68"/>
      <c r="J1003" s="68"/>
      <c r="K1003" s="68"/>
      <c r="L1003" s="68"/>
      <c r="M1003" s="68"/>
      <c r="N1003" s="68"/>
      <c r="O1003" s="76"/>
      <c r="P1003" s="97" t="s">
        <v>67</v>
      </c>
      <c r="Q1003" s="31"/>
      <c r="R1003" s="32"/>
      <c r="S1003" s="6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</row>
    <row r="1004">
      <c r="A1004" s="2"/>
      <c r="B1004" s="79" t="s">
        <v>68</v>
      </c>
      <c r="P1004" s="27"/>
      <c r="Q1004" s="27"/>
      <c r="R1004" s="83"/>
      <c r="S1004" s="6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</row>
    <row r="1005">
      <c r="A1005" s="2"/>
      <c r="B1005" s="79" t="s">
        <v>70</v>
      </c>
      <c r="P1005" s="27"/>
      <c r="Q1005" s="27"/>
      <c r="R1005" s="83"/>
      <c r="S1005" s="6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</row>
    <row r="1006">
      <c r="A1006" s="2"/>
      <c r="B1006" s="8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5"/>
      <c r="S1006" s="6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</row>
    <row r="1007">
      <c r="A1007" s="2"/>
      <c r="B1007" s="8"/>
      <c r="C1007" s="6"/>
      <c r="D1007" s="6"/>
      <c r="E1007" s="6"/>
      <c r="F1007" s="6"/>
      <c r="G1007" s="6"/>
      <c r="H1007" s="6"/>
      <c r="I1007" s="6"/>
      <c r="J1007" s="6"/>
      <c r="K1007" s="19" t="s">
        <v>71</v>
      </c>
      <c r="L1007" s="6"/>
      <c r="M1007" s="6"/>
      <c r="N1007" s="6"/>
      <c r="O1007" s="6"/>
      <c r="P1007" s="9" t="s">
        <v>72</v>
      </c>
      <c r="R1007" s="10"/>
      <c r="S1007" s="6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</row>
    <row r="1008">
      <c r="A1008" s="2"/>
      <c r="B1008" s="88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89"/>
      <c r="S1008" s="6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</row>
    <row r="1009">
      <c r="A1009" s="2"/>
      <c r="B1009" s="139"/>
      <c r="C1009" s="139"/>
      <c r="D1009" s="139"/>
      <c r="E1009" s="139"/>
      <c r="F1009" s="139"/>
      <c r="G1009" s="139"/>
      <c r="H1009" s="139"/>
      <c r="I1009" s="139"/>
      <c r="J1009" s="139"/>
      <c r="K1009" s="139"/>
      <c r="L1009" s="139"/>
      <c r="M1009" s="139"/>
      <c r="N1009" s="139"/>
      <c r="O1009" s="139"/>
      <c r="P1009" s="139"/>
      <c r="Q1009" s="139"/>
      <c r="R1009" s="139"/>
      <c r="S1009" s="6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</row>
    <row r="1010">
      <c r="A1010" s="2"/>
      <c r="B1010" s="139"/>
      <c r="C1010" s="139"/>
      <c r="D1010" s="139"/>
      <c r="E1010" s="139"/>
      <c r="F1010" s="139"/>
      <c r="G1010" s="139"/>
      <c r="H1010" s="139"/>
      <c r="I1010" s="139"/>
      <c r="J1010" s="139"/>
      <c r="K1010" s="139"/>
      <c r="L1010" s="139"/>
      <c r="M1010" s="139"/>
      <c r="N1010" s="139"/>
      <c r="O1010" s="139"/>
      <c r="P1010" s="139"/>
      <c r="Q1010" s="139"/>
      <c r="R1010" s="139"/>
      <c r="S1010" s="6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</row>
    <row r="1011">
      <c r="A1011" s="2"/>
      <c r="B1011" s="139"/>
      <c r="C1011" s="139"/>
      <c r="D1011" s="139"/>
      <c r="E1011" s="139"/>
      <c r="F1011" s="139"/>
      <c r="G1011" s="139"/>
      <c r="H1011" s="139"/>
      <c r="I1011" s="139"/>
      <c r="J1011" s="139"/>
      <c r="K1011" s="139"/>
      <c r="L1011" s="139"/>
      <c r="M1011" s="139"/>
      <c r="N1011" s="139"/>
      <c r="O1011" s="139"/>
      <c r="P1011" s="139"/>
      <c r="Q1011" s="139"/>
      <c r="R1011" s="139"/>
      <c r="S1011" s="6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</row>
    <row r="1012">
      <c r="A1012" s="2"/>
      <c r="B1012" s="176" t="s">
        <v>1</v>
      </c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5"/>
      <c r="S1012" s="6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</row>
    <row r="1013">
      <c r="A1013" s="2"/>
      <c r="B1013" s="8"/>
      <c r="F1013" s="9"/>
      <c r="G1013" s="9"/>
      <c r="H1013" s="9"/>
      <c r="I1013" s="9"/>
      <c r="J1013" s="9" t="s">
        <v>2</v>
      </c>
      <c r="N1013" s="6"/>
      <c r="R1013" s="10"/>
      <c r="S1013" s="6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</row>
    <row r="1014">
      <c r="A1014" s="2"/>
      <c r="B1014" s="13"/>
      <c r="F1014" s="9"/>
      <c r="G1014" s="9"/>
      <c r="H1014" s="9"/>
      <c r="I1014" s="9"/>
      <c r="J1014" s="9" t="s">
        <v>3</v>
      </c>
      <c r="N1014" s="6"/>
      <c r="R1014" s="10"/>
      <c r="S1014" s="6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</row>
    <row r="1015">
      <c r="A1015" s="2"/>
      <c r="B1015" s="13" t="s">
        <v>4</v>
      </c>
      <c r="R1015" s="10"/>
      <c r="S1015" s="6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</row>
    <row r="1016">
      <c r="A1016" s="2"/>
      <c r="B1016" s="16" t="s">
        <v>5</v>
      </c>
      <c r="C1016" s="17" t="s">
        <v>6</v>
      </c>
      <c r="D1016" s="4"/>
      <c r="E1016" s="4"/>
      <c r="F1016" s="4"/>
      <c r="G1016" s="4"/>
      <c r="H1016" s="4"/>
      <c r="I1016" s="4"/>
      <c r="J1016" s="4"/>
      <c r="K1016" s="5"/>
      <c r="L1016" s="18" t="s">
        <v>7</v>
      </c>
      <c r="M1016" s="19">
        <v>43.0</v>
      </c>
      <c r="N1016" s="20"/>
      <c r="O1016" s="4"/>
      <c r="P1016" s="4"/>
      <c r="Q1016" s="4"/>
      <c r="R1016" s="5"/>
      <c r="S1016" s="6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</row>
    <row r="1017">
      <c r="A1017" s="2"/>
      <c r="B1017" s="26"/>
      <c r="C1017" s="27" t="s">
        <v>8</v>
      </c>
      <c r="K1017" s="10"/>
      <c r="L1017" s="18" t="s">
        <v>9</v>
      </c>
      <c r="M1017" s="175">
        <v>46117.0</v>
      </c>
      <c r="N1017" s="6"/>
      <c r="R1017" s="10"/>
      <c r="S1017" s="6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</row>
    <row r="1018">
      <c r="A1018" s="2"/>
      <c r="B1018" s="16" t="s">
        <v>11</v>
      </c>
      <c r="C1018" s="30" t="s">
        <v>12</v>
      </c>
      <c r="D1018" s="31"/>
      <c r="E1018" s="31"/>
      <c r="F1018" s="31"/>
      <c r="G1018" s="31"/>
      <c r="H1018" s="31"/>
      <c r="I1018" s="31"/>
      <c r="J1018" s="31"/>
      <c r="K1018" s="32"/>
      <c r="L1018" s="18" t="s">
        <v>13</v>
      </c>
      <c r="M1018" s="33" t="s">
        <v>14</v>
      </c>
      <c r="N1018" s="34"/>
      <c r="O1018" s="31"/>
      <c r="P1018" s="31"/>
      <c r="Q1018" s="31"/>
      <c r="R1018" s="32"/>
      <c r="S1018" s="6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</row>
    <row r="1019">
      <c r="A1019" s="2"/>
      <c r="B1019" s="8"/>
      <c r="R1019" s="10"/>
      <c r="S1019" s="6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</row>
    <row r="1020">
      <c r="A1020" s="2"/>
      <c r="B1020" s="39" t="s">
        <v>15</v>
      </c>
      <c r="C1020" s="40" t="s">
        <v>16</v>
      </c>
      <c r="D1020" s="41" t="s">
        <v>17</v>
      </c>
      <c r="E1020" s="41" t="s">
        <v>18</v>
      </c>
      <c r="F1020" s="42" t="s">
        <v>19</v>
      </c>
      <c r="G1020" s="43"/>
      <c r="H1020" s="43"/>
      <c r="I1020" s="43"/>
      <c r="J1020" s="44"/>
      <c r="K1020" s="41" t="s">
        <v>20</v>
      </c>
      <c r="L1020" s="41" t="s">
        <v>21</v>
      </c>
      <c r="M1020" s="41" t="s">
        <v>22</v>
      </c>
      <c r="N1020" s="41" t="s">
        <v>23</v>
      </c>
      <c r="O1020" s="41" t="s">
        <v>24</v>
      </c>
      <c r="P1020" s="41" t="s">
        <v>25</v>
      </c>
      <c r="Q1020" s="41" t="s">
        <v>26</v>
      </c>
      <c r="R1020" s="45" t="s">
        <v>27</v>
      </c>
      <c r="S1020" s="6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</row>
    <row r="1021">
      <c r="A1021" s="2"/>
      <c r="B1021" s="156">
        <v>1.0</v>
      </c>
      <c r="C1021" s="53">
        <v>1.004661527E9</v>
      </c>
      <c r="D1021" s="53" t="s">
        <v>145</v>
      </c>
      <c r="E1021" s="53" t="s">
        <v>51</v>
      </c>
      <c r="F1021" s="53" t="s">
        <v>44</v>
      </c>
      <c r="G1021" s="53" t="s">
        <v>49</v>
      </c>
      <c r="H1021" s="53"/>
      <c r="I1021" s="55"/>
      <c r="J1021" s="55"/>
      <c r="K1021" s="53" t="s">
        <v>45</v>
      </c>
      <c r="L1021" s="53" t="s">
        <v>52</v>
      </c>
      <c r="M1021" s="53">
        <v>1465.0</v>
      </c>
      <c r="N1021" s="53">
        <v>230.0</v>
      </c>
      <c r="O1021" s="53">
        <v>15.53</v>
      </c>
      <c r="P1021" s="55">
        <f t="shared" ref="P1021:P1030" si="58">N1021*O1021</f>
        <v>3571.9</v>
      </c>
      <c r="Q1021" s="53"/>
      <c r="R1021" s="105">
        <f t="shared" ref="R1021:R1030" si="59">P1021+Q1021</f>
        <v>3571.9</v>
      </c>
      <c r="S1021" s="6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</row>
    <row r="1022">
      <c r="A1022" s="2"/>
      <c r="B1022" s="156">
        <v>2.0</v>
      </c>
      <c r="C1022" s="53">
        <v>1.00466234E9</v>
      </c>
      <c r="D1022" s="53" t="s">
        <v>145</v>
      </c>
      <c r="E1022" s="53" t="s">
        <v>90</v>
      </c>
      <c r="F1022" s="53" t="s">
        <v>83</v>
      </c>
      <c r="G1022" s="53" t="s">
        <v>91</v>
      </c>
      <c r="H1022" s="53" t="s">
        <v>92</v>
      </c>
      <c r="I1022" s="53" t="s">
        <v>93</v>
      </c>
      <c r="J1022" s="53" t="s">
        <v>94</v>
      </c>
      <c r="K1022" s="53" t="s">
        <v>80</v>
      </c>
      <c r="L1022" s="53" t="s">
        <v>102</v>
      </c>
      <c r="M1022" s="53">
        <v>2610.0</v>
      </c>
      <c r="N1022" s="53">
        <v>405.0</v>
      </c>
      <c r="O1022" s="53">
        <v>18.28</v>
      </c>
      <c r="P1022" s="55">
        <f t="shared" si="58"/>
        <v>7403.4</v>
      </c>
      <c r="Q1022" s="53">
        <v>500.0</v>
      </c>
      <c r="R1022" s="105">
        <f t="shared" si="59"/>
        <v>7903.4</v>
      </c>
      <c r="S1022" s="6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</row>
    <row r="1023">
      <c r="A1023" s="2"/>
      <c r="B1023" s="156">
        <v>3.0</v>
      </c>
      <c r="C1023" s="53">
        <v>1.004662118E9</v>
      </c>
      <c r="D1023" s="53" t="s">
        <v>145</v>
      </c>
      <c r="E1023" s="53" t="s">
        <v>106</v>
      </c>
      <c r="F1023" s="53" t="s">
        <v>107</v>
      </c>
      <c r="G1023" s="53" t="s">
        <v>108</v>
      </c>
      <c r="H1023" s="53" t="s">
        <v>109</v>
      </c>
      <c r="I1023" s="55"/>
      <c r="J1023" s="55"/>
      <c r="K1023" s="53" t="s">
        <v>38</v>
      </c>
      <c r="L1023" s="53" t="s">
        <v>110</v>
      </c>
      <c r="M1023" s="53">
        <v>3394.0</v>
      </c>
      <c r="N1023" s="53">
        <v>482.0</v>
      </c>
      <c r="O1023" s="53">
        <v>19.28</v>
      </c>
      <c r="P1023" s="55">
        <f t="shared" si="58"/>
        <v>9292.96</v>
      </c>
      <c r="Q1023" s="53">
        <v>1025.0</v>
      </c>
      <c r="R1023" s="105">
        <f t="shared" si="59"/>
        <v>10317.96</v>
      </c>
      <c r="S1023" s="6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</row>
    <row r="1024">
      <c r="A1024" s="2"/>
      <c r="B1024" s="156">
        <v>4.0</v>
      </c>
      <c r="C1024" s="53">
        <v>1.004661782E9</v>
      </c>
      <c r="D1024" s="53" t="s">
        <v>145</v>
      </c>
      <c r="E1024" s="53" t="s">
        <v>51</v>
      </c>
      <c r="F1024" s="53" t="s">
        <v>44</v>
      </c>
      <c r="G1024" s="53"/>
      <c r="H1024" s="55"/>
      <c r="I1024" s="55"/>
      <c r="J1024" s="55"/>
      <c r="K1024" s="53" t="s">
        <v>45</v>
      </c>
      <c r="L1024" s="53" t="s">
        <v>129</v>
      </c>
      <c r="M1024" s="53">
        <v>1433.0</v>
      </c>
      <c r="N1024" s="53">
        <v>230.0</v>
      </c>
      <c r="O1024" s="53">
        <v>15.53</v>
      </c>
      <c r="P1024" s="55">
        <f t="shared" si="58"/>
        <v>3571.9</v>
      </c>
      <c r="Q1024" s="55"/>
      <c r="R1024" s="105">
        <f t="shared" si="59"/>
        <v>3571.9</v>
      </c>
      <c r="S1024" s="6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</row>
    <row r="1025">
      <c r="A1025" s="2"/>
      <c r="B1025" s="156">
        <v>5.0</v>
      </c>
      <c r="C1025" s="53">
        <v>1.004661824E9</v>
      </c>
      <c r="D1025" s="53" t="s">
        <v>145</v>
      </c>
      <c r="E1025" s="53" t="s">
        <v>51</v>
      </c>
      <c r="F1025" s="53" t="s">
        <v>44</v>
      </c>
      <c r="G1025" s="53"/>
      <c r="H1025" s="55"/>
      <c r="I1025" s="55"/>
      <c r="J1025" s="55"/>
      <c r="K1025" s="53" t="s">
        <v>45</v>
      </c>
      <c r="L1025" s="53" t="s">
        <v>53</v>
      </c>
      <c r="M1025" s="53">
        <v>1674.0</v>
      </c>
      <c r="N1025" s="53">
        <v>230.0</v>
      </c>
      <c r="O1025" s="53">
        <v>15.53</v>
      </c>
      <c r="P1025" s="55">
        <f t="shared" si="58"/>
        <v>3571.9</v>
      </c>
      <c r="Q1025" s="55"/>
      <c r="R1025" s="105">
        <f t="shared" si="59"/>
        <v>3571.9</v>
      </c>
      <c r="S1025" s="6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</row>
    <row r="1026">
      <c r="A1026" s="2"/>
      <c r="B1026" s="156">
        <v>6.0</v>
      </c>
      <c r="C1026" s="53">
        <v>1.004662055E9</v>
      </c>
      <c r="D1026" s="53" t="s">
        <v>145</v>
      </c>
      <c r="E1026" s="53" t="s">
        <v>55</v>
      </c>
      <c r="F1026" s="53" t="s">
        <v>56</v>
      </c>
      <c r="G1026" s="53" t="s">
        <v>57</v>
      </c>
      <c r="H1026" s="53" t="s">
        <v>58</v>
      </c>
      <c r="I1026" s="53" t="s">
        <v>59</v>
      </c>
      <c r="J1026" s="55"/>
      <c r="K1026" s="53" t="s">
        <v>38</v>
      </c>
      <c r="L1026" s="53" t="s">
        <v>60</v>
      </c>
      <c r="M1026" s="53">
        <v>3255.0</v>
      </c>
      <c r="N1026" s="53">
        <v>572.0</v>
      </c>
      <c r="O1026" s="53">
        <v>19.28</v>
      </c>
      <c r="P1026" s="55">
        <f t="shared" si="58"/>
        <v>11028.16</v>
      </c>
      <c r="Q1026" s="55"/>
      <c r="R1026" s="105">
        <f t="shared" si="59"/>
        <v>11028.16</v>
      </c>
      <c r="S1026" s="6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</row>
    <row r="1027">
      <c r="A1027" s="2"/>
      <c r="B1027" s="156">
        <v>7.0</v>
      </c>
      <c r="C1027" s="53"/>
      <c r="D1027" s="54"/>
      <c r="E1027" s="53"/>
      <c r="F1027" s="53"/>
      <c r="G1027" s="53"/>
      <c r="H1027" s="53"/>
      <c r="I1027" s="55"/>
      <c r="J1027" s="55"/>
      <c r="K1027" s="53"/>
      <c r="L1027" s="53"/>
      <c r="M1027" s="53"/>
      <c r="N1027" s="53"/>
      <c r="O1027" s="53"/>
      <c r="P1027" s="55">
        <f t="shared" si="58"/>
        <v>0</v>
      </c>
      <c r="Q1027" s="55"/>
      <c r="R1027" s="105">
        <f t="shared" si="59"/>
        <v>0</v>
      </c>
      <c r="S1027" s="6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</row>
    <row r="1028">
      <c r="A1028" s="2"/>
      <c r="B1028" s="156">
        <v>8.0</v>
      </c>
      <c r="C1028" s="53"/>
      <c r="D1028" s="54"/>
      <c r="E1028" s="53"/>
      <c r="F1028" s="53"/>
      <c r="G1028" s="53"/>
      <c r="H1028" s="53"/>
      <c r="I1028" s="55"/>
      <c r="J1028" s="55"/>
      <c r="K1028" s="53"/>
      <c r="L1028" s="53"/>
      <c r="M1028" s="53"/>
      <c r="N1028" s="53"/>
      <c r="O1028" s="53"/>
      <c r="P1028" s="55">
        <f t="shared" si="58"/>
        <v>0</v>
      </c>
      <c r="Q1028" s="55"/>
      <c r="R1028" s="105">
        <f t="shared" si="59"/>
        <v>0</v>
      </c>
      <c r="S1028" s="6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</row>
    <row r="1029">
      <c r="A1029" s="2"/>
      <c r="B1029" s="156">
        <v>9.0</v>
      </c>
      <c r="C1029" s="53"/>
      <c r="D1029" s="54"/>
      <c r="E1029" s="53"/>
      <c r="F1029" s="53"/>
      <c r="G1029" s="55"/>
      <c r="H1029" s="53"/>
      <c r="I1029" s="55"/>
      <c r="J1029" s="55"/>
      <c r="K1029" s="53"/>
      <c r="L1029" s="53"/>
      <c r="M1029" s="53"/>
      <c r="N1029" s="53"/>
      <c r="O1029" s="53"/>
      <c r="P1029" s="55">
        <f t="shared" si="58"/>
        <v>0</v>
      </c>
      <c r="Q1029" s="53"/>
      <c r="R1029" s="105">
        <f t="shared" si="59"/>
        <v>0</v>
      </c>
      <c r="S1029" s="6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</row>
    <row r="1030">
      <c r="A1030" s="2"/>
      <c r="B1030" s="156">
        <v>10.0</v>
      </c>
      <c r="C1030" s="53"/>
      <c r="D1030" s="54"/>
      <c r="E1030" s="53"/>
      <c r="F1030" s="53"/>
      <c r="G1030" s="55"/>
      <c r="H1030" s="55"/>
      <c r="I1030" s="55"/>
      <c r="J1030" s="55"/>
      <c r="K1030" s="53"/>
      <c r="L1030" s="53"/>
      <c r="M1030" s="53"/>
      <c r="N1030" s="53"/>
      <c r="O1030" s="53"/>
      <c r="P1030" s="55">
        <f t="shared" si="58"/>
        <v>0</v>
      </c>
      <c r="Q1030" s="53"/>
      <c r="R1030" s="105">
        <f t="shared" si="59"/>
        <v>0</v>
      </c>
      <c r="S1030" s="6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</row>
    <row r="1031">
      <c r="A1031" s="2"/>
      <c r="B1031" s="8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5"/>
      <c r="S1031" s="6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</row>
    <row r="1032">
      <c r="A1032" s="2"/>
      <c r="B1032" s="67" t="s">
        <v>64</v>
      </c>
      <c r="C1032" s="68"/>
      <c r="D1032" s="69" t="str">
        <f>MONEYTEXT(R1032, "INR")</f>
        <v>Thirty-nine thousand nine hundred sixty-five Indian rupees and twenty-two paise</v>
      </c>
      <c r="E1032" s="68"/>
      <c r="F1032" s="68"/>
      <c r="G1032" s="68"/>
      <c r="H1032" s="68"/>
      <c r="I1032" s="68"/>
      <c r="J1032" s="68"/>
      <c r="K1032" s="68"/>
      <c r="L1032" s="68"/>
      <c r="M1032" s="68"/>
      <c r="N1032" s="70" t="s">
        <v>65</v>
      </c>
      <c r="O1032" s="4"/>
      <c r="P1032" s="96">
        <f t="shared" ref="P1032:R1032" si="60">SUM(P1021:P1030)</f>
        <v>38440.22</v>
      </c>
      <c r="Q1032" s="96">
        <f t="shared" si="60"/>
        <v>1525</v>
      </c>
      <c r="R1032" s="96">
        <f t="shared" si="60"/>
        <v>39965.22</v>
      </c>
      <c r="S1032" s="6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</row>
    <row r="1033">
      <c r="A1033" s="2"/>
      <c r="B1033" s="67" t="s">
        <v>66</v>
      </c>
      <c r="C1033" s="68"/>
      <c r="D1033" s="68"/>
      <c r="E1033" s="68"/>
      <c r="F1033" s="68"/>
      <c r="G1033" s="68"/>
      <c r="H1033" s="68"/>
      <c r="I1033" s="68"/>
      <c r="J1033" s="68"/>
      <c r="K1033" s="68"/>
      <c r="L1033" s="68"/>
      <c r="M1033" s="68"/>
      <c r="N1033" s="68"/>
      <c r="O1033" s="76"/>
      <c r="P1033" s="97" t="s">
        <v>67</v>
      </c>
      <c r="Q1033" s="31"/>
      <c r="R1033" s="32"/>
      <c r="S1033" s="6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</row>
    <row r="1034">
      <c r="A1034" s="2"/>
      <c r="B1034" s="79" t="s">
        <v>68</v>
      </c>
      <c r="P1034" s="27"/>
      <c r="Q1034" s="27"/>
      <c r="R1034" s="83"/>
      <c r="S1034" s="6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</row>
    <row r="1035">
      <c r="A1035" s="2"/>
      <c r="B1035" s="79" t="s">
        <v>70</v>
      </c>
      <c r="P1035" s="27"/>
      <c r="Q1035" s="27"/>
      <c r="R1035" s="83"/>
      <c r="S1035" s="6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</row>
    <row r="1036">
      <c r="A1036" s="2"/>
      <c r="B1036" s="8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5"/>
      <c r="S1036" s="6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</row>
    <row r="1037">
      <c r="A1037" s="2"/>
      <c r="B1037" s="8"/>
      <c r="C1037" s="6"/>
      <c r="D1037" s="6"/>
      <c r="E1037" s="6"/>
      <c r="F1037" s="6"/>
      <c r="G1037" s="6"/>
      <c r="H1037" s="6"/>
      <c r="I1037" s="6"/>
      <c r="J1037" s="6"/>
      <c r="K1037" s="19" t="s">
        <v>71</v>
      </c>
      <c r="L1037" s="6"/>
      <c r="M1037" s="6"/>
      <c r="N1037" s="6"/>
      <c r="O1037" s="6"/>
      <c r="P1037" s="9" t="s">
        <v>72</v>
      </c>
      <c r="R1037" s="10"/>
      <c r="S1037" s="6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</row>
    <row r="1038">
      <c r="A1038" s="2"/>
      <c r="B1038" s="88"/>
      <c r="C1038" s="34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89"/>
      <c r="S1038" s="6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</row>
    <row r="1039">
      <c r="A1039" s="2"/>
      <c r="B1039" s="177"/>
      <c r="C1039" s="177"/>
      <c r="D1039" s="177"/>
      <c r="E1039" s="177"/>
      <c r="F1039" s="177"/>
      <c r="G1039" s="177"/>
      <c r="H1039" s="177"/>
      <c r="I1039" s="177"/>
      <c r="J1039" s="177"/>
      <c r="K1039" s="177"/>
      <c r="L1039" s="177"/>
      <c r="M1039" s="177"/>
      <c r="N1039" s="177"/>
      <c r="O1039" s="177"/>
      <c r="P1039" s="177"/>
      <c r="Q1039" s="177"/>
      <c r="R1039" s="177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</row>
    <row r="1040">
      <c r="A1040" s="2"/>
      <c r="B1040" s="177"/>
      <c r="C1040" s="177"/>
      <c r="D1040" s="177"/>
      <c r="E1040" s="177"/>
      <c r="F1040" s="177"/>
      <c r="G1040" s="177"/>
      <c r="H1040" s="177"/>
      <c r="I1040" s="177"/>
      <c r="J1040" s="177"/>
      <c r="K1040" s="177"/>
      <c r="L1040" s="177"/>
      <c r="M1040" s="177"/>
      <c r="N1040" s="177"/>
      <c r="O1040" s="177"/>
      <c r="P1040" s="177"/>
      <c r="Q1040" s="177"/>
      <c r="R1040" s="177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</row>
    <row r="1041">
      <c r="A1041" s="2"/>
      <c r="B1041" s="177"/>
      <c r="C1041" s="177"/>
      <c r="D1041" s="177"/>
      <c r="E1041" s="177"/>
      <c r="F1041" s="177"/>
      <c r="G1041" s="177"/>
      <c r="H1041" s="177"/>
      <c r="I1041" s="177"/>
      <c r="J1041" s="177"/>
      <c r="K1041" s="177"/>
      <c r="L1041" s="177"/>
      <c r="M1041" s="177"/>
      <c r="N1041" s="177"/>
      <c r="O1041" s="177"/>
      <c r="P1041" s="177"/>
      <c r="Q1041" s="177"/>
      <c r="R1041" s="177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</row>
    <row r="1042">
      <c r="A1042" s="2"/>
      <c r="B1042" s="177"/>
      <c r="C1042" s="177"/>
      <c r="D1042" s="177"/>
      <c r="E1042" s="177"/>
      <c r="F1042" s="177"/>
      <c r="G1042" s="177"/>
      <c r="H1042" s="177"/>
      <c r="I1042" s="177"/>
      <c r="J1042" s="177"/>
      <c r="K1042" s="177"/>
      <c r="L1042" s="177"/>
      <c r="M1042" s="177"/>
      <c r="N1042" s="177"/>
      <c r="O1042" s="177"/>
      <c r="P1042" s="177"/>
      <c r="Q1042" s="177"/>
      <c r="R1042" s="177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</row>
    <row r="1043">
      <c r="A1043" s="2"/>
      <c r="B1043" s="176" t="s">
        <v>1</v>
      </c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5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</row>
    <row r="1044">
      <c r="A1044" s="2"/>
      <c r="B1044" s="8"/>
      <c r="F1044" s="9"/>
      <c r="G1044" s="9"/>
      <c r="H1044" s="9"/>
      <c r="I1044" s="9"/>
      <c r="J1044" s="9" t="s">
        <v>2</v>
      </c>
      <c r="N1044" s="6"/>
      <c r="R1044" s="10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</row>
    <row r="1045">
      <c r="A1045" s="2"/>
      <c r="B1045" s="13"/>
      <c r="F1045" s="9"/>
      <c r="G1045" s="9"/>
      <c r="H1045" s="9"/>
      <c r="I1045" s="9"/>
      <c r="J1045" s="9" t="s">
        <v>3</v>
      </c>
      <c r="N1045" s="6"/>
      <c r="R1045" s="10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</row>
    <row r="1046">
      <c r="A1046" s="2"/>
      <c r="B1046" s="13" t="s">
        <v>4</v>
      </c>
      <c r="R1046" s="10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</row>
    <row r="1047">
      <c r="A1047" s="2"/>
      <c r="B1047" s="16" t="s">
        <v>5</v>
      </c>
      <c r="C1047" s="17" t="s">
        <v>6</v>
      </c>
      <c r="D1047" s="4"/>
      <c r="E1047" s="4"/>
      <c r="F1047" s="4"/>
      <c r="G1047" s="4"/>
      <c r="H1047" s="4"/>
      <c r="I1047" s="4"/>
      <c r="J1047" s="4"/>
      <c r="K1047" s="5"/>
      <c r="L1047" s="18" t="s">
        <v>7</v>
      </c>
      <c r="M1047" s="19">
        <v>43.0</v>
      </c>
      <c r="N1047" s="20"/>
      <c r="O1047" s="4"/>
      <c r="P1047" s="4"/>
      <c r="Q1047" s="4"/>
      <c r="R1047" s="5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</row>
    <row r="1048">
      <c r="A1048" s="2"/>
      <c r="B1048" s="26"/>
      <c r="C1048" s="27" t="s">
        <v>8</v>
      </c>
      <c r="K1048" s="10"/>
      <c r="L1048" s="18" t="s">
        <v>9</v>
      </c>
      <c r="M1048" s="175">
        <v>46058.0</v>
      </c>
      <c r="N1048" s="6"/>
      <c r="R1048" s="10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</row>
    <row r="1049">
      <c r="A1049" s="2"/>
      <c r="B1049" s="16" t="s">
        <v>11</v>
      </c>
      <c r="C1049" s="30" t="s">
        <v>12</v>
      </c>
      <c r="D1049" s="31"/>
      <c r="E1049" s="31"/>
      <c r="F1049" s="31"/>
      <c r="G1049" s="31"/>
      <c r="H1049" s="31"/>
      <c r="I1049" s="31"/>
      <c r="J1049" s="31"/>
      <c r="K1049" s="32"/>
      <c r="L1049" s="18" t="s">
        <v>13</v>
      </c>
      <c r="M1049" s="33" t="s">
        <v>14</v>
      </c>
      <c r="N1049" s="34"/>
      <c r="O1049" s="31"/>
      <c r="P1049" s="31"/>
      <c r="Q1049" s="31"/>
      <c r="R1049" s="3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</row>
    <row r="1050">
      <c r="A1050" s="2"/>
      <c r="B1050" s="8"/>
      <c r="R1050" s="10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</row>
    <row r="1051">
      <c r="A1051" s="2"/>
      <c r="B1051" s="39" t="s">
        <v>15</v>
      </c>
      <c r="C1051" s="40" t="s">
        <v>16</v>
      </c>
      <c r="D1051" s="41" t="s">
        <v>17</v>
      </c>
      <c r="E1051" s="41" t="s">
        <v>18</v>
      </c>
      <c r="F1051" s="42" t="s">
        <v>19</v>
      </c>
      <c r="G1051" s="43"/>
      <c r="H1051" s="43"/>
      <c r="I1051" s="43"/>
      <c r="J1051" s="44"/>
      <c r="K1051" s="41" t="s">
        <v>20</v>
      </c>
      <c r="L1051" s="41" t="s">
        <v>21</v>
      </c>
      <c r="M1051" s="41" t="s">
        <v>22</v>
      </c>
      <c r="N1051" s="41" t="s">
        <v>23</v>
      </c>
      <c r="O1051" s="41" t="s">
        <v>24</v>
      </c>
      <c r="P1051" s="41" t="s">
        <v>25</v>
      </c>
      <c r="Q1051" s="41" t="s">
        <v>26</v>
      </c>
      <c r="R1051" s="45" t="s">
        <v>27</v>
      </c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</row>
    <row r="1052">
      <c r="A1052" s="2"/>
      <c r="B1052" s="52">
        <v>1.0</v>
      </c>
      <c r="C1052" s="53">
        <v>1.004663519E9</v>
      </c>
      <c r="D1052" s="54">
        <v>46058.0</v>
      </c>
      <c r="E1052" s="53" t="s">
        <v>28</v>
      </c>
      <c r="F1052" s="53" t="s">
        <v>29</v>
      </c>
      <c r="G1052" s="53" t="s">
        <v>30</v>
      </c>
      <c r="H1052" s="53" t="s">
        <v>32</v>
      </c>
      <c r="I1052" s="53" t="s">
        <v>31</v>
      </c>
      <c r="J1052" s="55"/>
      <c r="K1052" s="53" t="s">
        <v>38</v>
      </c>
      <c r="L1052" s="53" t="s">
        <v>34</v>
      </c>
      <c r="M1052" s="53">
        <v>3006.0</v>
      </c>
      <c r="N1052" s="53">
        <v>246.0</v>
      </c>
      <c r="O1052" s="53">
        <v>19.28</v>
      </c>
      <c r="P1052" s="55">
        <f t="shared" ref="P1052:P1061" si="61">N1052*O1052</f>
        <v>4742.88</v>
      </c>
      <c r="Q1052" s="53"/>
      <c r="R1052" s="105">
        <f t="shared" ref="R1052:R1061" si="62">P1052+Q1052</f>
        <v>4742.88</v>
      </c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</row>
    <row r="1053">
      <c r="A1053" s="2"/>
      <c r="B1053" s="52">
        <v>2.0</v>
      </c>
      <c r="C1053" s="53">
        <v>1.004663329E9</v>
      </c>
      <c r="D1053" s="54">
        <v>46058.0</v>
      </c>
      <c r="E1053" s="53" t="s">
        <v>35</v>
      </c>
      <c r="F1053" s="53" t="s">
        <v>36</v>
      </c>
      <c r="G1053" s="53" t="s">
        <v>40</v>
      </c>
      <c r="H1053" s="53" t="s">
        <v>37</v>
      </c>
      <c r="I1053" s="55"/>
      <c r="J1053" s="55"/>
      <c r="K1053" s="53" t="s">
        <v>38</v>
      </c>
      <c r="L1053" s="53" t="s">
        <v>96</v>
      </c>
      <c r="M1053" s="53">
        <v>3738.0</v>
      </c>
      <c r="N1053" s="53">
        <v>200.0</v>
      </c>
      <c r="O1053" s="53">
        <v>19.28</v>
      </c>
      <c r="P1053" s="55">
        <f t="shared" si="61"/>
        <v>3856</v>
      </c>
      <c r="Q1053" s="55"/>
      <c r="R1053" s="105">
        <f t="shared" si="62"/>
        <v>3856</v>
      </c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</row>
    <row r="1054">
      <c r="A1054" s="2"/>
      <c r="B1054" s="52">
        <v>3.0</v>
      </c>
      <c r="C1054" s="53">
        <v>1.00466359E9</v>
      </c>
      <c r="D1054" s="54">
        <v>46058.0</v>
      </c>
      <c r="E1054" s="53" t="s">
        <v>42</v>
      </c>
      <c r="F1054" s="53" t="s">
        <v>44</v>
      </c>
      <c r="G1054" s="53" t="s">
        <v>43</v>
      </c>
      <c r="H1054" s="53" t="s">
        <v>49</v>
      </c>
      <c r="I1054" s="55"/>
      <c r="J1054" s="55"/>
      <c r="K1054" s="53" t="s">
        <v>45</v>
      </c>
      <c r="L1054" s="53" t="s">
        <v>98</v>
      </c>
      <c r="M1054" s="53">
        <v>1423.0</v>
      </c>
      <c r="N1054" s="53">
        <v>299.0</v>
      </c>
      <c r="O1054" s="53">
        <v>15.53</v>
      </c>
      <c r="P1054" s="55">
        <f t="shared" si="61"/>
        <v>4643.47</v>
      </c>
      <c r="Q1054" s="55"/>
      <c r="R1054" s="105">
        <f t="shared" si="62"/>
        <v>4643.47</v>
      </c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</row>
    <row r="1055">
      <c r="A1055" s="2"/>
      <c r="B1055" s="52">
        <v>4.0</v>
      </c>
      <c r="C1055" s="53">
        <v>1.004663603E9</v>
      </c>
      <c r="D1055" s="54">
        <v>46058.0</v>
      </c>
      <c r="E1055" s="53" t="s">
        <v>51</v>
      </c>
      <c r="F1055" s="53" t="s">
        <v>44</v>
      </c>
      <c r="G1055" s="53"/>
      <c r="H1055" s="55"/>
      <c r="I1055" s="55"/>
      <c r="J1055" s="55"/>
      <c r="K1055" s="53" t="s">
        <v>45</v>
      </c>
      <c r="L1055" s="53" t="s">
        <v>50</v>
      </c>
      <c r="M1055" s="53">
        <v>1620.0</v>
      </c>
      <c r="N1055" s="53">
        <v>230.0</v>
      </c>
      <c r="O1055" s="53">
        <v>15.53</v>
      </c>
      <c r="P1055" s="55">
        <f t="shared" si="61"/>
        <v>3571.9</v>
      </c>
      <c r="Q1055" s="55"/>
      <c r="R1055" s="105">
        <f t="shared" si="62"/>
        <v>3571.9</v>
      </c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</row>
    <row r="1056">
      <c r="A1056" s="2"/>
      <c r="B1056" s="52">
        <v>5.0</v>
      </c>
      <c r="C1056" s="53">
        <v>1.004663652E9</v>
      </c>
      <c r="D1056" s="54">
        <v>46058.0</v>
      </c>
      <c r="E1056" s="53" t="s">
        <v>47</v>
      </c>
      <c r="F1056" s="53" t="s">
        <v>44</v>
      </c>
      <c r="G1056" s="53" t="s">
        <v>48</v>
      </c>
      <c r="H1056" s="53" t="s">
        <v>49</v>
      </c>
      <c r="I1056" s="55"/>
      <c r="J1056" s="55"/>
      <c r="K1056" s="53" t="s">
        <v>45</v>
      </c>
      <c r="L1056" s="53" t="s">
        <v>52</v>
      </c>
      <c r="M1056" s="53">
        <v>1444.0</v>
      </c>
      <c r="N1056" s="53">
        <v>250.0</v>
      </c>
      <c r="O1056" s="53">
        <v>15.53</v>
      </c>
      <c r="P1056" s="55">
        <f t="shared" si="61"/>
        <v>3882.5</v>
      </c>
      <c r="Q1056" s="55"/>
      <c r="R1056" s="105">
        <f t="shared" si="62"/>
        <v>3882.5</v>
      </c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</row>
    <row r="1057">
      <c r="A1057" s="2"/>
      <c r="B1057" s="52">
        <v>6.0</v>
      </c>
      <c r="C1057" s="53">
        <v>1.004664748E9</v>
      </c>
      <c r="D1057" s="54">
        <v>46058.0</v>
      </c>
      <c r="E1057" s="53" t="s">
        <v>51</v>
      </c>
      <c r="F1057" s="53" t="s">
        <v>44</v>
      </c>
      <c r="G1057" s="55"/>
      <c r="H1057" s="55"/>
      <c r="I1057" s="55"/>
      <c r="J1057" s="55"/>
      <c r="K1057" s="53" t="s">
        <v>45</v>
      </c>
      <c r="L1057" s="53" t="s">
        <v>53</v>
      </c>
      <c r="M1057" s="53">
        <v>1683.0</v>
      </c>
      <c r="N1057" s="53">
        <v>230.0</v>
      </c>
      <c r="O1057" s="53">
        <v>15.53</v>
      </c>
      <c r="P1057" s="55">
        <f t="shared" si="61"/>
        <v>3571.9</v>
      </c>
      <c r="Q1057" s="55"/>
      <c r="R1057" s="105">
        <f t="shared" si="62"/>
        <v>3571.9</v>
      </c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</row>
    <row r="1058">
      <c r="A1058" s="2"/>
      <c r="B1058" s="52">
        <v>7.0</v>
      </c>
      <c r="C1058" s="53">
        <v>1.004664765E9</v>
      </c>
      <c r="D1058" s="54">
        <v>46058.0</v>
      </c>
      <c r="E1058" s="53" t="s">
        <v>51</v>
      </c>
      <c r="F1058" s="53" t="s">
        <v>44</v>
      </c>
      <c r="G1058" s="53"/>
      <c r="H1058" s="53"/>
      <c r="I1058" s="55"/>
      <c r="J1058" s="55"/>
      <c r="K1058" s="53" t="s">
        <v>45</v>
      </c>
      <c r="L1058" s="53" t="s">
        <v>112</v>
      </c>
      <c r="M1058" s="53">
        <v>1519.0</v>
      </c>
      <c r="N1058" s="53">
        <v>230.0</v>
      </c>
      <c r="O1058" s="53">
        <v>15.53</v>
      </c>
      <c r="P1058" s="55">
        <f t="shared" si="61"/>
        <v>3571.9</v>
      </c>
      <c r="Q1058" s="55"/>
      <c r="R1058" s="105">
        <f t="shared" si="62"/>
        <v>3571.9</v>
      </c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</row>
    <row r="1059">
      <c r="A1059" s="2"/>
      <c r="B1059" s="52">
        <v>8.0</v>
      </c>
      <c r="C1059" s="53">
        <v>1.004664693E9</v>
      </c>
      <c r="D1059" s="54">
        <v>46058.0</v>
      </c>
      <c r="E1059" s="53" t="s">
        <v>51</v>
      </c>
      <c r="F1059" s="53" t="s">
        <v>44</v>
      </c>
      <c r="G1059" s="53"/>
      <c r="H1059" s="53"/>
      <c r="I1059" s="55"/>
      <c r="J1059" s="55"/>
      <c r="K1059" s="53" t="s">
        <v>45</v>
      </c>
      <c r="L1059" s="53" t="s">
        <v>54</v>
      </c>
      <c r="M1059" s="53">
        <v>1745.0</v>
      </c>
      <c r="N1059" s="53">
        <v>230.0</v>
      </c>
      <c r="O1059" s="53">
        <v>15.53</v>
      </c>
      <c r="P1059" s="55">
        <f t="shared" si="61"/>
        <v>3571.9</v>
      </c>
      <c r="Q1059" s="55"/>
      <c r="R1059" s="105">
        <f t="shared" si="62"/>
        <v>3571.9</v>
      </c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</row>
    <row r="1060">
      <c r="A1060" s="2"/>
      <c r="B1060" s="52">
        <v>9.0</v>
      </c>
      <c r="C1060" s="53">
        <v>1.004663099E9</v>
      </c>
      <c r="D1060" s="54">
        <v>46058.0</v>
      </c>
      <c r="E1060" s="53" t="s">
        <v>82</v>
      </c>
      <c r="F1060" s="53" t="s">
        <v>86</v>
      </c>
      <c r="G1060" s="53" t="s">
        <v>84</v>
      </c>
      <c r="H1060" s="53"/>
      <c r="I1060" s="55"/>
      <c r="J1060" s="55"/>
      <c r="K1060" s="53" t="s">
        <v>38</v>
      </c>
      <c r="L1060" s="53" t="s">
        <v>89</v>
      </c>
      <c r="M1060" s="53">
        <v>3838.0</v>
      </c>
      <c r="N1060" s="53">
        <v>384.0</v>
      </c>
      <c r="O1060" s="53">
        <v>19.28</v>
      </c>
      <c r="P1060" s="55">
        <f t="shared" si="61"/>
        <v>7403.52</v>
      </c>
      <c r="Q1060" s="53">
        <v>755.0</v>
      </c>
      <c r="R1060" s="105">
        <f t="shared" si="62"/>
        <v>8158.52</v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</row>
    <row r="1061">
      <c r="A1061" s="2"/>
      <c r="B1061" s="52">
        <v>10.0</v>
      </c>
      <c r="C1061" s="53">
        <v>1.004665315E9</v>
      </c>
      <c r="D1061" s="54">
        <v>46058.0</v>
      </c>
      <c r="E1061" s="53" t="s">
        <v>55</v>
      </c>
      <c r="F1061" s="53"/>
      <c r="G1061" s="53" t="s">
        <v>57</v>
      </c>
      <c r="H1061" s="53" t="s">
        <v>59</v>
      </c>
      <c r="I1061" s="55"/>
      <c r="J1061" s="55"/>
      <c r="K1061" s="53" t="s">
        <v>33</v>
      </c>
      <c r="L1061" s="53" t="s">
        <v>60</v>
      </c>
      <c r="M1061" s="53">
        <v>1688.0</v>
      </c>
      <c r="N1061" s="53">
        <v>418.0</v>
      </c>
      <c r="O1061" s="53">
        <v>15.53</v>
      </c>
      <c r="P1061" s="55">
        <f t="shared" si="61"/>
        <v>6491.54</v>
      </c>
      <c r="Q1061" s="53"/>
      <c r="R1061" s="105">
        <f t="shared" si="62"/>
        <v>6491.54</v>
      </c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</row>
    <row r="1062">
      <c r="A1062" s="2"/>
      <c r="B1062" s="8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5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</row>
    <row r="1063">
      <c r="A1063" s="2"/>
      <c r="B1063" s="72" t="s">
        <v>64</v>
      </c>
      <c r="C1063" s="68"/>
      <c r="D1063" s="73" t="str">
        <f>MONEYTEXT(R1063, "INR")</f>
        <v>Forty-six thousand and sixty-two Indian rupees and fifty-one paise</v>
      </c>
      <c r="E1063" s="68"/>
      <c r="F1063" s="68"/>
      <c r="G1063" s="68"/>
      <c r="H1063" s="68"/>
      <c r="I1063" s="68"/>
      <c r="J1063" s="68"/>
      <c r="K1063" s="68"/>
      <c r="L1063" s="68"/>
      <c r="M1063" s="68"/>
      <c r="N1063" s="74" t="s">
        <v>65</v>
      </c>
      <c r="O1063" s="4"/>
      <c r="P1063" s="75">
        <f t="shared" ref="P1063:R1063" si="63">SUM(P1052:P1061)</f>
        <v>45307.51</v>
      </c>
      <c r="Q1063" s="75">
        <f t="shared" si="63"/>
        <v>755</v>
      </c>
      <c r="R1063" s="75">
        <f t="shared" si="63"/>
        <v>46062.51</v>
      </c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</row>
    <row r="1064">
      <c r="A1064" s="2"/>
      <c r="B1064" s="72" t="s">
        <v>66</v>
      </c>
      <c r="C1064" s="68"/>
      <c r="D1064" s="68"/>
      <c r="E1064" s="68"/>
      <c r="F1064" s="68"/>
      <c r="G1064" s="68"/>
      <c r="H1064" s="68"/>
      <c r="I1064" s="68"/>
      <c r="J1064" s="68"/>
      <c r="K1064" s="68"/>
      <c r="L1064" s="68"/>
      <c r="M1064" s="68"/>
      <c r="N1064" s="68"/>
      <c r="O1064" s="76"/>
      <c r="P1064" s="78" t="s">
        <v>67</v>
      </c>
      <c r="Q1064" s="31"/>
      <c r="R1064" s="3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</row>
    <row r="1065">
      <c r="A1065" s="2"/>
      <c r="B1065" s="81" t="s">
        <v>68</v>
      </c>
      <c r="P1065" s="29"/>
      <c r="Q1065" s="29"/>
      <c r="R1065" s="8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</row>
    <row r="1066">
      <c r="A1066" s="2"/>
      <c r="B1066" s="81" t="s">
        <v>70</v>
      </c>
      <c r="P1066" s="29"/>
      <c r="Q1066" s="29"/>
      <c r="R1066" s="8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</row>
    <row r="1067">
      <c r="A1067" s="2"/>
      <c r="B1067" s="11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66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</row>
    <row r="1068">
      <c r="A1068" s="2"/>
      <c r="B1068" s="11"/>
      <c r="C1068" s="2"/>
      <c r="D1068" s="2"/>
      <c r="E1068" s="2"/>
      <c r="F1068" s="2"/>
      <c r="G1068" s="2"/>
      <c r="H1068" s="2"/>
      <c r="I1068" s="2"/>
      <c r="J1068" s="2"/>
      <c r="K1068" s="87" t="s">
        <v>71</v>
      </c>
      <c r="L1068" s="2"/>
      <c r="M1068" s="2"/>
      <c r="N1068" s="2"/>
      <c r="O1068" s="2"/>
      <c r="P1068" s="12" t="s">
        <v>72</v>
      </c>
      <c r="R1068" s="10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</row>
    <row r="1069">
      <c r="A1069" s="2"/>
      <c r="B1069" s="90"/>
      <c r="C1069" s="3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91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</row>
    <row r="1070">
      <c r="A1070" s="2"/>
      <c r="B1070" s="177"/>
      <c r="C1070" s="177"/>
      <c r="D1070" s="177"/>
      <c r="E1070" s="177"/>
      <c r="F1070" s="177"/>
      <c r="G1070" s="177"/>
      <c r="H1070" s="177"/>
      <c r="I1070" s="177"/>
      <c r="J1070" s="177"/>
      <c r="K1070" s="177"/>
      <c r="L1070" s="177"/>
      <c r="M1070" s="177"/>
      <c r="N1070" s="177"/>
      <c r="O1070" s="177"/>
      <c r="P1070" s="177"/>
      <c r="Q1070" s="177"/>
      <c r="R1070" s="177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</row>
    <row r="1071">
      <c r="A1071" s="2"/>
      <c r="B1071" s="177"/>
      <c r="C1071" s="177"/>
      <c r="D1071" s="177"/>
      <c r="E1071" s="177"/>
      <c r="F1071" s="177"/>
      <c r="G1071" s="177"/>
      <c r="H1071" s="177"/>
      <c r="I1071" s="177"/>
      <c r="J1071" s="177"/>
      <c r="K1071" s="177"/>
      <c r="L1071" s="177"/>
      <c r="M1071" s="177"/>
      <c r="N1071" s="177"/>
      <c r="O1071" s="177"/>
      <c r="P1071" s="177"/>
      <c r="Q1071" s="177"/>
      <c r="R1071" s="177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</row>
    <row r="1072">
      <c r="A1072" s="2"/>
      <c r="B1072" s="177"/>
      <c r="C1072" s="177"/>
      <c r="D1072" s="177"/>
      <c r="E1072" s="177"/>
      <c r="F1072" s="177"/>
      <c r="G1072" s="177"/>
      <c r="H1072" s="177"/>
      <c r="I1072" s="177"/>
      <c r="J1072" s="177"/>
      <c r="K1072" s="177"/>
      <c r="L1072" s="177"/>
      <c r="M1072" s="177"/>
      <c r="N1072" s="177"/>
      <c r="O1072" s="177"/>
      <c r="P1072" s="177"/>
      <c r="Q1072" s="177"/>
      <c r="R1072" s="177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</row>
    <row r="1073">
      <c r="A1073" s="2"/>
      <c r="B1073" s="176" t="s">
        <v>1</v>
      </c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5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</row>
    <row r="1074">
      <c r="A1074" s="2"/>
      <c r="B1074" s="8"/>
      <c r="F1074" s="9"/>
      <c r="G1074" s="9"/>
      <c r="H1074" s="9"/>
      <c r="I1074" s="9"/>
      <c r="J1074" s="9" t="s">
        <v>2</v>
      </c>
      <c r="N1074" s="6"/>
      <c r="R1074" s="10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</row>
    <row r="1075">
      <c r="A1075" s="2"/>
      <c r="B1075" s="13"/>
      <c r="F1075" s="9"/>
      <c r="G1075" s="9"/>
      <c r="H1075" s="9"/>
      <c r="I1075" s="9"/>
      <c r="J1075" s="9" t="s">
        <v>3</v>
      </c>
      <c r="N1075" s="6"/>
      <c r="R1075" s="10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</row>
    <row r="1076">
      <c r="A1076" s="2"/>
      <c r="B1076" s="13" t="s">
        <v>4</v>
      </c>
      <c r="R1076" s="10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</row>
    <row r="1077">
      <c r="A1077" s="2"/>
      <c r="B1077" s="16" t="s">
        <v>5</v>
      </c>
      <c r="C1077" s="17" t="s">
        <v>6</v>
      </c>
      <c r="D1077" s="4"/>
      <c r="E1077" s="4"/>
      <c r="F1077" s="4"/>
      <c r="G1077" s="4"/>
      <c r="H1077" s="4"/>
      <c r="I1077" s="4"/>
      <c r="J1077" s="4"/>
      <c r="K1077" s="5"/>
      <c r="L1077" s="18" t="s">
        <v>7</v>
      </c>
      <c r="M1077" s="19">
        <v>44.0</v>
      </c>
      <c r="N1077" s="20"/>
      <c r="O1077" s="4"/>
      <c r="P1077" s="4"/>
      <c r="Q1077" s="4"/>
      <c r="R1077" s="5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</row>
    <row r="1078">
      <c r="A1078" s="2"/>
      <c r="B1078" s="26"/>
      <c r="C1078" s="27" t="s">
        <v>8</v>
      </c>
      <c r="K1078" s="10"/>
      <c r="L1078" s="18" t="s">
        <v>9</v>
      </c>
      <c r="M1078" s="175">
        <v>46058.0</v>
      </c>
      <c r="N1078" s="6"/>
      <c r="R1078" s="10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</row>
    <row r="1079">
      <c r="A1079" s="2"/>
      <c r="B1079" s="16" t="s">
        <v>11</v>
      </c>
      <c r="C1079" s="30" t="s">
        <v>12</v>
      </c>
      <c r="D1079" s="31"/>
      <c r="E1079" s="31"/>
      <c r="F1079" s="31"/>
      <c r="G1079" s="31"/>
      <c r="H1079" s="31"/>
      <c r="I1079" s="31"/>
      <c r="J1079" s="31"/>
      <c r="K1079" s="32"/>
      <c r="L1079" s="18" t="s">
        <v>13</v>
      </c>
      <c r="M1079" s="33" t="s">
        <v>14</v>
      </c>
      <c r="N1079" s="34"/>
      <c r="O1079" s="31"/>
      <c r="P1079" s="31"/>
      <c r="Q1079" s="31"/>
      <c r="R1079" s="3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</row>
    <row r="1080">
      <c r="A1080" s="2"/>
      <c r="B1080" s="8"/>
      <c r="R1080" s="10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</row>
    <row r="1081">
      <c r="A1081" s="2"/>
      <c r="B1081" s="39" t="s">
        <v>15</v>
      </c>
      <c r="C1081" s="40" t="s">
        <v>16</v>
      </c>
      <c r="D1081" s="41" t="s">
        <v>17</v>
      </c>
      <c r="E1081" s="41" t="s">
        <v>18</v>
      </c>
      <c r="F1081" s="42" t="s">
        <v>19</v>
      </c>
      <c r="G1081" s="43"/>
      <c r="H1081" s="43"/>
      <c r="I1081" s="43"/>
      <c r="J1081" s="44"/>
      <c r="K1081" s="41" t="s">
        <v>20</v>
      </c>
      <c r="L1081" s="41" t="s">
        <v>21</v>
      </c>
      <c r="M1081" s="41" t="s">
        <v>22</v>
      </c>
      <c r="N1081" s="41" t="s">
        <v>23</v>
      </c>
      <c r="O1081" s="41" t="s">
        <v>24</v>
      </c>
      <c r="P1081" s="41" t="s">
        <v>25</v>
      </c>
      <c r="Q1081" s="41" t="s">
        <v>26</v>
      </c>
      <c r="R1081" s="45" t="s">
        <v>27</v>
      </c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</row>
    <row r="1082">
      <c r="A1082" s="2"/>
      <c r="B1082" s="52">
        <v>1.0</v>
      </c>
      <c r="C1082" s="53">
        <v>1.004664211E9</v>
      </c>
      <c r="D1082" s="54">
        <v>46058.0</v>
      </c>
      <c r="E1082" s="53" t="s">
        <v>55</v>
      </c>
      <c r="F1082" s="53" t="s">
        <v>56</v>
      </c>
      <c r="G1082" s="53" t="s">
        <v>57</v>
      </c>
      <c r="H1082" s="53" t="s">
        <v>103</v>
      </c>
      <c r="I1082" s="53" t="s">
        <v>58</v>
      </c>
      <c r="J1082" s="55"/>
      <c r="K1082" s="53" t="s">
        <v>38</v>
      </c>
      <c r="L1082" s="53" t="s">
        <v>105</v>
      </c>
      <c r="M1082" s="53">
        <v>3539.0</v>
      </c>
      <c r="N1082" s="53">
        <v>572.0</v>
      </c>
      <c r="O1082" s="53" t="s">
        <v>146</v>
      </c>
      <c r="P1082" s="53">
        <v>11028.0</v>
      </c>
      <c r="Q1082" s="53">
        <v>330.0</v>
      </c>
      <c r="R1082" s="105">
        <f t="shared" ref="R1082:R1091" si="64">P1082+Q1082</f>
        <v>11358</v>
      </c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</row>
    <row r="1083">
      <c r="A1083" s="2"/>
      <c r="B1083" s="52">
        <v>2.0</v>
      </c>
      <c r="C1083" s="53">
        <v>1.00466517E9</v>
      </c>
      <c r="D1083" s="54">
        <v>46058.0</v>
      </c>
      <c r="E1083" s="53" t="s">
        <v>61</v>
      </c>
      <c r="F1083" s="53" t="s">
        <v>74</v>
      </c>
      <c r="G1083" s="53" t="s">
        <v>73</v>
      </c>
      <c r="H1083" s="53" t="s">
        <v>62</v>
      </c>
      <c r="I1083" s="53" t="s">
        <v>75</v>
      </c>
      <c r="J1083" s="55"/>
      <c r="K1083" s="53" t="s">
        <v>38</v>
      </c>
      <c r="L1083" s="53" t="s">
        <v>110</v>
      </c>
      <c r="M1083" s="53">
        <v>3509.0</v>
      </c>
      <c r="N1083" s="53">
        <v>560.0</v>
      </c>
      <c r="O1083" s="53">
        <v>19.28</v>
      </c>
      <c r="P1083" s="55">
        <f t="shared" ref="P1083:P1084" si="65">N1083*O1083</f>
        <v>10796.8</v>
      </c>
      <c r="Q1083" s="53">
        <v>815.0</v>
      </c>
      <c r="R1083" s="105">
        <f t="shared" si="64"/>
        <v>11611.8</v>
      </c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</row>
    <row r="1084">
      <c r="A1084" s="2"/>
      <c r="B1084" s="52">
        <v>3.0</v>
      </c>
      <c r="C1084" s="53">
        <v>1.004665121E9</v>
      </c>
      <c r="D1084" s="54">
        <v>46058.0</v>
      </c>
      <c r="E1084" s="53" t="s">
        <v>106</v>
      </c>
      <c r="F1084" s="53" t="s">
        <v>107</v>
      </c>
      <c r="G1084" s="53" t="s">
        <v>109</v>
      </c>
      <c r="H1084" s="53" t="s">
        <v>108</v>
      </c>
      <c r="I1084" s="55"/>
      <c r="J1084" s="55"/>
      <c r="K1084" s="53" t="s">
        <v>38</v>
      </c>
      <c r="L1084" s="53" t="s">
        <v>118</v>
      </c>
      <c r="M1084" s="53">
        <v>3329.0</v>
      </c>
      <c r="N1084" s="53">
        <v>482.0</v>
      </c>
      <c r="O1084" s="53">
        <v>19.28</v>
      </c>
      <c r="P1084" s="55">
        <f t="shared" si="65"/>
        <v>9292.96</v>
      </c>
      <c r="Q1084" s="53">
        <v>1025.0</v>
      </c>
      <c r="R1084" s="105">
        <f t="shared" si="64"/>
        <v>10317.96</v>
      </c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</row>
    <row r="1085">
      <c r="A1085" s="2"/>
      <c r="B1085" s="52">
        <v>4.0</v>
      </c>
      <c r="C1085" s="53">
        <v>1.004665033E9</v>
      </c>
      <c r="D1085" s="54">
        <v>46058.0</v>
      </c>
      <c r="E1085" s="53" t="s">
        <v>82</v>
      </c>
      <c r="F1085" s="53" t="s">
        <v>83</v>
      </c>
      <c r="G1085" s="53"/>
      <c r="H1085" s="55"/>
      <c r="I1085" s="55"/>
      <c r="J1085" s="55"/>
      <c r="K1085" s="53" t="s">
        <v>33</v>
      </c>
      <c r="L1085" s="53" t="s">
        <v>102</v>
      </c>
      <c r="M1085" s="53">
        <v>2021.0</v>
      </c>
      <c r="N1085" s="53">
        <v>122.0</v>
      </c>
      <c r="O1085" s="53">
        <v>15.53</v>
      </c>
      <c r="P1085" s="53">
        <v>1894.66</v>
      </c>
      <c r="Q1085" s="53">
        <v>115.0</v>
      </c>
      <c r="R1085" s="105">
        <f t="shared" si="64"/>
        <v>2009.66</v>
      </c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</row>
    <row r="1086">
      <c r="A1086" s="2"/>
      <c r="B1086" s="52">
        <v>5.0</v>
      </c>
      <c r="C1086" s="53">
        <v>1.004664843E9</v>
      </c>
      <c r="D1086" s="54">
        <v>46058.0</v>
      </c>
      <c r="E1086" s="53" t="s">
        <v>77</v>
      </c>
      <c r="F1086" s="53" t="s">
        <v>116</v>
      </c>
      <c r="G1086" s="53" t="s">
        <v>78</v>
      </c>
      <c r="H1086" s="55"/>
      <c r="I1086" s="55"/>
      <c r="J1086" s="55"/>
      <c r="K1086" s="53" t="s">
        <v>80</v>
      </c>
      <c r="L1086" s="53" t="s">
        <v>124</v>
      </c>
      <c r="M1086" s="53">
        <v>2855.0</v>
      </c>
      <c r="N1086" s="53">
        <v>266.0</v>
      </c>
      <c r="O1086" s="53">
        <v>18.28</v>
      </c>
      <c r="P1086" s="55">
        <f t="shared" ref="P1086:P1091" si="66">N1086*O1086</f>
        <v>4862.48</v>
      </c>
      <c r="Q1086" s="55"/>
      <c r="R1086" s="105">
        <f t="shared" si="64"/>
        <v>4862.48</v>
      </c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</row>
    <row r="1087">
      <c r="A1087" s="2"/>
      <c r="B1087" s="52">
        <v>6.0</v>
      </c>
      <c r="C1087" s="53">
        <v>1.004664832E9</v>
      </c>
      <c r="D1087" s="54">
        <v>46058.0</v>
      </c>
      <c r="E1087" s="53" t="s">
        <v>77</v>
      </c>
      <c r="F1087" s="53" t="s">
        <v>78</v>
      </c>
      <c r="G1087" s="53" t="s">
        <v>79</v>
      </c>
      <c r="H1087" s="55"/>
      <c r="I1087" s="55"/>
      <c r="J1087" s="55"/>
      <c r="K1087" s="53" t="s">
        <v>38</v>
      </c>
      <c r="L1087" s="53" t="s">
        <v>81</v>
      </c>
      <c r="M1087" s="53">
        <v>3189.0</v>
      </c>
      <c r="N1087" s="53">
        <v>416.0</v>
      </c>
      <c r="O1087" s="53">
        <v>19.28</v>
      </c>
      <c r="P1087" s="55">
        <f t="shared" si="66"/>
        <v>8020.48</v>
      </c>
      <c r="Q1087" s="53">
        <v>505.0</v>
      </c>
      <c r="R1087" s="105">
        <f t="shared" si="64"/>
        <v>8525.48</v>
      </c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</row>
    <row r="1088">
      <c r="A1088" s="2"/>
      <c r="B1088" s="52">
        <v>7.0</v>
      </c>
      <c r="C1088" s="53">
        <v>1.004664968E9</v>
      </c>
      <c r="D1088" s="54">
        <v>46058.0</v>
      </c>
      <c r="E1088" s="53" t="s">
        <v>100</v>
      </c>
      <c r="F1088" s="53" t="s">
        <v>83</v>
      </c>
      <c r="G1088" s="53" t="s">
        <v>84</v>
      </c>
      <c r="H1088" s="53"/>
      <c r="I1088" s="55"/>
      <c r="J1088" s="55"/>
      <c r="K1088" s="53" t="s">
        <v>38</v>
      </c>
      <c r="L1088" s="53" t="s">
        <v>104</v>
      </c>
      <c r="M1088" s="53">
        <v>3146.0</v>
      </c>
      <c r="N1088" s="53">
        <v>328.0</v>
      </c>
      <c r="O1088" s="53">
        <v>19.28</v>
      </c>
      <c r="P1088" s="55">
        <f t="shared" si="66"/>
        <v>6323.84</v>
      </c>
      <c r="Q1088" s="55"/>
      <c r="R1088" s="105">
        <f t="shared" si="64"/>
        <v>6323.84</v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</row>
    <row r="1089">
      <c r="A1089" s="2"/>
      <c r="B1089" s="52">
        <v>8.0</v>
      </c>
      <c r="C1089" s="53">
        <v>1.004664938E9</v>
      </c>
      <c r="D1089" s="54">
        <v>46058.0</v>
      </c>
      <c r="E1089" s="53" t="s">
        <v>82</v>
      </c>
      <c r="F1089" s="53" t="s">
        <v>87</v>
      </c>
      <c r="G1089" s="53" t="s">
        <v>88</v>
      </c>
      <c r="H1089" s="53"/>
      <c r="I1089" s="55"/>
      <c r="J1089" s="55"/>
      <c r="K1089" s="53" t="s">
        <v>38</v>
      </c>
      <c r="L1089" s="53" t="s">
        <v>101</v>
      </c>
      <c r="M1089" s="53">
        <v>3788.0</v>
      </c>
      <c r="N1089" s="53">
        <v>484.0</v>
      </c>
      <c r="O1089" s="53">
        <v>19.28</v>
      </c>
      <c r="P1089" s="55">
        <f t="shared" si="66"/>
        <v>9331.52</v>
      </c>
      <c r="Q1089" s="53">
        <v>930.0</v>
      </c>
      <c r="R1089" s="105">
        <f t="shared" si="64"/>
        <v>10261.52</v>
      </c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</row>
    <row r="1090">
      <c r="A1090" s="2"/>
      <c r="B1090" s="52">
        <v>9.0</v>
      </c>
      <c r="C1090" s="53">
        <v>1.004666021E9</v>
      </c>
      <c r="D1090" s="54">
        <v>46117.0</v>
      </c>
      <c r="E1090" s="53" t="s">
        <v>28</v>
      </c>
      <c r="F1090" s="53" t="s">
        <v>29</v>
      </c>
      <c r="G1090" s="53" t="s">
        <v>31</v>
      </c>
      <c r="H1090" s="53"/>
      <c r="I1090" s="55"/>
      <c r="J1090" s="55"/>
      <c r="K1090" s="53" t="s">
        <v>33</v>
      </c>
      <c r="L1090" s="53" t="s">
        <v>34</v>
      </c>
      <c r="M1090" s="53">
        <v>1792.0</v>
      </c>
      <c r="N1090" s="53">
        <v>180.0</v>
      </c>
      <c r="O1090" s="53">
        <v>15.53</v>
      </c>
      <c r="P1090" s="55">
        <f t="shared" si="66"/>
        <v>2795.4</v>
      </c>
      <c r="Q1090" s="53"/>
      <c r="R1090" s="105">
        <f t="shared" si="64"/>
        <v>2795.4</v>
      </c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</row>
    <row r="1091">
      <c r="A1091" s="2"/>
      <c r="B1091" s="52">
        <v>10.0</v>
      </c>
      <c r="C1091" s="53">
        <v>1.004665961E9</v>
      </c>
      <c r="D1091" s="54">
        <v>46117.0</v>
      </c>
      <c r="E1091" s="53" t="s">
        <v>35</v>
      </c>
      <c r="F1091" s="53" t="s">
        <v>36</v>
      </c>
      <c r="G1091" s="53" t="s">
        <v>37</v>
      </c>
      <c r="H1091" s="55"/>
      <c r="I1091" s="55"/>
      <c r="J1091" s="55"/>
      <c r="K1091" s="53" t="s">
        <v>38</v>
      </c>
      <c r="L1091" s="53" t="s">
        <v>41</v>
      </c>
      <c r="M1091" s="53">
        <v>3454.0</v>
      </c>
      <c r="N1091" s="53">
        <v>200.0</v>
      </c>
      <c r="O1091" s="53">
        <v>19.28</v>
      </c>
      <c r="P1091" s="55">
        <f t="shared" si="66"/>
        <v>3856</v>
      </c>
      <c r="Q1091" s="53"/>
      <c r="R1091" s="105">
        <f t="shared" si="64"/>
        <v>3856</v>
      </c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</row>
    <row r="1092">
      <c r="A1092" s="2"/>
      <c r="B1092" s="8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5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</row>
    <row r="1093">
      <c r="A1093" s="2"/>
      <c r="B1093" s="67" t="s">
        <v>64</v>
      </c>
      <c r="C1093" s="68"/>
      <c r="D1093" s="69" t="str">
        <f>MONEYTEXT(R1093, "INR")</f>
        <v>Seventy-one thousand nine hundred twenty-two Indian rupees and fourteen paise</v>
      </c>
      <c r="E1093" s="68"/>
      <c r="F1093" s="68"/>
      <c r="G1093" s="68"/>
      <c r="H1093" s="68"/>
      <c r="I1093" s="68"/>
      <c r="J1093" s="68"/>
      <c r="K1093" s="68"/>
      <c r="L1093" s="68"/>
      <c r="M1093" s="68"/>
      <c r="N1093" s="70" t="s">
        <v>65</v>
      </c>
      <c r="O1093" s="4"/>
      <c r="P1093" s="96">
        <f t="shared" ref="P1093:R1093" si="67">SUM(P1082:P1091)</f>
        <v>68202.14</v>
      </c>
      <c r="Q1093" s="96">
        <f t="shared" si="67"/>
        <v>3720</v>
      </c>
      <c r="R1093" s="96">
        <f t="shared" si="67"/>
        <v>71922.14</v>
      </c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</row>
    <row r="1094">
      <c r="A1094" s="2"/>
      <c r="B1094" s="67" t="s">
        <v>66</v>
      </c>
      <c r="C1094" s="68"/>
      <c r="D1094" s="68"/>
      <c r="E1094" s="68"/>
      <c r="F1094" s="68"/>
      <c r="G1094" s="68"/>
      <c r="H1094" s="68"/>
      <c r="I1094" s="68"/>
      <c r="J1094" s="68"/>
      <c r="K1094" s="68"/>
      <c r="L1094" s="68"/>
      <c r="M1094" s="68"/>
      <c r="N1094" s="68"/>
      <c r="O1094" s="76"/>
      <c r="P1094" s="97" t="s">
        <v>67</v>
      </c>
      <c r="Q1094" s="31"/>
      <c r="R1094" s="3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</row>
    <row r="1095">
      <c r="A1095" s="2"/>
      <c r="B1095" s="79" t="s">
        <v>68</v>
      </c>
      <c r="P1095" s="27"/>
      <c r="Q1095" s="27"/>
      <c r="R1095" s="83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</row>
    <row r="1096">
      <c r="A1096" s="2"/>
      <c r="B1096" s="79" t="s">
        <v>70</v>
      </c>
      <c r="P1096" s="27"/>
      <c r="Q1096" s="27"/>
      <c r="R1096" s="83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</row>
    <row r="1097">
      <c r="A1097" s="2"/>
      <c r="B1097" s="8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5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</row>
    <row r="1098">
      <c r="A1098" s="2"/>
      <c r="B1098" s="8"/>
      <c r="C1098" s="6"/>
      <c r="D1098" s="6"/>
      <c r="E1098" s="6"/>
      <c r="F1098" s="6"/>
      <c r="G1098" s="6"/>
      <c r="H1098" s="6"/>
      <c r="I1098" s="6"/>
      <c r="J1098" s="6"/>
      <c r="K1098" s="19" t="s">
        <v>71</v>
      </c>
      <c r="L1098" s="6"/>
      <c r="M1098" s="6"/>
      <c r="N1098" s="6"/>
      <c r="O1098" s="6"/>
      <c r="P1098" s="9" t="s">
        <v>72</v>
      </c>
      <c r="R1098" s="10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</row>
    <row r="1099">
      <c r="A1099" s="2"/>
      <c r="B1099" s="88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89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</row>
    <row r="1100">
      <c r="A1100" s="2"/>
      <c r="B1100" s="139"/>
      <c r="C1100" s="139"/>
      <c r="D1100" s="139"/>
      <c r="E1100" s="139"/>
      <c r="F1100" s="139"/>
      <c r="G1100" s="139"/>
      <c r="H1100" s="139"/>
      <c r="I1100" s="139"/>
      <c r="J1100" s="139"/>
      <c r="K1100" s="139"/>
      <c r="L1100" s="139"/>
      <c r="M1100" s="139"/>
      <c r="N1100" s="139"/>
      <c r="O1100" s="139"/>
      <c r="P1100" s="139"/>
      <c r="Q1100" s="139"/>
      <c r="R1100" s="139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</row>
    <row r="1101">
      <c r="A1101" s="2"/>
      <c r="B1101" s="139"/>
      <c r="C1101" s="139"/>
      <c r="D1101" s="139"/>
      <c r="E1101" s="139"/>
      <c r="F1101" s="139"/>
      <c r="G1101" s="139"/>
      <c r="H1101" s="139"/>
      <c r="I1101" s="139"/>
      <c r="J1101" s="139"/>
      <c r="K1101" s="139"/>
      <c r="L1101" s="139"/>
      <c r="M1101" s="139"/>
      <c r="N1101" s="139"/>
      <c r="O1101" s="139"/>
      <c r="P1101" s="139"/>
      <c r="Q1101" s="139"/>
      <c r="R1101" s="139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</row>
    <row r="1102">
      <c r="A1102" s="2"/>
      <c r="B1102" s="139"/>
      <c r="C1102" s="139"/>
      <c r="D1102" s="139"/>
      <c r="E1102" s="139"/>
      <c r="F1102" s="139"/>
      <c r="G1102" s="139"/>
      <c r="H1102" s="139"/>
      <c r="I1102" s="139"/>
      <c r="J1102" s="139"/>
      <c r="K1102" s="139"/>
      <c r="L1102" s="139"/>
      <c r="M1102" s="139"/>
      <c r="N1102" s="139"/>
      <c r="O1102" s="139"/>
      <c r="P1102" s="139"/>
      <c r="Q1102" s="139"/>
      <c r="R1102" s="139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</row>
    <row r="1103">
      <c r="A1103" s="2"/>
      <c r="B1103" s="176" t="s">
        <v>1</v>
      </c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5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</row>
    <row r="1104">
      <c r="A1104" s="2"/>
      <c r="B1104" s="8"/>
      <c r="F1104" s="9"/>
      <c r="G1104" s="9"/>
      <c r="H1104" s="9"/>
      <c r="I1104" s="9"/>
      <c r="J1104" s="9" t="s">
        <v>2</v>
      </c>
      <c r="N1104" s="6"/>
      <c r="R1104" s="10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</row>
    <row r="1105">
      <c r="A1105" s="2"/>
      <c r="B1105" s="13"/>
      <c r="F1105" s="9"/>
      <c r="G1105" s="9"/>
      <c r="H1105" s="9"/>
      <c r="I1105" s="9"/>
      <c r="J1105" s="9" t="s">
        <v>3</v>
      </c>
      <c r="N1105" s="6"/>
      <c r="R1105" s="10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</row>
    <row r="1106">
      <c r="A1106" s="2"/>
      <c r="B1106" s="13" t="s">
        <v>4</v>
      </c>
      <c r="R1106" s="10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</row>
    <row r="1107">
      <c r="A1107" s="2"/>
      <c r="B1107" s="16" t="s">
        <v>5</v>
      </c>
      <c r="C1107" s="17" t="s">
        <v>6</v>
      </c>
      <c r="D1107" s="4"/>
      <c r="E1107" s="4"/>
      <c r="F1107" s="4"/>
      <c r="G1107" s="4"/>
      <c r="H1107" s="4"/>
      <c r="I1107" s="4"/>
      <c r="J1107" s="4"/>
      <c r="K1107" s="5"/>
      <c r="L1107" s="18" t="s">
        <v>7</v>
      </c>
      <c r="M1107" s="19">
        <v>45.0</v>
      </c>
      <c r="N1107" s="20"/>
      <c r="O1107" s="4"/>
      <c r="P1107" s="4"/>
      <c r="Q1107" s="4"/>
      <c r="R1107" s="5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</row>
    <row r="1108">
      <c r="A1108" s="2"/>
      <c r="B1108" s="26"/>
      <c r="C1108" s="27" t="s">
        <v>8</v>
      </c>
      <c r="K1108" s="10"/>
      <c r="L1108" s="18" t="s">
        <v>9</v>
      </c>
      <c r="M1108" s="175">
        <v>46058.0</v>
      </c>
      <c r="N1108" s="6"/>
      <c r="R1108" s="10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</row>
    <row r="1109">
      <c r="A1109" s="2"/>
      <c r="B1109" s="16" t="s">
        <v>11</v>
      </c>
      <c r="C1109" s="30" t="s">
        <v>12</v>
      </c>
      <c r="D1109" s="31"/>
      <c r="E1109" s="31"/>
      <c r="F1109" s="31"/>
      <c r="G1109" s="31"/>
      <c r="H1109" s="31"/>
      <c r="I1109" s="31"/>
      <c r="J1109" s="31"/>
      <c r="K1109" s="32"/>
      <c r="L1109" s="18" t="s">
        <v>13</v>
      </c>
      <c r="M1109" s="33" t="s">
        <v>14</v>
      </c>
      <c r="N1109" s="34"/>
      <c r="O1109" s="31"/>
      <c r="P1109" s="31"/>
      <c r="Q1109" s="31"/>
      <c r="R1109" s="3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</row>
    <row r="1110">
      <c r="A1110" s="2"/>
      <c r="B1110" s="8"/>
      <c r="R1110" s="10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</row>
    <row r="1111">
      <c r="A1111" s="2"/>
      <c r="B1111" s="39" t="s">
        <v>15</v>
      </c>
      <c r="C1111" s="40" t="s">
        <v>16</v>
      </c>
      <c r="D1111" s="41" t="s">
        <v>17</v>
      </c>
      <c r="E1111" s="41" t="s">
        <v>18</v>
      </c>
      <c r="F1111" s="42" t="s">
        <v>19</v>
      </c>
      <c r="G1111" s="43"/>
      <c r="H1111" s="43"/>
      <c r="I1111" s="43"/>
      <c r="J1111" s="44"/>
      <c r="K1111" s="41" t="s">
        <v>20</v>
      </c>
      <c r="L1111" s="41" t="s">
        <v>21</v>
      </c>
      <c r="M1111" s="41" t="s">
        <v>22</v>
      </c>
      <c r="N1111" s="41" t="s">
        <v>23</v>
      </c>
      <c r="O1111" s="41" t="s">
        <v>24</v>
      </c>
      <c r="P1111" s="41" t="s">
        <v>25</v>
      </c>
      <c r="Q1111" s="41" t="s">
        <v>26</v>
      </c>
      <c r="R1111" s="45" t="s">
        <v>27</v>
      </c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</row>
    <row r="1112">
      <c r="A1112" s="2"/>
      <c r="B1112" s="52">
        <v>1.0</v>
      </c>
      <c r="C1112" s="53">
        <v>1.004665979E9</v>
      </c>
      <c r="D1112" s="54">
        <v>46117.0</v>
      </c>
      <c r="E1112" s="53" t="s">
        <v>35</v>
      </c>
      <c r="F1112" s="53" t="s">
        <v>36</v>
      </c>
      <c r="G1112" s="53"/>
      <c r="H1112" s="53"/>
      <c r="I1112" s="55"/>
      <c r="J1112" s="55"/>
      <c r="K1112" s="53" t="s">
        <v>33</v>
      </c>
      <c r="L1112" s="53" t="s">
        <v>85</v>
      </c>
      <c r="M1112" s="53">
        <v>2146.0</v>
      </c>
      <c r="N1112" s="53">
        <v>130.0</v>
      </c>
      <c r="O1112" s="53">
        <v>15.53</v>
      </c>
      <c r="P1112" s="55">
        <f t="shared" ref="P1112:P1121" si="68">N1112*O1112</f>
        <v>2018.9</v>
      </c>
      <c r="Q1112" s="53"/>
      <c r="R1112" s="105">
        <f t="shared" ref="R1112:R1121" si="69">P1112+Q1112</f>
        <v>2018.9</v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</row>
    <row r="1113">
      <c r="A1113" s="2"/>
      <c r="B1113" s="52">
        <v>2.0</v>
      </c>
      <c r="C1113" s="53">
        <v>1.004665968E9</v>
      </c>
      <c r="D1113" s="54">
        <v>46117.0</v>
      </c>
      <c r="E1113" s="53" t="s">
        <v>35</v>
      </c>
      <c r="F1113" s="53" t="s">
        <v>36</v>
      </c>
      <c r="G1113" s="53" t="s">
        <v>40</v>
      </c>
      <c r="H1113" s="53"/>
      <c r="I1113" s="55"/>
      <c r="J1113" s="55"/>
      <c r="K1113" s="53" t="s">
        <v>38</v>
      </c>
      <c r="L1113" s="53" t="s">
        <v>96</v>
      </c>
      <c r="M1113" s="53">
        <v>3211.0</v>
      </c>
      <c r="N1113" s="53">
        <v>150.0</v>
      </c>
      <c r="O1113" s="53">
        <v>19.28</v>
      </c>
      <c r="P1113" s="55">
        <f t="shared" si="68"/>
        <v>2892</v>
      </c>
      <c r="Q1113" s="55"/>
      <c r="R1113" s="105">
        <f t="shared" si="69"/>
        <v>2892</v>
      </c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</row>
    <row r="1114">
      <c r="A1114" s="2"/>
      <c r="B1114" s="52">
        <v>3.0</v>
      </c>
      <c r="C1114" s="53">
        <v>1.004666061E9</v>
      </c>
      <c r="D1114" s="54">
        <v>46117.0</v>
      </c>
      <c r="E1114" s="53" t="s">
        <v>42</v>
      </c>
      <c r="F1114" s="53" t="s">
        <v>43</v>
      </c>
      <c r="G1114" s="53" t="s">
        <v>49</v>
      </c>
      <c r="H1114" s="55"/>
      <c r="I1114" s="55"/>
      <c r="J1114" s="55"/>
      <c r="K1114" s="53" t="s">
        <v>45</v>
      </c>
      <c r="L1114" s="53" t="s">
        <v>98</v>
      </c>
      <c r="M1114" s="53">
        <v>1528.0</v>
      </c>
      <c r="N1114" s="53">
        <v>299.0</v>
      </c>
      <c r="O1114" s="53">
        <v>15.53</v>
      </c>
      <c r="P1114" s="55">
        <f t="shared" si="68"/>
        <v>4643.47</v>
      </c>
      <c r="Q1114" s="55"/>
      <c r="R1114" s="105">
        <f t="shared" si="69"/>
        <v>4643.47</v>
      </c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</row>
    <row r="1115">
      <c r="A1115" s="2"/>
      <c r="B1115" s="52">
        <v>4.0</v>
      </c>
      <c r="C1115" s="53">
        <v>1.00466609E9</v>
      </c>
      <c r="D1115" s="54">
        <v>46117.0</v>
      </c>
      <c r="E1115" s="53" t="s">
        <v>51</v>
      </c>
      <c r="F1115" s="53" t="s">
        <v>44</v>
      </c>
      <c r="G1115" s="53"/>
      <c r="H1115" s="55"/>
      <c r="I1115" s="55"/>
      <c r="J1115" s="55"/>
      <c r="K1115" s="53" t="s">
        <v>45</v>
      </c>
      <c r="L1115" s="53" t="s">
        <v>50</v>
      </c>
      <c r="M1115" s="53">
        <v>1517.0</v>
      </c>
      <c r="N1115" s="53">
        <v>230.0</v>
      </c>
      <c r="O1115" s="53">
        <v>15.53</v>
      </c>
      <c r="P1115" s="55">
        <f t="shared" si="68"/>
        <v>3571.9</v>
      </c>
      <c r="Q1115" s="55"/>
      <c r="R1115" s="105">
        <f t="shared" si="69"/>
        <v>3571.9</v>
      </c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</row>
    <row r="1116">
      <c r="A1116" s="2"/>
      <c r="B1116" s="52">
        <v>5.0</v>
      </c>
      <c r="C1116" s="53">
        <v>1.004666099E9</v>
      </c>
      <c r="D1116" s="54">
        <v>46117.0</v>
      </c>
      <c r="E1116" s="53" t="s">
        <v>51</v>
      </c>
      <c r="F1116" s="53" t="s">
        <v>44</v>
      </c>
      <c r="G1116" s="53"/>
      <c r="H1116" s="55"/>
      <c r="I1116" s="55"/>
      <c r="J1116" s="55"/>
      <c r="K1116" s="53" t="s">
        <v>45</v>
      </c>
      <c r="L1116" s="53" t="s">
        <v>52</v>
      </c>
      <c r="M1116" s="53">
        <v>1691.0</v>
      </c>
      <c r="N1116" s="53">
        <v>230.0</v>
      </c>
      <c r="O1116" s="53">
        <v>15.53</v>
      </c>
      <c r="P1116" s="55">
        <f t="shared" si="68"/>
        <v>3571.9</v>
      </c>
      <c r="Q1116" s="55"/>
      <c r="R1116" s="105">
        <f t="shared" si="69"/>
        <v>3571.9</v>
      </c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</row>
    <row r="1117">
      <c r="A1117" s="2"/>
      <c r="B1117" s="52">
        <v>6.0</v>
      </c>
      <c r="C1117" s="53">
        <v>1.004666775E9</v>
      </c>
      <c r="D1117" s="54">
        <v>46117.0</v>
      </c>
      <c r="E1117" s="53" t="s">
        <v>51</v>
      </c>
      <c r="F1117" s="53" t="s">
        <v>44</v>
      </c>
      <c r="G1117" s="55"/>
      <c r="H1117" s="55"/>
      <c r="I1117" s="55"/>
      <c r="J1117" s="55"/>
      <c r="K1117" s="53" t="s">
        <v>45</v>
      </c>
      <c r="L1117" s="53" t="s">
        <v>117</v>
      </c>
      <c r="M1117" s="53">
        <v>1553.0</v>
      </c>
      <c r="N1117" s="53">
        <v>230.0</v>
      </c>
      <c r="O1117" s="53">
        <v>15.53</v>
      </c>
      <c r="P1117" s="55">
        <f t="shared" si="68"/>
        <v>3571.9</v>
      </c>
      <c r="Q1117" s="55"/>
      <c r="R1117" s="105">
        <f t="shared" si="69"/>
        <v>3571.9</v>
      </c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</row>
    <row r="1118">
      <c r="A1118" s="2"/>
      <c r="B1118" s="52">
        <v>7.0</v>
      </c>
      <c r="C1118" s="53">
        <v>1.004666233E9</v>
      </c>
      <c r="D1118" s="54">
        <v>46117.0</v>
      </c>
      <c r="E1118" s="53" t="s">
        <v>51</v>
      </c>
      <c r="F1118" s="53" t="s">
        <v>44</v>
      </c>
      <c r="G1118" s="53"/>
      <c r="H1118" s="53"/>
      <c r="I1118" s="55"/>
      <c r="J1118" s="55"/>
      <c r="K1118" s="53" t="s">
        <v>45</v>
      </c>
      <c r="L1118" s="53" t="s">
        <v>147</v>
      </c>
      <c r="M1118" s="53">
        <v>1696.0</v>
      </c>
      <c r="N1118" s="53">
        <v>230.0</v>
      </c>
      <c r="O1118" s="53">
        <v>15.53</v>
      </c>
      <c r="P1118" s="55">
        <f t="shared" si="68"/>
        <v>3571.9</v>
      </c>
      <c r="Q1118" s="55"/>
      <c r="R1118" s="105">
        <f t="shared" si="69"/>
        <v>3571.9</v>
      </c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</row>
    <row r="1119">
      <c r="A1119" s="2"/>
      <c r="B1119" s="52">
        <v>8.0</v>
      </c>
      <c r="C1119" s="53">
        <v>1.004666274E9</v>
      </c>
      <c r="D1119" s="54">
        <v>46117.0</v>
      </c>
      <c r="E1119" s="53" t="s">
        <v>51</v>
      </c>
      <c r="F1119" s="53" t="s">
        <v>44</v>
      </c>
      <c r="G1119" s="53"/>
      <c r="H1119" s="53"/>
      <c r="I1119" s="55"/>
      <c r="J1119" s="55"/>
      <c r="K1119" s="53" t="s">
        <v>45</v>
      </c>
      <c r="L1119" s="53" t="s">
        <v>123</v>
      </c>
      <c r="M1119" s="53">
        <v>1578.0</v>
      </c>
      <c r="N1119" s="53">
        <v>230.0</v>
      </c>
      <c r="O1119" s="53">
        <v>15.53</v>
      </c>
      <c r="P1119" s="55">
        <f t="shared" si="68"/>
        <v>3571.9</v>
      </c>
      <c r="Q1119" s="55"/>
      <c r="R1119" s="105">
        <f t="shared" si="69"/>
        <v>3571.9</v>
      </c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</row>
    <row r="1120">
      <c r="A1120" s="2"/>
      <c r="B1120" s="52">
        <v>9.0</v>
      </c>
      <c r="C1120" s="53">
        <v>1.004667079E9</v>
      </c>
      <c r="D1120" s="54">
        <v>46117.0</v>
      </c>
      <c r="E1120" s="53" t="s">
        <v>51</v>
      </c>
      <c r="F1120" s="53" t="s">
        <v>44</v>
      </c>
      <c r="G1120" s="55"/>
      <c r="H1120" s="53"/>
      <c r="I1120" s="55"/>
      <c r="J1120" s="55"/>
      <c r="K1120" s="53" t="s">
        <v>45</v>
      </c>
      <c r="L1120" s="53" t="s">
        <v>120</v>
      </c>
      <c r="M1120" s="53">
        <v>1756.0</v>
      </c>
      <c r="N1120" s="53">
        <v>230.0</v>
      </c>
      <c r="O1120" s="53">
        <v>15.53</v>
      </c>
      <c r="P1120" s="55">
        <f t="shared" si="68"/>
        <v>3571.9</v>
      </c>
      <c r="Q1120" s="53"/>
      <c r="R1120" s="105">
        <f t="shared" si="69"/>
        <v>3571.9</v>
      </c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</row>
    <row r="1121">
      <c r="A1121" s="2"/>
      <c r="B1121" s="52">
        <v>10.0</v>
      </c>
      <c r="C1121" s="53">
        <v>1.004667047E9</v>
      </c>
      <c r="D1121" s="54">
        <v>46117.0</v>
      </c>
      <c r="E1121" s="53" t="s">
        <v>51</v>
      </c>
      <c r="F1121" s="53" t="s">
        <v>44</v>
      </c>
      <c r="G1121" s="55"/>
      <c r="H1121" s="55"/>
      <c r="I1121" s="55"/>
      <c r="J1121" s="55"/>
      <c r="K1121" s="53" t="s">
        <v>45</v>
      </c>
      <c r="L1121" s="53" t="s">
        <v>148</v>
      </c>
      <c r="M1121" s="53">
        <v>1669.0</v>
      </c>
      <c r="N1121" s="53">
        <v>230.0</v>
      </c>
      <c r="O1121" s="53">
        <v>15.53</v>
      </c>
      <c r="P1121" s="55">
        <f t="shared" si="68"/>
        <v>3571.9</v>
      </c>
      <c r="Q1121" s="53"/>
      <c r="R1121" s="105">
        <f t="shared" si="69"/>
        <v>3571.9</v>
      </c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</row>
    <row r="1122">
      <c r="A1122" s="2"/>
      <c r="B1122" s="8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5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</row>
    <row r="1123">
      <c r="A1123" s="2"/>
      <c r="B1123" s="67" t="s">
        <v>64</v>
      </c>
      <c r="C1123" s="68"/>
      <c r="D1123" s="69" t="str">
        <f>MONEYTEXT(R1123, "INR")</f>
        <v/>
      </c>
      <c r="E1123" s="68"/>
      <c r="F1123" s="68"/>
      <c r="G1123" s="68"/>
      <c r="H1123" s="68"/>
      <c r="I1123" s="68"/>
      <c r="J1123" s="68"/>
      <c r="K1123" s="68"/>
      <c r="L1123" s="68"/>
      <c r="M1123" s="68"/>
      <c r="N1123" s="70" t="s">
        <v>65</v>
      </c>
      <c r="O1123" s="4"/>
      <c r="P1123" s="96">
        <f t="shared" ref="P1123:R1123" si="70">SUM(P1112:P1121)</f>
        <v>34557.67</v>
      </c>
      <c r="Q1123" s="96">
        <f t="shared" si="70"/>
        <v>0</v>
      </c>
      <c r="R1123" s="96">
        <f t="shared" si="70"/>
        <v>34557.67</v>
      </c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</row>
    <row r="1124">
      <c r="A1124" s="2"/>
      <c r="B1124" s="67" t="s">
        <v>66</v>
      </c>
      <c r="C1124" s="68"/>
      <c r="D1124" s="68"/>
      <c r="E1124" s="68"/>
      <c r="F1124" s="68"/>
      <c r="G1124" s="68"/>
      <c r="H1124" s="68"/>
      <c r="I1124" s="68"/>
      <c r="J1124" s="68"/>
      <c r="K1124" s="68"/>
      <c r="L1124" s="68"/>
      <c r="M1124" s="68"/>
      <c r="N1124" s="68"/>
      <c r="O1124" s="76"/>
      <c r="P1124" s="97" t="s">
        <v>67</v>
      </c>
      <c r="Q1124" s="31"/>
      <c r="R1124" s="3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</row>
    <row r="1125">
      <c r="A1125" s="2"/>
      <c r="B1125" s="79" t="s">
        <v>68</v>
      </c>
      <c r="P1125" s="27"/>
      <c r="Q1125" s="27"/>
      <c r="R1125" s="83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</row>
    <row r="1126">
      <c r="A1126" s="2"/>
      <c r="B1126" s="79" t="s">
        <v>70</v>
      </c>
      <c r="P1126" s="27"/>
      <c r="Q1126" s="27"/>
      <c r="R1126" s="83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</row>
    <row r="1127">
      <c r="A1127" s="2"/>
      <c r="B1127" s="8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5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</row>
    <row r="1128">
      <c r="A1128" s="2"/>
      <c r="B1128" s="8"/>
      <c r="C1128" s="6"/>
      <c r="D1128" s="6"/>
      <c r="E1128" s="6"/>
      <c r="F1128" s="6"/>
      <c r="G1128" s="6"/>
      <c r="H1128" s="6"/>
      <c r="I1128" s="6"/>
      <c r="J1128" s="6"/>
      <c r="K1128" s="19" t="s">
        <v>71</v>
      </c>
      <c r="L1128" s="6"/>
      <c r="M1128" s="6"/>
      <c r="N1128" s="6"/>
      <c r="O1128" s="6"/>
      <c r="P1128" s="9" t="s">
        <v>72</v>
      </c>
      <c r="R1128" s="10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</row>
    <row r="1129">
      <c r="A1129" s="2"/>
      <c r="B1129" s="88"/>
      <c r="C1129" s="34"/>
      <c r="D1129" s="34"/>
      <c r="E1129" s="34"/>
      <c r="F1129" s="34"/>
      <c r="G1129" s="34"/>
      <c r="H1129" s="34"/>
      <c r="I1129" s="34"/>
      <c r="J1129" s="34"/>
      <c r="K1129" s="34"/>
      <c r="L1129" s="34"/>
      <c r="M1129" s="34"/>
      <c r="N1129" s="34"/>
      <c r="O1129" s="34"/>
      <c r="P1129" s="34"/>
      <c r="Q1129" s="34"/>
      <c r="R1129" s="89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</row>
    <row r="1130">
      <c r="A1130" s="2"/>
      <c r="B1130" s="139"/>
      <c r="C1130" s="139"/>
      <c r="D1130" s="139"/>
      <c r="E1130" s="139"/>
      <c r="F1130" s="139"/>
      <c r="G1130" s="139"/>
      <c r="H1130" s="139"/>
      <c r="I1130" s="139"/>
      <c r="J1130" s="139"/>
      <c r="K1130" s="139"/>
      <c r="L1130" s="139"/>
      <c r="M1130" s="139"/>
      <c r="N1130" s="139"/>
      <c r="O1130" s="139"/>
      <c r="P1130" s="139"/>
      <c r="Q1130" s="139"/>
      <c r="R1130" s="139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</row>
    <row r="1131">
      <c r="A1131" s="2"/>
      <c r="B1131" s="139"/>
      <c r="C1131" s="139"/>
      <c r="D1131" s="139"/>
      <c r="E1131" s="139"/>
      <c r="F1131" s="139"/>
      <c r="G1131" s="139"/>
      <c r="H1131" s="139"/>
      <c r="I1131" s="139"/>
      <c r="J1131" s="139"/>
      <c r="K1131" s="139"/>
      <c r="L1131" s="139"/>
      <c r="M1131" s="139"/>
      <c r="N1131" s="139"/>
      <c r="O1131" s="139"/>
      <c r="P1131" s="139"/>
      <c r="Q1131" s="139"/>
      <c r="R1131" s="139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</row>
    <row r="1132">
      <c r="A1132" s="2"/>
      <c r="B1132" s="139"/>
      <c r="C1132" s="139"/>
      <c r="D1132" s="139"/>
      <c r="E1132" s="139"/>
      <c r="F1132" s="139"/>
      <c r="G1132" s="139"/>
      <c r="H1132" s="139"/>
      <c r="I1132" s="139"/>
      <c r="J1132" s="139"/>
      <c r="K1132" s="139"/>
      <c r="L1132" s="139"/>
      <c r="M1132" s="139"/>
      <c r="N1132" s="139"/>
      <c r="O1132" s="139"/>
      <c r="P1132" s="139"/>
      <c r="Q1132" s="139"/>
      <c r="R1132" s="139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</row>
    <row r="1133">
      <c r="A1133" s="2"/>
      <c r="B1133" s="139"/>
      <c r="C1133" s="139"/>
      <c r="D1133" s="139"/>
      <c r="E1133" s="139"/>
      <c r="F1133" s="139"/>
      <c r="G1133" s="139"/>
      <c r="H1133" s="139"/>
      <c r="I1133" s="139"/>
      <c r="J1133" s="139"/>
      <c r="K1133" s="139"/>
      <c r="L1133" s="139"/>
      <c r="M1133" s="139"/>
      <c r="N1133" s="139"/>
      <c r="O1133" s="139"/>
      <c r="P1133" s="139"/>
      <c r="Q1133" s="139"/>
      <c r="R1133" s="139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</row>
    <row r="1134">
      <c r="A1134" s="2"/>
      <c r="B1134" s="176" t="s">
        <v>1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5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</row>
    <row r="1135">
      <c r="A1135" s="2"/>
      <c r="B1135" s="8"/>
      <c r="F1135" s="9"/>
      <c r="G1135" s="9"/>
      <c r="H1135" s="9"/>
      <c r="I1135" s="9"/>
      <c r="J1135" s="9" t="s">
        <v>2</v>
      </c>
      <c r="N1135" s="6"/>
      <c r="R1135" s="10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</row>
    <row r="1136">
      <c r="A1136" s="2"/>
      <c r="B1136" s="13"/>
      <c r="F1136" s="9"/>
      <c r="G1136" s="9"/>
      <c r="H1136" s="9"/>
      <c r="I1136" s="9"/>
      <c r="J1136" s="9" t="s">
        <v>3</v>
      </c>
      <c r="N1136" s="6"/>
      <c r="R1136" s="10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</row>
    <row r="1137">
      <c r="A1137" s="2"/>
      <c r="B1137" s="13" t="s">
        <v>4</v>
      </c>
      <c r="R1137" s="10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</row>
    <row r="1138">
      <c r="A1138" s="2"/>
      <c r="B1138" s="16" t="s">
        <v>5</v>
      </c>
      <c r="C1138" s="17" t="s">
        <v>6</v>
      </c>
      <c r="D1138" s="4"/>
      <c r="E1138" s="4"/>
      <c r="F1138" s="4"/>
      <c r="G1138" s="4"/>
      <c r="H1138" s="4"/>
      <c r="I1138" s="4"/>
      <c r="J1138" s="4"/>
      <c r="K1138" s="5"/>
      <c r="L1138" s="18" t="s">
        <v>7</v>
      </c>
      <c r="M1138" s="19">
        <v>46.0</v>
      </c>
      <c r="N1138" s="20"/>
      <c r="O1138" s="4"/>
      <c r="P1138" s="4"/>
      <c r="Q1138" s="4"/>
      <c r="R1138" s="5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</row>
    <row r="1139">
      <c r="A1139" s="2"/>
      <c r="B1139" s="26"/>
      <c r="C1139" s="27" t="s">
        <v>8</v>
      </c>
      <c r="K1139" s="10"/>
      <c r="L1139" s="18" t="s">
        <v>9</v>
      </c>
      <c r="M1139" s="175">
        <v>46058.0</v>
      </c>
      <c r="N1139" s="6"/>
      <c r="R1139" s="10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</row>
    <row r="1140">
      <c r="A1140" s="2"/>
      <c r="B1140" s="16" t="s">
        <v>11</v>
      </c>
      <c r="C1140" s="30" t="s">
        <v>12</v>
      </c>
      <c r="D1140" s="31"/>
      <c r="E1140" s="31"/>
      <c r="F1140" s="31"/>
      <c r="G1140" s="31"/>
      <c r="H1140" s="31"/>
      <c r="I1140" s="31"/>
      <c r="J1140" s="31"/>
      <c r="K1140" s="32"/>
      <c r="L1140" s="18" t="s">
        <v>13</v>
      </c>
      <c r="M1140" s="33" t="s">
        <v>14</v>
      </c>
      <c r="N1140" s="34"/>
      <c r="O1140" s="31"/>
      <c r="P1140" s="31"/>
      <c r="Q1140" s="31"/>
      <c r="R1140" s="3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</row>
    <row r="1141">
      <c r="A1141" s="2"/>
      <c r="B1141" s="8"/>
      <c r="R1141" s="10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</row>
    <row r="1142">
      <c r="A1142" s="2"/>
      <c r="B1142" s="39" t="s">
        <v>15</v>
      </c>
      <c r="C1142" s="40" t="s">
        <v>16</v>
      </c>
      <c r="D1142" s="41" t="s">
        <v>17</v>
      </c>
      <c r="E1142" s="41" t="s">
        <v>18</v>
      </c>
      <c r="F1142" s="42" t="s">
        <v>19</v>
      </c>
      <c r="G1142" s="43"/>
      <c r="H1142" s="43"/>
      <c r="I1142" s="43"/>
      <c r="J1142" s="44"/>
      <c r="K1142" s="41" t="s">
        <v>20</v>
      </c>
      <c r="L1142" s="41" t="s">
        <v>21</v>
      </c>
      <c r="M1142" s="41" t="s">
        <v>22</v>
      </c>
      <c r="N1142" s="41" t="s">
        <v>23</v>
      </c>
      <c r="O1142" s="41" t="s">
        <v>24</v>
      </c>
      <c r="P1142" s="41" t="s">
        <v>25</v>
      </c>
      <c r="Q1142" s="41" t="s">
        <v>26</v>
      </c>
      <c r="R1142" s="45" t="s">
        <v>27</v>
      </c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</row>
    <row r="1143">
      <c r="A1143" s="2"/>
      <c r="B1143" s="52">
        <v>1.0</v>
      </c>
      <c r="C1143" s="53">
        <v>1.004667026E9</v>
      </c>
      <c r="D1143" s="54">
        <v>46117.0</v>
      </c>
      <c r="E1143" s="53" t="s">
        <v>51</v>
      </c>
      <c r="F1143" s="53" t="s">
        <v>44</v>
      </c>
      <c r="G1143" s="53"/>
      <c r="H1143" s="53"/>
      <c r="I1143" s="55"/>
      <c r="J1143" s="55"/>
      <c r="K1143" s="53" t="s">
        <v>45</v>
      </c>
      <c r="L1143" s="53" t="s">
        <v>111</v>
      </c>
      <c r="M1143" s="53">
        <v>1604.0</v>
      </c>
      <c r="N1143" s="53">
        <v>230.0</v>
      </c>
      <c r="O1143" s="53">
        <v>15.53</v>
      </c>
      <c r="P1143" s="55">
        <f t="shared" ref="P1143:P1152" si="71">N1143*O1143</f>
        <v>3571.9</v>
      </c>
      <c r="Q1143" s="53"/>
      <c r="R1143" s="105">
        <f t="shared" ref="R1143:R1152" si="72">P1143+Q1143</f>
        <v>3571.9</v>
      </c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</row>
    <row r="1144">
      <c r="A1144" s="2"/>
      <c r="B1144" s="52">
        <v>2.0</v>
      </c>
      <c r="C1144" s="53">
        <v>1.004666771E9</v>
      </c>
      <c r="D1144" s="54">
        <v>46117.0</v>
      </c>
      <c r="E1144" s="53" t="s">
        <v>51</v>
      </c>
      <c r="F1144" s="53" t="s">
        <v>44</v>
      </c>
      <c r="G1144" s="53"/>
      <c r="H1144" s="53"/>
      <c r="I1144" s="55"/>
      <c r="J1144" s="55"/>
      <c r="K1144" s="53" t="s">
        <v>45</v>
      </c>
      <c r="L1144" s="53" t="s">
        <v>112</v>
      </c>
      <c r="M1144" s="53">
        <v>1665.0</v>
      </c>
      <c r="N1144" s="53">
        <v>230.0</v>
      </c>
      <c r="O1144" s="53">
        <v>15.53</v>
      </c>
      <c r="P1144" s="55">
        <f t="shared" si="71"/>
        <v>3571.9</v>
      </c>
      <c r="Q1144" s="55"/>
      <c r="R1144" s="105">
        <f t="shared" si="72"/>
        <v>3571.9</v>
      </c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</row>
    <row r="1145">
      <c r="A1145" s="2"/>
      <c r="B1145" s="52">
        <v>3.0</v>
      </c>
      <c r="C1145" s="53">
        <v>1.00466675E9</v>
      </c>
      <c r="D1145" s="54">
        <v>46117.0</v>
      </c>
      <c r="E1145" s="53" t="s">
        <v>51</v>
      </c>
      <c r="F1145" s="53" t="s">
        <v>44</v>
      </c>
      <c r="G1145" s="53"/>
      <c r="H1145" s="55"/>
      <c r="I1145" s="55"/>
      <c r="J1145" s="55"/>
      <c r="K1145" s="53" t="s">
        <v>45</v>
      </c>
      <c r="L1145" s="53" t="s">
        <v>54</v>
      </c>
      <c r="M1145" s="53">
        <v>1722.0</v>
      </c>
      <c r="N1145" s="53">
        <v>230.0</v>
      </c>
      <c r="O1145" s="53">
        <v>15.53</v>
      </c>
      <c r="P1145" s="55">
        <f t="shared" si="71"/>
        <v>3571.9</v>
      </c>
      <c r="Q1145" s="55"/>
      <c r="R1145" s="105">
        <f t="shared" si="72"/>
        <v>3571.9</v>
      </c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</row>
    <row r="1146">
      <c r="A1146" s="2"/>
      <c r="B1146" s="52">
        <v>4.0</v>
      </c>
      <c r="C1146" s="53">
        <v>1.004667705E9</v>
      </c>
      <c r="D1146" s="54">
        <v>46117.0</v>
      </c>
      <c r="E1146" s="53" t="s">
        <v>100</v>
      </c>
      <c r="F1146" s="53" t="s">
        <v>87</v>
      </c>
      <c r="G1146" s="53" t="s">
        <v>86</v>
      </c>
      <c r="H1146" s="55"/>
      <c r="I1146" s="55"/>
      <c r="J1146" s="55"/>
      <c r="K1146" s="53" t="s">
        <v>38</v>
      </c>
      <c r="L1146" s="53" t="s">
        <v>89</v>
      </c>
      <c r="M1146" s="53">
        <v>3316.0</v>
      </c>
      <c r="N1146" s="53">
        <v>428.0</v>
      </c>
      <c r="O1146" s="53">
        <v>19.28</v>
      </c>
      <c r="P1146" s="55">
        <f t="shared" si="71"/>
        <v>8251.84</v>
      </c>
      <c r="Q1146" s="55"/>
      <c r="R1146" s="105">
        <f t="shared" si="72"/>
        <v>8251.84</v>
      </c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</row>
    <row r="1147">
      <c r="A1147" s="2"/>
      <c r="B1147" s="52">
        <v>5.0</v>
      </c>
      <c r="C1147" s="53">
        <v>1.004667688E9</v>
      </c>
      <c r="D1147" s="54">
        <v>46117.0</v>
      </c>
      <c r="E1147" s="53" t="s">
        <v>82</v>
      </c>
      <c r="F1147" s="53" t="s">
        <v>88</v>
      </c>
      <c r="G1147" s="53" t="s">
        <v>87</v>
      </c>
      <c r="H1147" s="55"/>
      <c r="I1147" s="55"/>
      <c r="J1147" s="55"/>
      <c r="K1147" s="53" t="s">
        <v>38</v>
      </c>
      <c r="L1147" s="53" t="s">
        <v>101</v>
      </c>
      <c r="M1147" s="53">
        <v>3507.0</v>
      </c>
      <c r="N1147" s="53">
        <v>484.0</v>
      </c>
      <c r="O1147" s="53">
        <v>19.28</v>
      </c>
      <c r="P1147" s="55">
        <f t="shared" si="71"/>
        <v>9331.52</v>
      </c>
      <c r="Q1147" s="53">
        <v>930.0</v>
      </c>
      <c r="R1147" s="105">
        <f t="shared" si="72"/>
        <v>10261.52</v>
      </c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</row>
    <row r="1148">
      <c r="A1148" s="2"/>
      <c r="B1148" s="52">
        <v>6.0</v>
      </c>
      <c r="C1148" s="53">
        <v>1.004667597E9</v>
      </c>
      <c r="D1148" s="54">
        <v>46117.0</v>
      </c>
      <c r="E1148" s="53" t="s">
        <v>61</v>
      </c>
      <c r="F1148" s="53" t="s">
        <v>74</v>
      </c>
      <c r="G1148" s="53" t="s">
        <v>62</v>
      </c>
      <c r="H1148" s="53" t="s">
        <v>75</v>
      </c>
      <c r="I1148" s="55"/>
      <c r="J1148" s="55"/>
      <c r="K1148" s="53" t="s">
        <v>33</v>
      </c>
      <c r="L1148" s="53" t="s">
        <v>76</v>
      </c>
      <c r="M1148" s="53">
        <v>1807.0</v>
      </c>
      <c r="N1148" s="53">
        <v>430.0</v>
      </c>
      <c r="O1148" s="53">
        <v>15.53</v>
      </c>
      <c r="P1148" s="55">
        <f t="shared" si="71"/>
        <v>6677.9</v>
      </c>
      <c r="Q1148" s="55"/>
      <c r="R1148" s="105">
        <f t="shared" si="72"/>
        <v>6677.9</v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</row>
    <row r="1149">
      <c r="A1149" s="2"/>
      <c r="B1149" s="52">
        <v>7.0</v>
      </c>
      <c r="C1149" s="53">
        <v>1.004667595E9</v>
      </c>
      <c r="D1149" s="54">
        <v>46117.0</v>
      </c>
      <c r="E1149" s="53" t="s">
        <v>61</v>
      </c>
      <c r="F1149" s="53" t="s">
        <v>73</v>
      </c>
      <c r="G1149" s="53" t="s">
        <v>75</v>
      </c>
      <c r="H1149" s="53"/>
      <c r="I1149" s="55"/>
      <c r="J1149" s="55"/>
      <c r="K1149" s="53" t="s">
        <v>38</v>
      </c>
      <c r="L1149" s="53" t="s">
        <v>76</v>
      </c>
      <c r="M1149" s="53">
        <v>3050.0</v>
      </c>
      <c r="N1149" s="53">
        <v>560.0</v>
      </c>
      <c r="O1149" s="53">
        <v>19.28</v>
      </c>
      <c r="P1149" s="55">
        <f t="shared" si="71"/>
        <v>10796.8</v>
      </c>
      <c r="Q1149" s="55"/>
      <c r="R1149" s="105">
        <f t="shared" si="72"/>
        <v>10796.8</v>
      </c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</row>
    <row r="1150">
      <c r="A1150" s="2"/>
      <c r="B1150" s="52">
        <v>8.0</v>
      </c>
      <c r="C1150" s="53">
        <v>1.00466736E9</v>
      </c>
      <c r="D1150" s="54">
        <v>46117.0</v>
      </c>
      <c r="E1150" s="53" t="s">
        <v>55</v>
      </c>
      <c r="F1150" s="53" t="s">
        <v>57</v>
      </c>
      <c r="G1150" s="53" t="s">
        <v>103</v>
      </c>
      <c r="H1150" s="53" t="s">
        <v>58</v>
      </c>
      <c r="I1150" s="53" t="s">
        <v>59</v>
      </c>
      <c r="J1150" s="55"/>
      <c r="K1150" s="53" t="s">
        <v>38</v>
      </c>
      <c r="L1150" s="53" t="s">
        <v>149</v>
      </c>
      <c r="M1150" s="53">
        <v>3458.0</v>
      </c>
      <c r="N1150" s="53">
        <v>568.0</v>
      </c>
      <c r="O1150" s="53">
        <v>19.28</v>
      </c>
      <c r="P1150" s="55">
        <f t="shared" si="71"/>
        <v>10951.04</v>
      </c>
      <c r="Q1150" s="53">
        <v>330.0</v>
      </c>
      <c r="R1150" s="105">
        <f t="shared" si="72"/>
        <v>11281.04</v>
      </c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</row>
    <row r="1151">
      <c r="A1151" s="2"/>
      <c r="B1151" s="52">
        <v>9.0</v>
      </c>
      <c r="C1151" s="53">
        <v>1.004667344E9</v>
      </c>
      <c r="D1151" s="54">
        <v>46117.0</v>
      </c>
      <c r="E1151" s="53" t="s">
        <v>55</v>
      </c>
      <c r="F1151" s="53" t="s">
        <v>103</v>
      </c>
      <c r="G1151" s="53" t="s">
        <v>56</v>
      </c>
      <c r="H1151" s="53"/>
      <c r="I1151" s="55"/>
      <c r="J1151" s="55"/>
      <c r="K1151" s="53" t="s">
        <v>38</v>
      </c>
      <c r="L1151" s="53" t="s">
        <v>60</v>
      </c>
      <c r="M1151" s="53">
        <v>3542.0</v>
      </c>
      <c r="N1151" s="53">
        <v>572.0</v>
      </c>
      <c r="O1151" s="53">
        <v>19.28</v>
      </c>
      <c r="P1151" s="55">
        <f t="shared" si="71"/>
        <v>11028.16</v>
      </c>
      <c r="Q1151" s="53">
        <v>330.0</v>
      </c>
      <c r="R1151" s="105">
        <f t="shared" si="72"/>
        <v>11358.16</v>
      </c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</row>
    <row r="1152">
      <c r="A1152" s="2"/>
      <c r="B1152" s="52">
        <v>10.0</v>
      </c>
      <c r="C1152" s="53">
        <v>1.004667837E9</v>
      </c>
      <c r="D1152" s="54">
        <v>46117.0</v>
      </c>
      <c r="E1152" s="53" t="s">
        <v>77</v>
      </c>
      <c r="F1152" s="53" t="s">
        <v>78</v>
      </c>
      <c r="G1152" s="55"/>
      <c r="H1152" s="55"/>
      <c r="I1152" s="55"/>
      <c r="J1152" s="55"/>
      <c r="K1152" s="53" t="s">
        <v>38</v>
      </c>
      <c r="L1152" s="53" t="s">
        <v>89</v>
      </c>
      <c r="M1152" s="53">
        <v>3667.0</v>
      </c>
      <c r="N1152" s="53">
        <v>266.0</v>
      </c>
      <c r="O1152" s="53">
        <v>19.28</v>
      </c>
      <c r="P1152" s="55">
        <f t="shared" si="71"/>
        <v>5128.48</v>
      </c>
      <c r="Q1152" s="53">
        <v>200.0</v>
      </c>
      <c r="R1152" s="105">
        <f t="shared" si="72"/>
        <v>5328.48</v>
      </c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</row>
    <row r="1153">
      <c r="A1153" s="2"/>
      <c r="B1153" s="8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5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</row>
    <row r="1154">
      <c r="A1154" s="2"/>
      <c r="B1154" s="67" t="s">
        <v>64</v>
      </c>
      <c r="C1154" s="68"/>
      <c r="D1154" s="69" t="str">
        <f>MONEYTEXT(R1154, "INR")</f>
        <v>Seventy-four thousand six hundred seventy-one Indian rupees and forty-four paise</v>
      </c>
      <c r="E1154" s="68"/>
      <c r="F1154" s="68"/>
      <c r="G1154" s="68"/>
      <c r="H1154" s="68"/>
      <c r="I1154" s="68"/>
      <c r="J1154" s="68"/>
      <c r="K1154" s="68"/>
      <c r="L1154" s="68"/>
      <c r="M1154" s="68"/>
      <c r="N1154" s="70" t="s">
        <v>65</v>
      </c>
      <c r="O1154" s="4"/>
      <c r="P1154" s="96">
        <f t="shared" ref="P1154:R1154" si="73">SUM(P1143:P1152)</f>
        <v>72881.44</v>
      </c>
      <c r="Q1154" s="96">
        <f t="shared" si="73"/>
        <v>1790</v>
      </c>
      <c r="R1154" s="96">
        <f t="shared" si="73"/>
        <v>74671.44</v>
      </c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</row>
    <row r="1155">
      <c r="A1155" s="2"/>
      <c r="B1155" s="67" t="s">
        <v>66</v>
      </c>
      <c r="C1155" s="68"/>
      <c r="D1155" s="68"/>
      <c r="E1155" s="68"/>
      <c r="F1155" s="68"/>
      <c r="G1155" s="68"/>
      <c r="H1155" s="68"/>
      <c r="I1155" s="68"/>
      <c r="J1155" s="68"/>
      <c r="K1155" s="68"/>
      <c r="L1155" s="68"/>
      <c r="M1155" s="68"/>
      <c r="N1155" s="68"/>
      <c r="O1155" s="76"/>
      <c r="P1155" s="97" t="s">
        <v>67</v>
      </c>
      <c r="Q1155" s="31"/>
      <c r="R1155" s="3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</row>
    <row r="1156">
      <c r="A1156" s="2"/>
      <c r="B1156" s="79" t="s">
        <v>68</v>
      </c>
      <c r="P1156" s="27"/>
      <c r="Q1156" s="27"/>
      <c r="R1156" s="83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</row>
    <row r="1157">
      <c r="A1157" s="2"/>
      <c r="B1157" s="79" t="s">
        <v>70</v>
      </c>
      <c r="P1157" s="27"/>
      <c r="Q1157" s="27"/>
      <c r="R1157" s="83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</row>
    <row r="1158">
      <c r="A1158" s="2"/>
      <c r="B1158" s="8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5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</row>
    <row r="1159">
      <c r="A1159" s="2"/>
      <c r="B1159" s="8"/>
      <c r="C1159" s="6"/>
      <c r="D1159" s="6"/>
      <c r="E1159" s="6"/>
      <c r="F1159" s="6"/>
      <c r="G1159" s="6"/>
      <c r="H1159" s="6"/>
      <c r="I1159" s="6"/>
      <c r="J1159" s="6"/>
      <c r="K1159" s="19" t="s">
        <v>71</v>
      </c>
      <c r="L1159" s="6"/>
      <c r="M1159" s="6"/>
      <c r="N1159" s="6"/>
      <c r="O1159" s="6"/>
      <c r="P1159" s="9" t="s">
        <v>72</v>
      </c>
      <c r="R1159" s="10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</row>
    <row r="1160">
      <c r="A1160" s="2"/>
      <c r="B1160" s="88"/>
      <c r="C1160" s="34"/>
      <c r="D1160" s="34"/>
      <c r="E1160" s="34"/>
      <c r="F1160" s="34"/>
      <c r="G1160" s="34"/>
      <c r="H1160" s="34"/>
      <c r="I1160" s="34"/>
      <c r="J1160" s="34"/>
      <c r="K1160" s="34"/>
      <c r="L1160" s="34"/>
      <c r="M1160" s="34"/>
      <c r="N1160" s="34"/>
      <c r="O1160" s="34"/>
      <c r="P1160" s="34"/>
      <c r="Q1160" s="34"/>
      <c r="R1160" s="89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</row>
    <row r="1161">
      <c r="A1161" s="2"/>
      <c r="B1161" s="139"/>
      <c r="C1161" s="139"/>
      <c r="D1161" s="139"/>
      <c r="E1161" s="139"/>
      <c r="F1161" s="139"/>
      <c r="G1161" s="139"/>
      <c r="H1161" s="139"/>
      <c r="I1161" s="139"/>
      <c r="J1161" s="139"/>
      <c r="K1161" s="139"/>
      <c r="L1161" s="139"/>
      <c r="M1161" s="139"/>
      <c r="N1161" s="139"/>
      <c r="O1161" s="139"/>
      <c r="P1161" s="139"/>
      <c r="Q1161" s="139"/>
      <c r="R1161" s="139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</row>
    <row r="1162">
      <c r="A1162" s="2"/>
      <c r="B1162" s="139"/>
      <c r="C1162" s="139"/>
      <c r="D1162" s="139"/>
      <c r="E1162" s="139"/>
      <c r="F1162" s="139"/>
      <c r="G1162" s="139"/>
      <c r="H1162" s="139"/>
      <c r="I1162" s="139"/>
      <c r="J1162" s="139"/>
      <c r="K1162" s="139"/>
      <c r="L1162" s="139"/>
      <c r="M1162" s="139"/>
      <c r="N1162" s="139"/>
      <c r="O1162" s="139"/>
      <c r="P1162" s="139"/>
      <c r="Q1162" s="139"/>
      <c r="R1162" s="139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</row>
    <row r="1163">
      <c r="A1163" s="2"/>
      <c r="B1163" s="139"/>
      <c r="C1163" s="139"/>
      <c r="D1163" s="139"/>
      <c r="E1163" s="139"/>
      <c r="F1163" s="139"/>
      <c r="G1163" s="139"/>
      <c r="H1163" s="139"/>
      <c r="I1163" s="139"/>
      <c r="J1163" s="139"/>
      <c r="K1163" s="139"/>
      <c r="L1163" s="139"/>
      <c r="M1163" s="139"/>
      <c r="N1163" s="139"/>
      <c r="O1163" s="139"/>
      <c r="P1163" s="139"/>
      <c r="Q1163" s="139"/>
      <c r="R1163" s="139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</row>
    <row r="1164">
      <c r="A1164" s="2"/>
      <c r="B1164" s="139"/>
      <c r="C1164" s="139"/>
      <c r="D1164" s="139"/>
      <c r="E1164" s="139"/>
      <c r="F1164" s="139"/>
      <c r="G1164" s="139"/>
      <c r="H1164" s="139"/>
      <c r="I1164" s="139"/>
      <c r="J1164" s="139"/>
      <c r="K1164" s="139"/>
      <c r="L1164" s="139"/>
      <c r="M1164" s="139"/>
      <c r="N1164" s="139"/>
      <c r="O1164" s="139"/>
      <c r="P1164" s="139"/>
      <c r="Q1164" s="139"/>
      <c r="R1164" s="139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</row>
    <row r="1165">
      <c r="A1165" s="2"/>
      <c r="B1165" s="176" t="s">
        <v>1</v>
      </c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5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</row>
    <row r="1166">
      <c r="A1166" s="2"/>
      <c r="B1166" s="8"/>
      <c r="F1166" s="9"/>
      <c r="G1166" s="9"/>
      <c r="H1166" s="9"/>
      <c r="I1166" s="9"/>
      <c r="J1166" s="9" t="s">
        <v>2</v>
      </c>
      <c r="N1166" s="6"/>
      <c r="R1166" s="10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</row>
    <row r="1167">
      <c r="A1167" s="2"/>
      <c r="B1167" s="13"/>
      <c r="F1167" s="9"/>
      <c r="G1167" s="9"/>
      <c r="H1167" s="9"/>
      <c r="I1167" s="9"/>
      <c r="J1167" s="9" t="s">
        <v>3</v>
      </c>
      <c r="N1167" s="6"/>
      <c r="R1167" s="10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</row>
    <row r="1168">
      <c r="A1168" s="2"/>
      <c r="B1168" s="13" t="s">
        <v>4</v>
      </c>
      <c r="R1168" s="10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</row>
    <row r="1169">
      <c r="A1169" s="2"/>
      <c r="B1169" s="16" t="s">
        <v>5</v>
      </c>
      <c r="C1169" s="17" t="s">
        <v>6</v>
      </c>
      <c r="D1169" s="4"/>
      <c r="E1169" s="4"/>
      <c r="F1169" s="4"/>
      <c r="G1169" s="4"/>
      <c r="H1169" s="4"/>
      <c r="I1169" s="4"/>
      <c r="J1169" s="4"/>
      <c r="K1169" s="5"/>
      <c r="L1169" s="18" t="s">
        <v>7</v>
      </c>
      <c r="M1169" s="19">
        <v>47.0</v>
      </c>
      <c r="N1169" s="20"/>
      <c r="O1169" s="4"/>
      <c r="P1169" s="4"/>
      <c r="Q1169" s="4"/>
      <c r="R1169" s="5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</row>
    <row r="1170">
      <c r="A1170" s="2"/>
      <c r="B1170" s="26"/>
      <c r="C1170" s="27" t="s">
        <v>8</v>
      </c>
      <c r="K1170" s="10"/>
      <c r="L1170" s="18" t="s">
        <v>9</v>
      </c>
      <c r="M1170" s="175">
        <v>46058.0</v>
      </c>
      <c r="N1170" s="6"/>
      <c r="R1170" s="10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</row>
    <row r="1171">
      <c r="A1171" s="2"/>
      <c r="B1171" s="16" t="s">
        <v>11</v>
      </c>
      <c r="C1171" s="30" t="s">
        <v>12</v>
      </c>
      <c r="D1171" s="31"/>
      <c r="E1171" s="31"/>
      <c r="F1171" s="31"/>
      <c r="G1171" s="31"/>
      <c r="H1171" s="31"/>
      <c r="I1171" s="31"/>
      <c r="J1171" s="31"/>
      <c r="K1171" s="32"/>
      <c r="L1171" s="18" t="s">
        <v>13</v>
      </c>
      <c r="M1171" s="33" t="s">
        <v>14</v>
      </c>
      <c r="N1171" s="34"/>
      <c r="O1171" s="31"/>
      <c r="P1171" s="31"/>
      <c r="Q1171" s="31"/>
      <c r="R1171" s="3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</row>
    <row r="1172">
      <c r="A1172" s="2"/>
      <c r="B1172" s="8"/>
      <c r="R1172" s="10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</row>
    <row r="1173">
      <c r="A1173" s="2"/>
      <c r="B1173" s="39" t="s">
        <v>15</v>
      </c>
      <c r="C1173" s="40" t="s">
        <v>16</v>
      </c>
      <c r="D1173" s="41" t="s">
        <v>17</v>
      </c>
      <c r="E1173" s="41" t="s">
        <v>18</v>
      </c>
      <c r="F1173" s="42" t="s">
        <v>19</v>
      </c>
      <c r="G1173" s="43"/>
      <c r="H1173" s="43"/>
      <c r="I1173" s="43"/>
      <c r="J1173" s="44"/>
      <c r="K1173" s="41" t="s">
        <v>20</v>
      </c>
      <c r="L1173" s="41" t="s">
        <v>21</v>
      </c>
      <c r="M1173" s="41" t="s">
        <v>22</v>
      </c>
      <c r="N1173" s="41" t="s">
        <v>23</v>
      </c>
      <c r="O1173" s="41" t="s">
        <v>24</v>
      </c>
      <c r="P1173" s="41" t="s">
        <v>25</v>
      </c>
      <c r="Q1173" s="41" t="s">
        <v>26</v>
      </c>
      <c r="R1173" s="45" t="s">
        <v>27</v>
      </c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</row>
    <row r="1174">
      <c r="A1174" s="2"/>
      <c r="B1174" s="52">
        <v>1.0</v>
      </c>
      <c r="C1174" s="53">
        <v>1.004667833E9</v>
      </c>
      <c r="D1174" s="54">
        <v>46117.0</v>
      </c>
      <c r="E1174" s="53" t="s">
        <v>77</v>
      </c>
      <c r="F1174" s="53" t="s">
        <v>78</v>
      </c>
      <c r="G1174" s="53" t="s">
        <v>79</v>
      </c>
      <c r="H1174" s="53"/>
      <c r="I1174" s="55"/>
      <c r="J1174" s="55"/>
      <c r="K1174" s="53" t="s">
        <v>38</v>
      </c>
      <c r="L1174" s="53" t="s">
        <v>81</v>
      </c>
      <c r="M1174" s="53">
        <v>3634.0</v>
      </c>
      <c r="N1174" s="53">
        <v>416.0</v>
      </c>
      <c r="O1174" s="53">
        <v>19.28</v>
      </c>
      <c r="P1174" s="55">
        <f t="shared" ref="P1174:P1180" si="74">N1174*O1174</f>
        <v>8020.48</v>
      </c>
      <c r="Q1174" s="53">
        <v>505.0</v>
      </c>
      <c r="R1174" s="105">
        <f t="shared" ref="R1174:R1183" si="75">P1174+Q1174</f>
        <v>8525.48</v>
      </c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</row>
    <row r="1175">
      <c r="A1175" s="2"/>
      <c r="B1175" s="52">
        <v>2.0</v>
      </c>
      <c r="C1175" s="53">
        <v>1.004666473E9</v>
      </c>
      <c r="D1175" s="54">
        <v>46117.0</v>
      </c>
      <c r="E1175" s="53" t="s">
        <v>90</v>
      </c>
      <c r="F1175" s="53" t="s">
        <v>91</v>
      </c>
      <c r="G1175" s="53" t="s">
        <v>92</v>
      </c>
      <c r="H1175" s="53" t="s">
        <v>93</v>
      </c>
      <c r="I1175" s="53" t="s">
        <v>94</v>
      </c>
      <c r="J1175" s="55"/>
      <c r="K1175" s="53" t="s">
        <v>38</v>
      </c>
      <c r="L1175" s="53" t="s">
        <v>102</v>
      </c>
      <c r="M1175" s="53">
        <v>3772.0</v>
      </c>
      <c r="N1175" s="53">
        <v>405.0</v>
      </c>
      <c r="O1175" s="53">
        <v>19.28</v>
      </c>
      <c r="P1175" s="55">
        <f t="shared" si="74"/>
        <v>7808.4</v>
      </c>
      <c r="Q1175" s="53">
        <v>500.0</v>
      </c>
      <c r="R1175" s="105">
        <f t="shared" si="75"/>
        <v>8308.4</v>
      </c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</row>
    <row r="1176">
      <c r="A1176" s="2"/>
      <c r="B1176" s="52">
        <v>3.0</v>
      </c>
      <c r="C1176" s="53">
        <v>1.004669021E9</v>
      </c>
      <c r="D1176" s="54">
        <v>46147.0</v>
      </c>
      <c r="E1176" s="53" t="s">
        <v>28</v>
      </c>
      <c r="F1176" s="53" t="s">
        <v>29</v>
      </c>
      <c r="G1176" s="53"/>
      <c r="H1176" s="55"/>
      <c r="I1176" s="55"/>
      <c r="J1176" s="55"/>
      <c r="K1176" s="53" t="s">
        <v>33</v>
      </c>
      <c r="L1176" s="53" t="s">
        <v>95</v>
      </c>
      <c r="M1176" s="53">
        <v>2074.0</v>
      </c>
      <c r="N1176" s="53">
        <v>92.0</v>
      </c>
      <c r="O1176" s="53">
        <v>15.53</v>
      </c>
      <c r="P1176" s="55">
        <f t="shared" si="74"/>
        <v>1428.76</v>
      </c>
      <c r="Q1176" s="55"/>
      <c r="R1176" s="105">
        <f t="shared" si="75"/>
        <v>1428.76</v>
      </c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</row>
    <row r="1177">
      <c r="A1177" s="2"/>
      <c r="B1177" s="52">
        <v>4.0</v>
      </c>
      <c r="C1177" s="53">
        <v>1.004668449E9</v>
      </c>
      <c r="D1177" s="54">
        <v>46147.0</v>
      </c>
      <c r="E1177" s="53" t="s">
        <v>28</v>
      </c>
      <c r="F1177" s="53" t="s">
        <v>30</v>
      </c>
      <c r="G1177" s="53" t="s">
        <v>32</v>
      </c>
      <c r="H1177" s="53" t="s">
        <v>31</v>
      </c>
      <c r="I1177" s="55"/>
      <c r="J1177" s="55"/>
      <c r="K1177" s="53" t="s">
        <v>33</v>
      </c>
      <c r="L1177" s="53" t="s">
        <v>34</v>
      </c>
      <c r="M1177" s="53">
        <v>2303.0</v>
      </c>
      <c r="N1177" s="53">
        <v>246.0</v>
      </c>
      <c r="O1177" s="53">
        <v>15.53</v>
      </c>
      <c r="P1177" s="55">
        <f t="shared" si="74"/>
        <v>3820.38</v>
      </c>
      <c r="Q1177" s="55"/>
      <c r="R1177" s="105">
        <f t="shared" si="75"/>
        <v>3820.38</v>
      </c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</row>
    <row r="1178">
      <c r="A1178" s="2"/>
      <c r="B1178" s="52">
        <v>5.0</v>
      </c>
      <c r="C1178" s="53">
        <v>1.004668462E9</v>
      </c>
      <c r="D1178" s="54">
        <v>46147.0</v>
      </c>
      <c r="E1178" s="53" t="s">
        <v>35</v>
      </c>
      <c r="F1178" s="53" t="s">
        <v>36</v>
      </c>
      <c r="G1178" s="53" t="s">
        <v>40</v>
      </c>
      <c r="H1178" s="55"/>
      <c r="I1178" s="55"/>
      <c r="J1178" s="55"/>
      <c r="K1178" s="53" t="s">
        <v>38</v>
      </c>
      <c r="L1178" s="53" t="s">
        <v>41</v>
      </c>
      <c r="M1178" s="53">
        <v>3022.0</v>
      </c>
      <c r="N1178" s="53">
        <v>150.0</v>
      </c>
      <c r="O1178" s="53">
        <v>19.28</v>
      </c>
      <c r="P1178" s="55">
        <f t="shared" si="74"/>
        <v>2892</v>
      </c>
      <c r="Q1178" s="55"/>
      <c r="R1178" s="105">
        <f t="shared" si="75"/>
        <v>2892</v>
      </c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</row>
    <row r="1179">
      <c r="A1179" s="2"/>
      <c r="B1179" s="52">
        <v>6.0</v>
      </c>
      <c r="C1179" s="53">
        <v>1.004668456E9</v>
      </c>
      <c r="D1179" s="54">
        <v>46147.0</v>
      </c>
      <c r="E1179" s="53" t="s">
        <v>35</v>
      </c>
      <c r="F1179" s="53" t="s">
        <v>36</v>
      </c>
      <c r="G1179" s="53" t="s">
        <v>37</v>
      </c>
      <c r="H1179" s="55"/>
      <c r="I1179" s="55"/>
      <c r="J1179" s="55"/>
      <c r="K1179" s="53" t="s">
        <v>38</v>
      </c>
      <c r="L1179" s="53" t="s">
        <v>96</v>
      </c>
      <c r="M1179" s="53">
        <v>3310.0</v>
      </c>
      <c r="N1179" s="53">
        <v>200.0</v>
      </c>
      <c r="O1179" s="53">
        <v>19.28</v>
      </c>
      <c r="P1179" s="55">
        <f t="shared" si="74"/>
        <v>3856</v>
      </c>
      <c r="Q1179" s="55"/>
      <c r="R1179" s="105">
        <f t="shared" si="75"/>
        <v>3856</v>
      </c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</row>
    <row r="1180">
      <c r="A1180" s="2"/>
      <c r="B1180" s="52">
        <v>7.0</v>
      </c>
      <c r="C1180" s="53">
        <v>1.004668902E9</v>
      </c>
      <c r="D1180" s="54">
        <v>46147.0</v>
      </c>
      <c r="E1180" s="53" t="s">
        <v>51</v>
      </c>
      <c r="F1180" s="53" t="s">
        <v>44</v>
      </c>
      <c r="G1180" s="53"/>
      <c r="H1180" s="53"/>
      <c r="I1180" s="55"/>
      <c r="J1180" s="55"/>
      <c r="K1180" s="53" t="s">
        <v>45</v>
      </c>
      <c r="L1180" s="53" t="s">
        <v>123</v>
      </c>
      <c r="M1180" s="53">
        <v>1657.0</v>
      </c>
      <c r="N1180" s="53">
        <v>230.0</v>
      </c>
      <c r="O1180" s="53">
        <v>15.53</v>
      </c>
      <c r="P1180" s="55">
        <f t="shared" si="74"/>
        <v>3571.9</v>
      </c>
      <c r="Q1180" s="55"/>
      <c r="R1180" s="105">
        <f t="shared" si="75"/>
        <v>3571.9</v>
      </c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</row>
    <row r="1181">
      <c r="A1181" s="2"/>
      <c r="B1181" s="52">
        <v>8.0</v>
      </c>
      <c r="C1181" s="53">
        <v>1.004669217E9</v>
      </c>
      <c r="D1181" s="54">
        <v>46147.0</v>
      </c>
      <c r="E1181" s="53" t="s">
        <v>51</v>
      </c>
      <c r="F1181" s="53" t="s">
        <v>44</v>
      </c>
      <c r="G1181" s="53"/>
      <c r="H1181" s="53"/>
      <c r="I1181" s="55"/>
      <c r="J1181" s="55"/>
      <c r="K1181" s="53" t="s">
        <v>45</v>
      </c>
      <c r="L1181" s="53" t="s">
        <v>150</v>
      </c>
      <c r="M1181" s="53">
        <v>1586.0</v>
      </c>
      <c r="N1181" s="53">
        <v>230.0</v>
      </c>
      <c r="O1181" s="53">
        <v>15.53</v>
      </c>
      <c r="P1181" s="53">
        <v>3571.9</v>
      </c>
      <c r="Q1181" s="55"/>
      <c r="R1181" s="105">
        <f t="shared" si="75"/>
        <v>3571.9</v>
      </c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</row>
    <row r="1182">
      <c r="A1182" s="2"/>
      <c r="B1182" s="52">
        <v>9.0</v>
      </c>
      <c r="C1182" s="53">
        <v>1.004669206E9</v>
      </c>
      <c r="D1182" s="54">
        <v>46147.0</v>
      </c>
      <c r="E1182" s="53" t="s">
        <v>51</v>
      </c>
      <c r="F1182" s="53" t="s">
        <v>44</v>
      </c>
      <c r="G1182" s="55"/>
      <c r="H1182" s="53"/>
      <c r="I1182" s="55"/>
      <c r="J1182" s="55"/>
      <c r="K1182" s="53" t="s">
        <v>45</v>
      </c>
      <c r="L1182" s="53" t="s">
        <v>151</v>
      </c>
      <c r="M1182" s="53">
        <v>1433.0</v>
      </c>
      <c r="N1182" s="53">
        <v>230.0</v>
      </c>
      <c r="O1182" s="53">
        <v>15.53</v>
      </c>
      <c r="P1182" s="55">
        <f t="shared" ref="P1182:P1183" si="76">N1182*O1182</f>
        <v>3571.9</v>
      </c>
      <c r="Q1182" s="53"/>
      <c r="R1182" s="105">
        <f t="shared" si="75"/>
        <v>3571.9</v>
      </c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</row>
    <row r="1183">
      <c r="A1183" s="2"/>
      <c r="B1183" s="52">
        <v>10.0</v>
      </c>
      <c r="C1183" s="53">
        <v>1.004669635E9</v>
      </c>
      <c r="D1183" s="54">
        <v>46147.0</v>
      </c>
      <c r="E1183" s="53" t="s">
        <v>51</v>
      </c>
      <c r="F1183" s="53" t="s">
        <v>44</v>
      </c>
      <c r="G1183" s="55"/>
      <c r="H1183" s="55"/>
      <c r="I1183" s="55"/>
      <c r="J1183" s="55"/>
      <c r="K1183" s="53" t="s">
        <v>45</v>
      </c>
      <c r="L1183" s="53" t="s">
        <v>111</v>
      </c>
      <c r="M1183" s="53">
        <v>1654.0</v>
      </c>
      <c r="N1183" s="53">
        <v>230.0</v>
      </c>
      <c r="O1183" s="53">
        <v>15.53</v>
      </c>
      <c r="P1183" s="55">
        <f t="shared" si="76"/>
        <v>3571.9</v>
      </c>
      <c r="Q1183" s="53"/>
      <c r="R1183" s="105">
        <f t="shared" si="75"/>
        <v>3571.9</v>
      </c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</row>
    <row r="1184">
      <c r="A1184" s="2"/>
      <c r="B1184" s="8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5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</row>
    <row r="1185">
      <c r="A1185" s="2"/>
      <c r="B1185" s="67" t="s">
        <v>64</v>
      </c>
      <c r="C1185" s="68"/>
      <c r="D1185" s="69" t="str">
        <f>MONEYTEXT(R1185, "INR")</f>
        <v>Forty-three thousand one hundred eighteen Indian rupees and sixty-two paise</v>
      </c>
      <c r="E1185" s="68"/>
      <c r="F1185" s="68"/>
      <c r="G1185" s="68"/>
      <c r="H1185" s="68"/>
      <c r="I1185" s="68"/>
      <c r="J1185" s="68"/>
      <c r="K1185" s="68"/>
      <c r="L1185" s="68"/>
      <c r="M1185" s="68"/>
      <c r="N1185" s="70" t="s">
        <v>65</v>
      </c>
      <c r="O1185" s="4"/>
      <c r="P1185" s="96">
        <f t="shared" ref="P1185:R1185" si="77">SUM(P1174:P1183)</f>
        <v>42113.62</v>
      </c>
      <c r="Q1185" s="96">
        <f t="shared" si="77"/>
        <v>1005</v>
      </c>
      <c r="R1185" s="96">
        <f t="shared" si="77"/>
        <v>43118.62</v>
      </c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</row>
    <row r="1186">
      <c r="A1186" s="2"/>
      <c r="B1186" s="67" t="s">
        <v>66</v>
      </c>
      <c r="C1186" s="68"/>
      <c r="D1186" s="68"/>
      <c r="E1186" s="68"/>
      <c r="F1186" s="68"/>
      <c r="G1186" s="68"/>
      <c r="H1186" s="68"/>
      <c r="I1186" s="68"/>
      <c r="J1186" s="68"/>
      <c r="K1186" s="68"/>
      <c r="L1186" s="68"/>
      <c r="M1186" s="68"/>
      <c r="N1186" s="68"/>
      <c r="O1186" s="76"/>
      <c r="P1186" s="97" t="s">
        <v>67</v>
      </c>
      <c r="Q1186" s="31"/>
      <c r="R1186" s="3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</row>
    <row r="1187">
      <c r="A1187" s="2"/>
      <c r="B1187" s="79" t="s">
        <v>68</v>
      </c>
      <c r="P1187" s="27"/>
      <c r="Q1187" s="27"/>
      <c r="R1187" s="83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</row>
    <row r="1188">
      <c r="A1188" s="2"/>
      <c r="B1188" s="79" t="s">
        <v>70</v>
      </c>
      <c r="P1188" s="27"/>
      <c r="Q1188" s="27"/>
      <c r="R1188" s="83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</row>
    <row r="1189">
      <c r="A1189" s="2"/>
      <c r="B1189" s="8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5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</row>
    <row r="1190">
      <c r="A1190" s="2"/>
      <c r="B1190" s="8"/>
      <c r="C1190" s="6"/>
      <c r="D1190" s="6"/>
      <c r="E1190" s="6"/>
      <c r="F1190" s="6"/>
      <c r="G1190" s="6"/>
      <c r="H1190" s="6"/>
      <c r="I1190" s="6"/>
      <c r="J1190" s="6"/>
      <c r="K1190" s="19" t="s">
        <v>71</v>
      </c>
      <c r="L1190" s="6"/>
      <c r="M1190" s="6"/>
      <c r="N1190" s="6"/>
      <c r="O1190" s="6"/>
      <c r="P1190" s="9" t="s">
        <v>72</v>
      </c>
      <c r="R1190" s="10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</row>
    <row r="1191">
      <c r="A1191" s="2"/>
      <c r="B1191" s="88"/>
      <c r="C1191" s="34"/>
      <c r="D1191" s="34"/>
      <c r="E1191" s="34"/>
      <c r="F1191" s="34"/>
      <c r="G1191" s="34"/>
      <c r="H1191" s="34"/>
      <c r="I1191" s="34"/>
      <c r="J1191" s="34"/>
      <c r="K1191" s="34"/>
      <c r="L1191" s="34"/>
      <c r="M1191" s="34"/>
      <c r="N1191" s="34"/>
      <c r="O1191" s="34"/>
      <c r="P1191" s="34"/>
      <c r="Q1191" s="34"/>
      <c r="R1191" s="89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</row>
    <row r="1192">
      <c r="A1192" s="2"/>
      <c r="B1192" s="139"/>
      <c r="C1192" s="139"/>
      <c r="D1192" s="139"/>
      <c r="E1192" s="139"/>
      <c r="F1192" s="139"/>
      <c r="G1192" s="139"/>
      <c r="H1192" s="139"/>
      <c r="I1192" s="139"/>
      <c r="J1192" s="139"/>
      <c r="K1192" s="139"/>
      <c r="L1192" s="139"/>
      <c r="M1192" s="139"/>
      <c r="N1192" s="139"/>
      <c r="O1192" s="139"/>
      <c r="P1192" s="139"/>
      <c r="Q1192" s="139"/>
      <c r="R1192" s="139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</row>
    <row r="1193">
      <c r="A1193" s="2"/>
      <c r="B1193" s="139"/>
      <c r="C1193" s="139"/>
      <c r="D1193" s="139"/>
      <c r="E1193" s="139"/>
      <c r="F1193" s="139"/>
      <c r="G1193" s="139"/>
      <c r="H1193" s="139"/>
      <c r="I1193" s="139"/>
      <c r="J1193" s="139"/>
      <c r="K1193" s="139"/>
      <c r="L1193" s="139"/>
      <c r="M1193" s="139"/>
      <c r="N1193" s="139"/>
      <c r="O1193" s="139"/>
      <c r="P1193" s="139"/>
      <c r="Q1193" s="139"/>
      <c r="R1193" s="139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</row>
    <row r="1194">
      <c r="A1194" s="2"/>
      <c r="B1194" s="139"/>
      <c r="C1194" s="139"/>
      <c r="D1194" s="139"/>
      <c r="E1194" s="139"/>
      <c r="F1194" s="139"/>
      <c r="G1194" s="139"/>
      <c r="H1194" s="139"/>
      <c r="I1194" s="139"/>
      <c r="J1194" s="139"/>
      <c r="K1194" s="139"/>
      <c r="L1194" s="139"/>
      <c r="M1194" s="139"/>
      <c r="N1194" s="139"/>
      <c r="O1194" s="139"/>
      <c r="P1194" s="139"/>
      <c r="Q1194" s="139"/>
      <c r="R1194" s="139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</row>
    <row r="1195">
      <c r="A1195" s="2"/>
      <c r="B1195" s="139"/>
      <c r="C1195" s="139"/>
      <c r="D1195" s="139"/>
      <c r="E1195" s="139"/>
      <c r="F1195" s="139"/>
      <c r="G1195" s="139"/>
      <c r="H1195" s="139"/>
      <c r="I1195" s="139"/>
      <c r="J1195" s="139"/>
      <c r="K1195" s="139"/>
      <c r="L1195" s="139"/>
      <c r="M1195" s="139"/>
      <c r="N1195" s="139"/>
      <c r="O1195" s="139"/>
      <c r="P1195" s="139"/>
      <c r="Q1195" s="139"/>
      <c r="R1195" s="139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</row>
    <row r="1196">
      <c r="A1196" s="2"/>
      <c r="B1196" s="176" t="s">
        <v>1</v>
      </c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5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</row>
    <row r="1197">
      <c r="A1197" s="2"/>
      <c r="B1197" s="8"/>
      <c r="F1197" s="9"/>
      <c r="G1197" s="9"/>
      <c r="H1197" s="9"/>
      <c r="I1197" s="9"/>
      <c r="J1197" s="9" t="s">
        <v>2</v>
      </c>
      <c r="N1197" s="6"/>
      <c r="R1197" s="10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</row>
    <row r="1198">
      <c r="A1198" s="2"/>
      <c r="B1198" s="13"/>
      <c r="F1198" s="9"/>
      <c r="G1198" s="9"/>
      <c r="H1198" s="9"/>
      <c r="I1198" s="9"/>
      <c r="J1198" s="9" t="s">
        <v>3</v>
      </c>
      <c r="N1198" s="6"/>
      <c r="R1198" s="10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</row>
    <row r="1199">
      <c r="A1199" s="2"/>
      <c r="B1199" s="13" t="s">
        <v>4</v>
      </c>
      <c r="R1199" s="10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</row>
    <row r="1200">
      <c r="A1200" s="2"/>
      <c r="B1200" s="16" t="s">
        <v>5</v>
      </c>
      <c r="C1200" s="17" t="s">
        <v>6</v>
      </c>
      <c r="D1200" s="4"/>
      <c r="E1200" s="4"/>
      <c r="F1200" s="4"/>
      <c r="G1200" s="4"/>
      <c r="H1200" s="4"/>
      <c r="I1200" s="4"/>
      <c r="J1200" s="4"/>
      <c r="K1200" s="5"/>
      <c r="L1200" s="18" t="s">
        <v>7</v>
      </c>
      <c r="M1200" s="19">
        <v>48.0</v>
      </c>
      <c r="N1200" s="20"/>
      <c r="O1200" s="4"/>
      <c r="P1200" s="4"/>
      <c r="Q1200" s="4"/>
      <c r="R1200" s="5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</row>
    <row r="1201">
      <c r="A1201" s="2"/>
      <c r="B1201" s="26"/>
      <c r="C1201" s="27" t="s">
        <v>8</v>
      </c>
      <c r="K1201" s="10"/>
      <c r="L1201" s="18" t="s">
        <v>9</v>
      </c>
      <c r="M1201" s="175">
        <v>46058.0</v>
      </c>
      <c r="N1201" s="6"/>
      <c r="R1201" s="10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</row>
    <row r="1202">
      <c r="A1202" s="2"/>
      <c r="B1202" s="16" t="s">
        <v>11</v>
      </c>
      <c r="C1202" s="30" t="s">
        <v>12</v>
      </c>
      <c r="D1202" s="31"/>
      <c r="E1202" s="31"/>
      <c r="F1202" s="31"/>
      <c r="G1202" s="31"/>
      <c r="H1202" s="31"/>
      <c r="I1202" s="31"/>
      <c r="J1202" s="31"/>
      <c r="K1202" s="32"/>
      <c r="L1202" s="18" t="s">
        <v>13</v>
      </c>
      <c r="M1202" s="33" t="s">
        <v>14</v>
      </c>
      <c r="N1202" s="34"/>
      <c r="O1202" s="31"/>
      <c r="P1202" s="31"/>
      <c r="Q1202" s="31"/>
      <c r="R1202" s="3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</row>
    <row r="1203">
      <c r="A1203" s="2"/>
      <c r="B1203" s="8"/>
      <c r="R1203" s="10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</row>
    <row r="1204">
      <c r="A1204" s="2"/>
      <c r="B1204" s="39" t="s">
        <v>15</v>
      </c>
      <c r="C1204" s="40" t="s">
        <v>16</v>
      </c>
      <c r="D1204" s="41" t="s">
        <v>17</v>
      </c>
      <c r="E1204" s="41" t="s">
        <v>18</v>
      </c>
      <c r="F1204" s="42" t="s">
        <v>19</v>
      </c>
      <c r="G1204" s="43"/>
      <c r="H1204" s="43"/>
      <c r="I1204" s="43"/>
      <c r="J1204" s="44"/>
      <c r="K1204" s="41" t="s">
        <v>20</v>
      </c>
      <c r="L1204" s="41" t="s">
        <v>21</v>
      </c>
      <c r="M1204" s="41" t="s">
        <v>22</v>
      </c>
      <c r="N1204" s="41" t="s">
        <v>23</v>
      </c>
      <c r="O1204" s="41" t="s">
        <v>24</v>
      </c>
      <c r="P1204" s="41" t="s">
        <v>25</v>
      </c>
      <c r="Q1204" s="41" t="s">
        <v>26</v>
      </c>
      <c r="R1204" s="45" t="s">
        <v>27</v>
      </c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</row>
    <row r="1205">
      <c r="A1205" s="2"/>
      <c r="B1205" s="52">
        <v>1.0</v>
      </c>
      <c r="C1205" s="53">
        <v>1.004669453E9</v>
      </c>
      <c r="D1205" s="54">
        <v>46147.0</v>
      </c>
      <c r="E1205" s="53" t="s">
        <v>51</v>
      </c>
      <c r="F1205" s="53" t="s">
        <v>44</v>
      </c>
      <c r="G1205" s="53" t="s">
        <v>49</v>
      </c>
      <c r="H1205" s="53"/>
      <c r="I1205" s="55"/>
      <c r="J1205" s="55"/>
      <c r="K1205" s="53" t="s">
        <v>45</v>
      </c>
      <c r="L1205" s="53" t="s">
        <v>148</v>
      </c>
      <c r="M1205" s="53">
        <v>1541.0</v>
      </c>
      <c r="N1205" s="53">
        <v>230.0</v>
      </c>
      <c r="O1205" s="53">
        <v>15.53</v>
      </c>
      <c r="P1205" s="55">
        <f t="shared" ref="P1205:P1214" si="78">N1205*O1205</f>
        <v>3571.9</v>
      </c>
      <c r="Q1205" s="53"/>
      <c r="R1205" s="105">
        <f t="shared" ref="R1205:R1214" si="79">P1205+Q1205</f>
        <v>3571.9</v>
      </c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</row>
    <row r="1206">
      <c r="A1206" s="2"/>
      <c r="B1206" s="52">
        <v>2.0</v>
      </c>
      <c r="C1206" s="53">
        <v>1.004668781E9</v>
      </c>
      <c r="D1206" s="54">
        <v>46147.0</v>
      </c>
      <c r="E1206" s="53" t="s">
        <v>42</v>
      </c>
      <c r="F1206" s="53" t="s">
        <v>44</v>
      </c>
      <c r="G1206" s="53" t="s">
        <v>43</v>
      </c>
      <c r="H1206" s="53"/>
      <c r="I1206" s="55"/>
      <c r="J1206" s="55"/>
      <c r="K1206" s="53" t="s">
        <v>45</v>
      </c>
      <c r="L1206" s="53" t="s">
        <v>98</v>
      </c>
      <c r="M1206" s="53">
        <v>1662.0</v>
      </c>
      <c r="N1206" s="53">
        <v>299.0</v>
      </c>
      <c r="O1206" s="53">
        <v>15.53</v>
      </c>
      <c r="P1206" s="55">
        <f t="shared" si="78"/>
        <v>4643.47</v>
      </c>
      <c r="Q1206" s="55"/>
      <c r="R1206" s="105">
        <f t="shared" si="79"/>
        <v>4643.47</v>
      </c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</row>
    <row r="1207">
      <c r="A1207" s="2"/>
      <c r="B1207" s="52">
        <v>3.0</v>
      </c>
      <c r="C1207" s="53">
        <v>1.004668826E9</v>
      </c>
      <c r="D1207" s="54">
        <v>46147.0</v>
      </c>
      <c r="E1207" s="53" t="s">
        <v>47</v>
      </c>
      <c r="F1207" s="53" t="s">
        <v>44</v>
      </c>
      <c r="G1207" s="53" t="s">
        <v>48</v>
      </c>
      <c r="H1207" s="55"/>
      <c r="I1207" s="55"/>
      <c r="J1207" s="55"/>
      <c r="K1207" s="53" t="s">
        <v>45</v>
      </c>
      <c r="L1207" s="53" t="s">
        <v>50</v>
      </c>
      <c r="M1207" s="53">
        <v>1709.0</v>
      </c>
      <c r="N1207" s="53">
        <v>250.0</v>
      </c>
      <c r="O1207" s="53">
        <v>15.53</v>
      </c>
      <c r="P1207" s="55">
        <f t="shared" si="78"/>
        <v>3882.5</v>
      </c>
      <c r="Q1207" s="55"/>
      <c r="R1207" s="105">
        <f t="shared" si="79"/>
        <v>3882.5</v>
      </c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</row>
    <row r="1208">
      <c r="A1208" s="2"/>
      <c r="B1208" s="52">
        <v>4.0</v>
      </c>
      <c r="C1208" s="53">
        <v>1.004668869E9</v>
      </c>
      <c r="D1208" s="54">
        <v>46147.0</v>
      </c>
      <c r="E1208" s="53" t="s">
        <v>51</v>
      </c>
      <c r="F1208" s="53" t="s">
        <v>49</v>
      </c>
      <c r="G1208" s="53" t="s">
        <v>44</v>
      </c>
      <c r="H1208" s="55"/>
      <c r="I1208" s="55"/>
      <c r="J1208" s="55"/>
      <c r="K1208" s="53" t="s">
        <v>45</v>
      </c>
      <c r="L1208" s="53" t="s">
        <v>52</v>
      </c>
      <c r="M1208" s="53">
        <v>1792.0</v>
      </c>
      <c r="N1208" s="53">
        <v>230.0</v>
      </c>
      <c r="O1208" s="53">
        <v>15.53</v>
      </c>
      <c r="P1208" s="55">
        <f t="shared" si="78"/>
        <v>3571.9</v>
      </c>
      <c r="Q1208" s="55"/>
      <c r="R1208" s="105">
        <f t="shared" si="79"/>
        <v>3571.9</v>
      </c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</row>
    <row r="1209">
      <c r="A1209" s="2"/>
      <c r="B1209" s="52">
        <v>5.0</v>
      </c>
      <c r="C1209" s="53">
        <v>1.004669636E9</v>
      </c>
      <c r="D1209" s="54">
        <v>46147.0</v>
      </c>
      <c r="E1209" s="53" t="s">
        <v>51</v>
      </c>
      <c r="F1209" s="53" t="s">
        <v>44</v>
      </c>
      <c r="G1209" s="53"/>
      <c r="H1209" s="55"/>
      <c r="I1209" s="55"/>
      <c r="J1209" s="55"/>
      <c r="K1209" s="53" t="s">
        <v>45</v>
      </c>
      <c r="L1209" s="53" t="s">
        <v>99</v>
      </c>
      <c r="M1209" s="53">
        <v>1407.0</v>
      </c>
      <c r="N1209" s="53">
        <v>230.0</v>
      </c>
      <c r="O1209" s="53">
        <v>15.53</v>
      </c>
      <c r="P1209" s="55">
        <f t="shared" si="78"/>
        <v>3571.9</v>
      </c>
      <c r="Q1209" s="55"/>
      <c r="R1209" s="105">
        <f t="shared" si="79"/>
        <v>3571.9</v>
      </c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</row>
    <row r="1210">
      <c r="A1210" s="2"/>
      <c r="B1210" s="52">
        <v>6.0</v>
      </c>
      <c r="C1210" s="53">
        <v>1.004669442E9</v>
      </c>
      <c r="D1210" s="54">
        <v>46147.0</v>
      </c>
      <c r="E1210" s="53" t="s">
        <v>51</v>
      </c>
      <c r="F1210" s="53" t="s">
        <v>44</v>
      </c>
      <c r="G1210" s="55"/>
      <c r="H1210" s="55"/>
      <c r="I1210" s="55"/>
      <c r="J1210" s="55"/>
      <c r="K1210" s="53" t="s">
        <v>45</v>
      </c>
      <c r="L1210" s="53" t="s">
        <v>53</v>
      </c>
      <c r="M1210" s="53">
        <v>1609.0</v>
      </c>
      <c r="N1210" s="53">
        <v>230.0</v>
      </c>
      <c r="O1210" s="53">
        <v>15.53</v>
      </c>
      <c r="P1210" s="55">
        <f t="shared" si="78"/>
        <v>3571.9</v>
      </c>
      <c r="Q1210" s="55"/>
      <c r="R1210" s="105">
        <f t="shared" si="79"/>
        <v>3571.9</v>
      </c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</row>
    <row r="1211">
      <c r="A1211" s="2"/>
      <c r="B1211" s="52">
        <v>7.0</v>
      </c>
      <c r="C1211" s="53">
        <v>1.004669452E9</v>
      </c>
      <c r="D1211" s="54">
        <v>46147.0</v>
      </c>
      <c r="E1211" s="53" t="s">
        <v>51</v>
      </c>
      <c r="F1211" s="53" t="s">
        <v>44</v>
      </c>
      <c r="G1211" s="53" t="s">
        <v>49</v>
      </c>
      <c r="H1211" s="53"/>
      <c r="I1211" s="55"/>
      <c r="J1211" s="55"/>
      <c r="K1211" s="53" t="s">
        <v>45</v>
      </c>
      <c r="L1211" s="53" t="s">
        <v>117</v>
      </c>
      <c r="M1211" s="53">
        <v>1452.0</v>
      </c>
      <c r="N1211" s="53">
        <v>230.0</v>
      </c>
      <c r="O1211" s="53">
        <v>15.53</v>
      </c>
      <c r="P1211" s="55">
        <f t="shared" si="78"/>
        <v>3571.9</v>
      </c>
      <c r="Q1211" s="55"/>
      <c r="R1211" s="105">
        <f t="shared" si="79"/>
        <v>3571.9</v>
      </c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</row>
    <row r="1212">
      <c r="A1212" s="2"/>
      <c r="B1212" s="52">
        <v>8.0</v>
      </c>
      <c r="C1212" s="53">
        <v>1.004668544E9</v>
      </c>
      <c r="D1212" s="54">
        <v>46147.0</v>
      </c>
      <c r="E1212" s="53" t="s">
        <v>100</v>
      </c>
      <c r="F1212" s="53" t="s">
        <v>83</v>
      </c>
      <c r="G1212" s="53"/>
      <c r="H1212" s="53"/>
      <c r="I1212" s="55"/>
      <c r="J1212" s="55"/>
      <c r="K1212" s="53" t="s">
        <v>38</v>
      </c>
      <c r="L1212" s="53" t="s">
        <v>63</v>
      </c>
      <c r="M1212" s="53">
        <v>3597.0</v>
      </c>
      <c r="N1212" s="53">
        <v>122.0</v>
      </c>
      <c r="O1212" s="53">
        <v>19.28</v>
      </c>
      <c r="P1212" s="55">
        <f t="shared" si="78"/>
        <v>2352.16</v>
      </c>
      <c r="Q1212" s="55"/>
      <c r="R1212" s="105">
        <f t="shared" si="79"/>
        <v>2352.16</v>
      </c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</row>
    <row r="1213">
      <c r="A1213" s="2"/>
      <c r="B1213" s="52">
        <v>9.0</v>
      </c>
      <c r="C1213" s="53">
        <v>1.004670038E9</v>
      </c>
      <c r="D1213" s="54">
        <v>46147.0</v>
      </c>
      <c r="E1213" s="53" t="s">
        <v>100</v>
      </c>
      <c r="F1213" s="53" t="s">
        <v>84</v>
      </c>
      <c r="G1213" s="53" t="s">
        <v>86</v>
      </c>
      <c r="H1213" s="53"/>
      <c r="I1213" s="55"/>
      <c r="J1213" s="55"/>
      <c r="K1213" s="53" t="s">
        <v>38</v>
      </c>
      <c r="L1213" s="53" t="s">
        <v>89</v>
      </c>
      <c r="M1213" s="53">
        <v>3325.0</v>
      </c>
      <c r="N1213" s="53">
        <v>384.0</v>
      </c>
      <c r="O1213" s="53">
        <v>19.28</v>
      </c>
      <c r="P1213" s="55">
        <f t="shared" si="78"/>
        <v>7403.52</v>
      </c>
      <c r="Q1213" s="53"/>
      <c r="R1213" s="105">
        <f t="shared" si="79"/>
        <v>7403.52</v>
      </c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</row>
    <row r="1214">
      <c r="A1214" s="2"/>
      <c r="B1214" s="52">
        <v>10.0</v>
      </c>
      <c r="C1214" s="53">
        <v>1.004670056E9</v>
      </c>
      <c r="D1214" s="54">
        <v>46147.0</v>
      </c>
      <c r="E1214" s="53" t="s">
        <v>100</v>
      </c>
      <c r="F1214" s="53" t="s">
        <v>87</v>
      </c>
      <c r="G1214" s="55"/>
      <c r="H1214" s="55"/>
      <c r="I1214" s="55"/>
      <c r="J1214" s="55"/>
      <c r="K1214" s="53" t="s">
        <v>38</v>
      </c>
      <c r="L1214" s="53" t="s">
        <v>89</v>
      </c>
      <c r="M1214" s="53">
        <v>3134.0</v>
      </c>
      <c r="N1214" s="53">
        <v>428.0</v>
      </c>
      <c r="O1214" s="53">
        <v>19.28</v>
      </c>
      <c r="P1214" s="55">
        <f t="shared" si="78"/>
        <v>8251.84</v>
      </c>
      <c r="Q1214" s="53">
        <v>755.0</v>
      </c>
      <c r="R1214" s="105">
        <f t="shared" si="79"/>
        <v>9006.84</v>
      </c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</row>
    <row r="1215">
      <c r="A1215" s="2"/>
      <c r="B1215" s="8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5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</row>
    <row r="1216">
      <c r="A1216" s="2"/>
      <c r="B1216" s="67" t="s">
        <v>64</v>
      </c>
      <c r="C1216" s="68"/>
      <c r="D1216" s="69" t="str">
        <f>MONEYTEXT(R1216, "INR")</f>
        <v/>
      </c>
      <c r="E1216" s="68"/>
      <c r="F1216" s="68"/>
      <c r="G1216" s="68"/>
      <c r="H1216" s="68"/>
      <c r="I1216" s="68"/>
      <c r="J1216" s="68"/>
      <c r="K1216" s="68"/>
      <c r="L1216" s="68"/>
      <c r="M1216" s="68"/>
      <c r="N1216" s="70" t="s">
        <v>65</v>
      </c>
      <c r="O1216" s="4"/>
      <c r="P1216" s="96">
        <f t="shared" ref="P1216:R1216" si="80">SUM(P1205:P1214)</f>
        <v>44392.99</v>
      </c>
      <c r="Q1216" s="96">
        <f t="shared" si="80"/>
        <v>755</v>
      </c>
      <c r="R1216" s="96">
        <f t="shared" si="80"/>
        <v>45147.99</v>
      </c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</row>
    <row r="1217">
      <c r="A1217" s="2"/>
      <c r="B1217" s="67" t="s">
        <v>66</v>
      </c>
      <c r="C1217" s="68"/>
      <c r="D1217" s="68"/>
      <c r="E1217" s="68"/>
      <c r="F1217" s="68"/>
      <c r="G1217" s="68"/>
      <c r="H1217" s="68"/>
      <c r="I1217" s="68"/>
      <c r="J1217" s="68"/>
      <c r="K1217" s="68"/>
      <c r="L1217" s="68"/>
      <c r="M1217" s="68"/>
      <c r="N1217" s="68"/>
      <c r="O1217" s="76"/>
      <c r="P1217" s="97" t="s">
        <v>67</v>
      </c>
      <c r="Q1217" s="31"/>
      <c r="R1217" s="3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</row>
    <row r="1218">
      <c r="A1218" s="2"/>
      <c r="B1218" s="79" t="s">
        <v>68</v>
      </c>
      <c r="P1218" s="27"/>
      <c r="Q1218" s="27"/>
      <c r="R1218" s="83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</row>
    <row r="1219">
      <c r="A1219" s="2"/>
      <c r="B1219" s="79" t="s">
        <v>70</v>
      </c>
      <c r="P1219" s="27"/>
      <c r="Q1219" s="27"/>
      <c r="R1219" s="83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</row>
    <row r="1220">
      <c r="A1220" s="2"/>
      <c r="B1220" s="8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5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</row>
    <row r="1221">
      <c r="A1221" s="2"/>
      <c r="B1221" s="8"/>
      <c r="C1221" s="6"/>
      <c r="D1221" s="6"/>
      <c r="E1221" s="6"/>
      <c r="F1221" s="6"/>
      <c r="G1221" s="6"/>
      <c r="H1221" s="6"/>
      <c r="I1221" s="6"/>
      <c r="J1221" s="6"/>
      <c r="K1221" s="19" t="s">
        <v>71</v>
      </c>
      <c r="L1221" s="6"/>
      <c r="M1221" s="6"/>
      <c r="N1221" s="6"/>
      <c r="O1221" s="6"/>
      <c r="P1221" s="9" t="s">
        <v>72</v>
      </c>
      <c r="R1221" s="10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</row>
    <row r="1222">
      <c r="A1222" s="2"/>
      <c r="B1222" s="88"/>
      <c r="C1222" s="34"/>
      <c r="D1222" s="34"/>
      <c r="E1222" s="34"/>
      <c r="F1222" s="34"/>
      <c r="G1222" s="34"/>
      <c r="H1222" s="34"/>
      <c r="I1222" s="34"/>
      <c r="J1222" s="34"/>
      <c r="K1222" s="34"/>
      <c r="L1222" s="34"/>
      <c r="M1222" s="34"/>
      <c r="N1222" s="34"/>
      <c r="O1222" s="34"/>
      <c r="P1222" s="34"/>
      <c r="Q1222" s="34"/>
      <c r="R1222" s="89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</row>
    <row r="1223">
      <c r="A1223" s="2"/>
      <c r="B1223" s="139"/>
      <c r="C1223" s="139"/>
      <c r="D1223" s="139"/>
      <c r="E1223" s="139"/>
      <c r="F1223" s="139"/>
      <c r="G1223" s="139"/>
      <c r="H1223" s="139"/>
      <c r="I1223" s="139"/>
      <c r="J1223" s="139"/>
      <c r="K1223" s="139"/>
      <c r="L1223" s="139"/>
      <c r="M1223" s="139"/>
      <c r="N1223" s="139"/>
      <c r="O1223" s="139"/>
      <c r="P1223" s="139"/>
      <c r="Q1223" s="139"/>
      <c r="R1223" s="139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</row>
    <row r="1224">
      <c r="A1224" s="2"/>
      <c r="B1224" s="139"/>
      <c r="C1224" s="139"/>
      <c r="D1224" s="139"/>
      <c r="E1224" s="139"/>
      <c r="F1224" s="139"/>
      <c r="G1224" s="139"/>
      <c r="H1224" s="139"/>
      <c r="I1224" s="139"/>
      <c r="J1224" s="139"/>
      <c r="K1224" s="139"/>
      <c r="L1224" s="139"/>
      <c r="M1224" s="139"/>
      <c r="N1224" s="139"/>
      <c r="O1224" s="139"/>
      <c r="P1224" s="139"/>
      <c r="Q1224" s="139"/>
      <c r="R1224" s="139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</row>
    <row r="1225">
      <c r="A1225" s="2"/>
      <c r="B1225" s="139"/>
      <c r="C1225" s="139"/>
      <c r="D1225" s="139"/>
      <c r="E1225" s="139"/>
      <c r="F1225" s="139"/>
      <c r="G1225" s="139"/>
      <c r="H1225" s="139"/>
      <c r="I1225" s="139"/>
      <c r="J1225" s="139"/>
      <c r="K1225" s="139"/>
      <c r="L1225" s="139"/>
      <c r="M1225" s="139"/>
      <c r="N1225" s="139"/>
      <c r="O1225" s="139"/>
      <c r="P1225" s="139"/>
      <c r="Q1225" s="139"/>
      <c r="R1225" s="139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</row>
    <row r="1226">
      <c r="A1226" s="2"/>
      <c r="B1226" s="139"/>
      <c r="C1226" s="139"/>
      <c r="D1226" s="139"/>
      <c r="E1226" s="139"/>
      <c r="F1226" s="139"/>
      <c r="G1226" s="139"/>
      <c r="H1226" s="139"/>
      <c r="I1226" s="139"/>
      <c r="J1226" s="139"/>
      <c r="K1226" s="139"/>
      <c r="L1226" s="139"/>
      <c r="M1226" s="139"/>
      <c r="N1226" s="139"/>
      <c r="O1226" s="139"/>
      <c r="P1226" s="139"/>
      <c r="Q1226" s="139"/>
      <c r="R1226" s="139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</row>
    <row r="1227">
      <c r="A1227" s="2"/>
      <c r="B1227" s="176" t="s">
        <v>1</v>
      </c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5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</row>
    <row r="1228">
      <c r="A1228" s="2"/>
      <c r="B1228" s="8"/>
      <c r="F1228" s="9"/>
      <c r="G1228" s="9"/>
      <c r="H1228" s="9"/>
      <c r="I1228" s="9"/>
      <c r="J1228" s="9" t="s">
        <v>2</v>
      </c>
      <c r="N1228" s="6"/>
      <c r="R1228" s="10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</row>
    <row r="1229">
      <c r="A1229" s="2"/>
      <c r="B1229" s="13"/>
      <c r="F1229" s="9"/>
      <c r="G1229" s="9"/>
      <c r="H1229" s="9"/>
      <c r="I1229" s="9"/>
      <c r="J1229" s="9" t="s">
        <v>3</v>
      </c>
      <c r="N1229" s="6"/>
      <c r="R1229" s="10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</row>
    <row r="1230">
      <c r="A1230" s="2"/>
      <c r="B1230" s="13" t="s">
        <v>4</v>
      </c>
      <c r="R1230" s="10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</row>
    <row r="1231">
      <c r="A1231" s="2"/>
      <c r="B1231" s="16" t="s">
        <v>5</v>
      </c>
      <c r="C1231" s="17" t="s">
        <v>6</v>
      </c>
      <c r="D1231" s="4"/>
      <c r="E1231" s="4"/>
      <c r="F1231" s="4"/>
      <c r="G1231" s="4"/>
      <c r="H1231" s="4"/>
      <c r="I1231" s="4"/>
      <c r="J1231" s="4"/>
      <c r="K1231" s="5"/>
      <c r="L1231" s="18" t="s">
        <v>7</v>
      </c>
      <c r="M1231" s="19">
        <v>49.0</v>
      </c>
      <c r="N1231" s="20"/>
      <c r="O1231" s="4"/>
      <c r="P1231" s="4"/>
      <c r="Q1231" s="4"/>
      <c r="R1231" s="5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</row>
    <row r="1232">
      <c r="A1232" s="2"/>
      <c r="B1232" s="26"/>
      <c r="C1232" s="27" t="s">
        <v>8</v>
      </c>
      <c r="K1232" s="10"/>
      <c r="L1232" s="18" t="s">
        <v>9</v>
      </c>
      <c r="M1232" s="175">
        <v>46058.0</v>
      </c>
      <c r="N1232" s="6"/>
      <c r="R1232" s="10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</row>
    <row r="1233">
      <c r="A1233" s="2"/>
      <c r="B1233" s="16" t="s">
        <v>11</v>
      </c>
      <c r="C1233" s="30" t="s">
        <v>12</v>
      </c>
      <c r="D1233" s="31"/>
      <c r="E1233" s="31"/>
      <c r="F1233" s="31"/>
      <c r="G1233" s="31"/>
      <c r="H1233" s="31"/>
      <c r="I1233" s="31"/>
      <c r="J1233" s="31"/>
      <c r="K1233" s="32"/>
      <c r="L1233" s="18" t="s">
        <v>13</v>
      </c>
      <c r="M1233" s="33" t="s">
        <v>14</v>
      </c>
      <c r="N1233" s="34"/>
      <c r="O1233" s="31"/>
      <c r="P1233" s="31"/>
      <c r="Q1233" s="31"/>
      <c r="R1233" s="3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</row>
    <row r="1234">
      <c r="A1234" s="2"/>
      <c r="B1234" s="8"/>
      <c r="R1234" s="10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</row>
    <row r="1235">
      <c r="A1235" s="2"/>
      <c r="B1235" s="39" t="s">
        <v>15</v>
      </c>
      <c r="C1235" s="40" t="s">
        <v>16</v>
      </c>
      <c r="D1235" s="41" t="s">
        <v>17</v>
      </c>
      <c r="E1235" s="41" t="s">
        <v>18</v>
      </c>
      <c r="F1235" s="42" t="s">
        <v>19</v>
      </c>
      <c r="G1235" s="43"/>
      <c r="H1235" s="43"/>
      <c r="I1235" s="43"/>
      <c r="J1235" s="44"/>
      <c r="K1235" s="41" t="s">
        <v>20</v>
      </c>
      <c r="L1235" s="41" t="s">
        <v>21</v>
      </c>
      <c r="M1235" s="41" t="s">
        <v>22</v>
      </c>
      <c r="N1235" s="41" t="s">
        <v>23</v>
      </c>
      <c r="O1235" s="41" t="s">
        <v>24</v>
      </c>
      <c r="P1235" s="41" t="s">
        <v>25</v>
      </c>
      <c r="Q1235" s="41" t="s">
        <v>26</v>
      </c>
      <c r="R1235" s="45" t="s">
        <v>27</v>
      </c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</row>
    <row r="1236">
      <c r="A1236" s="2"/>
      <c r="B1236" s="52">
        <v>1.0</v>
      </c>
      <c r="C1236" s="53">
        <v>1.004669997E9</v>
      </c>
      <c r="D1236" s="53" t="s">
        <v>152</v>
      </c>
      <c r="E1236" s="53" t="s">
        <v>55</v>
      </c>
      <c r="F1236" s="53" t="s">
        <v>56</v>
      </c>
      <c r="G1236" s="53" t="s">
        <v>103</v>
      </c>
      <c r="H1236" s="53" t="s">
        <v>58</v>
      </c>
      <c r="I1236" s="53" t="s">
        <v>59</v>
      </c>
      <c r="J1236" s="55"/>
      <c r="K1236" s="53" t="s">
        <v>38</v>
      </c>
      <c r="L1236" s="53" t="s">
        <v>110</v>
      </c>
      <c r="M1236" s="53">
        <v>3641.0</v>
      </c>
      <c r="N1236" s="53">
        <v>572.0</v>
      </c>
      <c r="O1236" s="53">
        <v>19.28</v>
      </c>
      <c r="P1236" s="55">
        <f t="shared" ref="P1236:P1245" si="81">N1236*O1236</f>
        <v>11028.16</v>
      </c>
      <c r="Q1236" s="53">
        <v>330.0</v>
      </c>
      <c r="R1236" s="105">
        <f t="shared" ref="R1236:R1245" si="82">P1236+Q1236</f>
        <v>11358.16</v>
      </c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</row>
    <row r="1237">
      <c r="A1237" s="2"/>
      <c r="B1237" s="52">
        <v>2.0</v>
      </c>
      <c r="C1237" s="53">
        <v>1.004669819E9</v>
      </c>
      <c r="D1237" s="54">
        <v>46147.0</v>
      </c>
      <c r="E1237" s="53" t="s">
        <v>106</v>
      </c>
      <c r="F1237" s="53" t="s">
        <v>107</v>
      </c>
      <c r="G1237" s="53" t="s">
        <v>108</v>
      </c>
      <c r="H1237" s="53"/>
      <c r="I1237" s="55"/>
      <c r="J1237" s="55"/>
      <c r="K1237" s="53" t="s">
        <v>38</v>
      </c>
      <c r="L1237" s="53" t="s">
        <v>104</v>
      </c>
      <c r="M1237" s="53">
        <v>3380.0</v>
      </c>
      <c r="N1237" s="53">
        <v>410.0</v>
      </c>
      <c r="O1237" s="53">
        <v>19.28</v>
      </c>
      <c r="P1237" s="55">
        <f t="shared" si="81"/>
        <v>7904.8</v>
      </c>
      <c r="Q1237" s="55"/>
      <c r="R1237" s="105">
        <f t="shared" si="82"/>
        <v>7904.8</v>
      </c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</row>
    <row r="1238">
      <c r="A1238" s="2"/>
      <c r="B1238" s="52">
        <v>3.0</v>
      </c>
      <c r="C1238" s="53">
        <v>1.004669815E9</v>
      </c>
      <c r="D1238" s="54">
        <v>46147.0</v>
      </c>
      <c r="E1238" s="53" t="s">
        <v>106</v>
      </c>
      <c r="F1238" s="53" t="s">
        <v>109</v>
      </c>
      <c r="G1238" s="53" t="s">
        <v>108</v>
      </c>
      <c r="H1238" s="55"/>
      <c r="I1238" s="55"/>
      <c r="J1238" s="55"/>
      <c r="K1238" s="53" t="s">
        <v>38</v>
      </c>
      <c r="L1238" s="53" t="s">
        <v>118</v>
      </c>
      <c r="M1238" s="53">
        <v>3318.0</v>
      </c>
      <c r="N1238" s="53">
        <v>482.0</v>
      </c>
      <c r="O1238" s="53">
        <v>19.28</v>
      </c>
      <c r="P1238" s="55">
        <f t="shared" si="81"/>
        <v>9292.96</v>
      </c>
      <c r="Q1238" s="53">
        <v>1025.0</v>
      </c>
      <c r="R1238" s="105">
        <f t="shared" si="82"/>
        <v>10317.96</v>
      </c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</row>
    <row r="1239">
      <c r="A1239" s="2"/>
      <c r="B1239" s="52">
        <v>4.0</v>
      </c>
      <c r="C1239" s="53">
        <v>1.004670284E9</v>
      </c>
      <c r="D1239" s="54">
        <v>46147.0</v>
      </c>
      <c r="E1239" s="53" t="s">
        <v>90</v>
      </c>
      <c r="F1239" s="53" t="s">
        <v>91</v>
      </c>
      <c r="G1239" s="53" t="s">
        <v>83</v>
      </c>
      <c r="H1239" s="55"/>
      <c r="I1239" s="55"/>
      <c r="J1239" s="55"/>
      <c r="K1239" s="53" t="s">
        <v>33</v>
      </c>
      <c r="L1239" s="53" t="s">
        <v>153</v>
      </c>
      <c r="M1239" s="53">
        <v>2098.0</v>
      </c>
      <c r="N1239" s="53">
        <v>216.0</v>
      </c>
      <c r="O1239" s="53">
        <v>15.53</v>
      </c>
      <c r="P1239" s="55">
        <f t="shared" si="81"/>
        <v>3354.48</v>
      </c>
      <c r="Q1239" s="55"/>
      <c r="R1239" s="105">
        <f t="shared" si="82"/>
        <v>3354.48</v>
      </c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</row>
    <row r="1240">
      <c r="A1240" s="2"/>
      <c r="B1240" s="52">
        <v>5.0</v>
      </c>
      <c r="C1240" s="53">
        <v>1.004670276E9</v>
      </c>
      <c r="D1240" s="54">
        <v>46147.0</v>
      </c>
      <c r="E1240" s="53" t="s">
        <v>90</v>
      </c>
      <c r="F1240" s="53" t="s">
        <v>91</v>
      </c>
      <c r="G1240" s="53" t="s">
        <v>94</v>
      </c>
      <c r="H1240" s="53" t="s">
        <v>93</v>
      </c>
      <c r="I1240" s="53" t="s">
        <v>92</v>
      </c>
      <c r="J1240" s="55"/>
      <c r="K1240" s="53" t="s">
        <v>38</v>
      </c>
      <c r="L1240" s="53" t="s">
        <v>63</v>
      </c>
      <c r="M1240" s="53">
        <v>3308.0</v>
      </c>
      <c r="N1240" s="53">
        <v>405.0</v>
      </c>
      <c r="O1240" s="53">
        <v>19.28</v>
      </c>
      <c r="P1240" s="55">
        <f t="shared" si="81"/>
        <v>7808.4</v>
      </c>
      <c r="Q1240" s="55"/>
      <c r="R1240" s="105">
        <f t="shared" si="82"/>
        <v>7808.4</v>
      </c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</row>
    <row r="1241">
      <c r="A1241" s="2"/>
      <c r="B1241" s="52">
        <v>6.0</v>
      </c>
      <c r="C1241" s="53">
        <v>1.004671083E9</v>
      </c>
      <c r="D1241" s="54">
        <v>46178.0</v>
      </c>
      <c r="E1241" s="53" t="s">
        <v>28</v>
      </c>
      <c r="F1241" s="53" t="s">
        <v>29</v>
      </c>
      <c r="G1241" s="53" t="s">
        <v>30</v>
      </c>
      <c r="H1241" s="55"/>
      <c r="I1241" s="55"/>
      <c r="J1241" s="55"/>
      <c r="K1241" s="53" t="s">
        <v>38</v>
      </c>
      <c r="L1241" s="53" t="s">
        <v>34</v>
      </c>
      <c r="M1241" s="53">
        <v>3115.0</v>
      </c>
      <c r="N1241" s="53">
        <v>246.0</v>
      </c>
      <c r="O1241" s="53">
        <v>19.28</v>
      </c>
      <c r="P1241" s="55">
        <f t="shared" si="81"/>
        <v>4742.88</v>
      </c>
      <c r="Q1241" s="55"/>
      <c r="R1241" s="105">
        <f t="shared" si="82"/>
        <v>4742.88</v>
      </c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</row>
    <row r="1242">
      <c r="A1242" s="2"/>
      <c r="B1242" s="52">
        <v>7.0</v>
      </c>
      <c r="C1242" s="53">
        <v>1.004671054E9</v>
      </c>
      <c r="D1242" s="54">
        <v>46178.0</v>
      </c>
      <c r="E1242" s="178" t="s">
        <v>35</v>
      </c>
      <c r="F1242" s="53" t="s">
        <v>36</v>
      </c>
      <c r="G1242" s="53" t="s">
        <v>37</v>
      </c>
      <c r="H1242" s="53"/>
      <c r="I1242" s="55"/>
      <c r="J1242" s="55"/>
      <c r="K1242" s="53" t="s">
        <v>38</v>
      </c>
      <c r="L1242" s="53" t="s">
        <v>96</v>
      </c>
      <c r="M1242" s="53">
        <v>3186.0</v>
      </c>
      <c r="N1242" s="53">
        <v>200.0</v>
      </c>
      <c r="O1242" s="53">
        <v>19.28</v>
      </c>
      <c r="P1242" s="55">
        <f t="shared" si="81"/>
        <v>3856</v>
      </c>
      <c r="Q1242" s="55"/>
      <c r="R1242" s="105">
        <f t="shared" si="82"/>
        <v>3856</v>
      </c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</row>
    <row r="1243">
      <c r="A1243" s="2"/>
      <c r="B1243" s="52">
        <v>8.0</v>
      </c>
      <c r="C1243" s="53">
        <v>1.004671101E9</v>
      </c>
      <c r="D1243" s="54">
        <v>46178.0</v>
      </c>
      <c r="E1243" s="53" t="s">
        <v>35</v>
      </c>
      <c r="F1243" s="53" t="s">
        <v>36</v>
      </c>
      <c r="G1243" s="53" t="s">
        <v>40</v>
      </c>
      <c r="H1243" s="53"/>
      <c r="I1243" s="55"/>
      <c r="J1243" s="55"/>
      <c r="K1243" s="53" t="s">
        <v>38</v>
      </c>
      <c r="L1243" s="53" t="s">
        <v>154</v>
      </c>
      <c r="M1243" s="53">
        <v>3068.0</v>
      </c>
      <c r="N1243" s="53">
        <v>150.0</v>
      </c>
      <c r="O1243" s="53">
        <v>19.28</v>
      </c>
      <c r="P1243" s="55">
        <f t="shared" si="81"/>
        <v>2892</v>
      </c>
      <c r="Q1243" s="55"/>
      <c r="R1243" s="105">
        <f t="shared" si="82"/>
        <v>2892</v>
      </c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</row>
    <row r="1244">
      <c r="A1244" s="2"/>
      <c r="B1244" s="52">
        <v>9.0</v>
      </c>
      <c r="C1244" s="53">
        <v>1.004671327E9</v>
      </c>
      <c r="D1244" s="54">
        <v>46178.0</v>
      </c>
      <c r="E1244" s="53" t="s">
        <v>51</v>
      </c>
      <c r="F1244" s="53" t="s">
        <v>44</v>
      </c>
      <c r="G1244" s="55"/>
      <c r="H1244" s="53"/>
      <c r="I1244" s="55"/>
      <c r="J1244" s="55"/>
      <c r="K1244" s="53" t="s">
        <v>45</v>
      </c>
      <c r="L1244" s="53" t="s">
        <v>95</v>
      </c>
      <c r="M1244" s="53">
        <v>2300.0</v>
      </c>
      <c r="N1244" s="53">
        <v>230.0</v>
      </c>
      <c r="O1244" s="53">
        <v>15.53</v>
      </c>
      <c r="P1244" s="55">
        <f t="shared" si="81"/>
        <v>3571.9</v>
      </c>
      <c r="Q1244" s="53"/>
      <c r="R1244" s="105">
        <f t="shared" si="82"/>
        <v>3571.9</v>
      </c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</row>
    <row r="1245">
      <c r="A1245" s="2"/>
      <c r="B1245" s="52">
        <v>10.0</v>
      </c>
      <c r="C1245" s="53">
        <v>1.004671672E9</v>
      </c>
      <c r="D1245" s="54">
        <v>46178.0</v>
      </c>
      <c r="E1245" s="53" t="s">
        <v>42</v>
      </c>
      <c r="F1245" s="53" t="s">
        <v>44</v>
      </c>
      <c r="G1245" s="53" t="s">
        <v>43</v>
      </c>
      <c r="H1245" s="55"/>
      <c r="I1245" s="55"/>
      <c r="J1245" s="55"/>
      <c r="K1245" s="53" t="s">
        <v>45</v>
      </c>
      <c r="L1245" s="53" t="s">
        <v>98</v>
      </c>
      <c r="M1245" s="53">
        <v>1530.0</v>
      </c>
      <c r="N1245" s="53">
        <v>299.0</v>
      </c>
      <c r="O1245" s="53">
        <v>15.53</v>
      </c>
      <c r="P1245" s="55">
        <f t="shared" si="81"/>
        <v>4643.47</v>
      </c>
      <c r="Q1245" s="53"/>
      <c r="R1245" s="105">
        <f t="shared" si="82"/>
        <v>4643.47</v>
      </c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</row>
    <row r="1246">
      <c r="A1246" s="2"/>
      <c r="B1246" s="8"/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5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</row>
    <row r="1247">
      <c r="A1247" s="2"/>
      <c r="B1247" s="67" t="s">
        <v>64</v>
      </c>
      <c r="C1247" s="68"/>
      <c r="D1247" s="69" t="str">
        <f>MONEYTEXT(R1247, "INR")</f>
        <v>Sixty thousand four hundred fifty Indian rupees and five paise</v>
      </c>
      <c r="E1247" s="68"/>
      <c r="F1247" s="68"/>
      <c r="G1247" s="68"/>
      <c r="H1247" s="68"/>
      <c r="I1247" s="68"/>
      <c r="J1247" s="68"/>
      <c r="K1247" s="68"/>
      <c r="L1247" s="68"/>
      <c r="M1247" s="68"/>
      <c r="N1247" s="70" t="s">
        <v>65</v>
      </c>
      <c r="O1247" s="4"/>
      <c r="P1247" s="96">
        <f t="shared" ref="P1247:R1247" si="83">SUM(P1236:P1245)</f>
        <v>59095.05</v>
      </c>
      <c r="Q1247" s="96">
        <f t="shared" si="83"/>
        <v>1355</v>
      </c>
      <c r="R1247" s="96">
        <f t="shared" si="83"/>
        <v>60450.05</v>
      </c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</row>
    <row r="1248">
      <c r="A1248" s="2"/>
      <c r="B1248" s="67" t="s">
        <v>66</v>
      </c>
      <c r="C1248" s="68"/>
      <c r="D1248" s="68"/>
      <c r="E1248" s="68"/>
      <c r="F1248" s="68"/>
      <c r="G1248" s="68"/>
      <c r="H1248" s="68"/>
      <c r="I1248" s="68"/>
      <c r="J1248" s="68"/>
      <c r="K1248" s="68"/>
      <c r="L1248" s="68"/>
      <c r="M1248" s="68"/>
      <c r="N1248" s="68"/>
      <c r="O1248" s="76"/>
      <c r="P1248" s="97" t="s">
        <v>67</v>
      </c>
      <c r="Q1248" s="31"/>
      <c r="R1248" s="3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</row>
    <row r="1249">
      <c r="A1249" s="2"/>
      <c r="B1249" s="79" t="s">
        <v>68</v>
      </c>
      <c r="P1249" s="27"/>
      <c r="Q1249" s="27"/>
      <c r="R1249" s="83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</row>
    <row r="1250">
      <c r="A1250" s="2"/>
      <c r="B1250" s="79" t="s">
        <v>70</v>
      </c>
      <c r="P1250" s="27"/>
      <c r="Q1250" s="27"/>
      <c r="R1250" s="83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</row>
    <row r="1251">
      <c r="A1251" s="2"/>
      <c r="B1251" s="8"/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5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</row>
    <row r="1252">
      <c r="A1252" s="2"/>
      <c r="B1252" s="8"/>
      <c r="C1252" s="6"/>
      <c r="D1252" s="6"/>
      <c r="E1252" s="6"/>
      <c r="F1252" s="6"/>
      <c r="G1252" s="6"/>
      <c r="H1252" s="6"/>
      <c r="I1252" s="6"/>
      <c r="J1252" s="6"/>
      <c r="K1252" s="19" t="s">
        <v>71</v>
      </c>
      <c r="L1252" s="6"/>
      <c r="M1252" s="6"/>
      <c r="N1252" s="6"/>
      <c r="O1252" s="6"/>
      <c r="P1252" s="9" t="s">
        <v>72</v>
      </c>
      <c r="R1252" s="10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</row>
    <row r="1253">
      <c r="A1253" s="2"/>
      <c r="B1253" s="88"/>
      <c r="C1253" s="34"/>
      <c r="D1253" s="34"/>
      <c r="E1253" s="34"/>
      <c r="F1253" s="34"/>
      <c r="G1253" s="34"/>
      <c r="H1253" s="34"/>
      <c r="I1253" s="34"/>
      <c r="J1253" s="34"/>
      <c r="K1253" s="34"/>
      <c r="L1253" s="34"/>
      <c r="M1253" s="34"/>
      <c r="N1253" s="34"/>
      <c r="O1253" s="34"/>
      <c r="P1253" s="34"/>
      <c r="Q1253" s="34"/>
      <c r="R1253" s="89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</row>
    <row r="1254">
      <c r="A1254" s="2"/>
      <c r="B1254" s="139"/>
      <c r="C1254" s="139"/>
      <c r="D1254" s="139"/>
      <c r="E1254" s="139"/>
      <c r="F1254" s="139"/>
      <c r="G1254" s="139"/>
      <c r="H1254" s="139"/>
      <c r="I1254" s="139"/>
      <c r="J1254" s="139"/>
      <c r="K1254" s="139"/>
      <c r="L1254" s="139"/>
      <c r="M1254" s="139"/>
      <c r="N1254" s="139"/>
      <c r="O1254" s="139"/>
      <c r="P1254" s="139"/>
      <c r="Q1254" s="139"/>
      <c r="R1254" s="139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</row>
    <row r="1255">
      <c r="A1255" s="2"/>
      <c r="B1255" s="139"/>
      <c r="C1255" s="139"/>
      <c r="D1255" s="139"/>
      <c r="E1255" s="139"/>
      <c r="F1255" s="139"/>
      <c r="G1255" s="139"/>
      <c r="H1255" s="139"/>
      <c r="I1255" s="139"/>
      <c r="J1255" s="139"/>
      <c r="K1255" s="139"/>
      <c r="L1255" s="139"/>
      <c r="M1255" s="139"/>
      <c r="N1255" s="139"/>
      <c r="O1255" s="139"/>
      <c r="P1255" s="139"/>
      <c r="Q1255" s="139"/>
      <c r="R1255" s="139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</row>
    <row r="1256">
      <c r="A1256" s="2"/>
      <c r="B1256" s="139"/>
      <c r="C1256" s="139"/>
      <c r="D1256" s="139"/>
      <c r="E1256" s="139"/>
      <c r="F1256" s="139"/>
      <c r="G1256" s="139"/>
      <c r="H1256" s="139"/>
      <c r="I1256" s="139"/>
      <c r="J1256" s="139"/>
      <c r="K1256" s="139"/>
      <c r="L1256" s="139"/>
      <c r="M1256" s="139"/>
      <c r="N1256" s="139"/>
      <c r="O1256" s="139"/>
      <c r="P1256" s="139"/>
      <c r="Q1256" s="139"/>
      <c r="R1256" s="139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</row>
    <row r="1257">
      <c r="A1257" s="2"/>
      <c r="B1257" s="139"/>
      <c r="C1257" s="139"/>
      <c r="D1257" s="139"/>
      <c r="E1257" s="139"/>
      <c r="F1257" s="139"/>
      <c r="G1257" s="139"/>
      <c r="H1257" s="139"/>
      <c r="I1257" s="139"/>
      <c r="J1257" s="139"/>
      <c r="K1257" s="139"/>
      <c r="L1257" s="139"/>
      <c r="M1257" s="139"/>
      <c r="N1257" s="139"/>
      <c r="O1257" s="139"/>
      <c r="P1257" s="139"/>
      <c r="Q1257" s="139"/>
      <c r="R1257" s="139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</row>
    <row r="1258">
      <c r="A1258" s="2"/>
      <c r="B1258" s="176" t="s">
        <v>1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5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</row>
    <row r="1259">
      <c r="A1259" s="2"/>
      <c r="B1259" s="8"/>
      <c r="F1259" s="9"/>
      <c r="G1259" s="9"/>
      <c r="H1259" s="9"/>
      <c r="I1259" s="9"/>
      <c r="J1259" s="9" t="s">
        <v>2</v>
      </c>
      <c r="N1259" s="6"/>
      <c r="R1259" s="10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</row>
    <row r="1260">
      <c r="A1260" s="2"/>
      <c r="B1260" s="13"/>
      <c r="F1260" s="9"/>
      <c r="G1260" s="9"/>
      <c r="H1260" s="9"/>
      <c r="I1260" s="9"/>
      <c r="J1260" s="9" t="s">
        <v>3</v>
      </c>
      <c r="N1260" s="6"/>
      <c r="R1260" s="10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</row>
    <row r="1261">
      <c r="A1261" s="2"/>
      <c r="B1261" s="13" t="s">
        <v>4</v>
      </c>
      <c r="R1261" s="10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</row>
    <row r="1262">
      <c r="A1262" s="2"/>
      <c r="B1262" s="16" t="s">
        <v>5</v>
      </c>
      <c r="C1262" s="17" t="s">
        <v>6</v>
      </c>
      <c r="D1262" s="4"/>
      <c r="E1262" s="4"/>
      <c r="F1262" s="4"/>
      <c r="G1262" s="4"/>
      <c r="H1262" s="4"/>
      <c r="I1262" s="4"/>
      <c r="J1262" s="4"/>
      <c r="K1262" s="5"/>
      <c r="L1262" s="18" t="s">
        <v>7</v>
      </c>
      <c r="M1262" s="19">
        <v>50.0</v>
      </c>
      <c r="N1262" s="20"/>
      <c r="O1262" s="4"/>
      <c r="P1262" s="4"/>
      <c r="Q1262" s="4"/>
      <c r="R1262" s="5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</row>
    <row r="1263">
      <c r="A1263" s="2"/>
      <c r="B1263" s="26"/>
      <c r="C1263" s="27" t="s">
        <v>8</v>
      </c>
      <c r="K1263" s="10"/>
      <c r="L1263" s="18" t="s">
        <v>9</v>
      </c>
      <c r="M1263" s="175">
        <v>46058.0</v>
      </c>
      <c r="N1263" s="6"/>
      <c r="R1263" s="10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</row>
    <row r="1264">
      <c r="A1264" s="2"/>
      <c r="B1264" s="16" t="s">
        <v>11</v>
      </c>
      <c r="C1264" s="30" t="s">
        <v>12</v>
      </c>
      <c r="D1264" s="31"/>
      <c r="E1264" s="31"/>
      <c r="F1264" s="31"/>
      <c r="G1264" s="31"/>
      <c r="H1264" s="31"/>
      <c r="I1264" s="31"/>
      <c r="J1264" s="31"/>
      <c r="K1264" s="32"/>
      <c r="L1264" s="18" t="s">
        <v>13</v>
      </c>
      <c r="M1264" s="33" t="s">
        <v>14</v>
      </c>
      <c r="N1264" s="34"/>
      <c r="O1264" s="31"/>
      <c r="P1264" s="31"/>
      <c r="Q1264" s="31"/>
      <c r="R1264" s="3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</row>
    <row r="1265">
      <c r="A1265" s="2"/>
      <c r="B1265" s="8"/>
      <c r="R1265" s="10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</row>
    <row r="1266">
      <c r="A1266" s="2"/>
      <c r="B1266" s="39" t="s">
        <v>15</v>
      </c>
      <c r="C1266" s="40" t="s">
        <v>16</v>
      </c>
      <c r="D1266" s="41" t="s">
        <v>17</v>
      </c>
      <c r="E1266" s="41" t="s">
        <v>18</v>
      </c>
      <c r="F1266" s="42" t="s">
        <v>19</v>
      </c>
      <c r="G1266" s="43"/>
      <c r="H1266" s="43"/>
      <c r="I1266" s="43"/>
      <c r="J1266" s="44"/>
      <c r="K1266" s="41" t="s">
        <v>20</v>
      </c>
      <c r="L1266" s="41" t="s">
        <v>21</v>
      </c>
      <c r="M1266" s="41" t="s">
        <v>22</v>
      </c>
      <c r="N1266" s="41" t="s">
        <v>23</v>
      </c>
      <c r="O1266" s="41" t="s">
        <v>24</v>
      </c>
      <c r="P1266" s="41" t="s">
        <v>25</v>
      </c>
      <c r="Q1266" s="41" t="s">
        <v>26</v>
      </c>
      <c r="R1266" s="45" t="s">
        <v>27</v>
      </c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</row>
    <row r="1267">
      <c r="A1267" s="2"/>
      <c r="B1267" s="52">
        <v>1.0</v>
      </c>
      <c r="C1267" s="53">
        <v>1.004672061E9</v>
      </c>
      <c r="D1267" s="54">
        <v>46178.0</v>
      </c>
      <c r="E1267" s="53" t="s">
        <v>51</v>
      </c>
      <c r="F1267" s="53" t="s">
        <v>44</v>
      </c>
      <c r="G1267" s="53" t="s">
        <v>49</v>
      </c>
      <c r="H1267" s="53"/>
      <c r="I1267" s="55"/>
      <c r="J1267" s="55"/>
      <c r="K1267" s="53" t="s">
        <v>45</v>
      </c>
      <c r="L1267" s="53" t="s">
        <v>52</v>
      </c>
      <c r="M1267" s="53">
        <v>1720.0</v>
      </c>
      <c r="N1267" s="53">
        <v>230.0</v>
      </c>
      <c r="O1267" s="53">
        <v>15.53</v>
      </c>
      <c r="P1267" s="55">
        <f t="shared" ref="P1267:P1276" si="84">N1267*O1267</f>
        <v>3571.9</v>
      </c>
      <c r="Q1267" s="53"/>
      <c r="R1267" s="105">
        <f t="shared" ref="R1267:R1276" si="85">P1267+Q1267</f>
        <v>3571.9</v>
      </c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</row>
    <row r="1268">
      <c r="A1268" s="2"/>
      <c r="B1268" s="52">
        <v>2.0</v>
      </c>
      <c r="C1268" s="53">
        <v>1.004672588E9</v>
      </c>
      <c r="D1268" s="54">
        <v>46178.0</v>
      </c>
      <c r="E1268" s="53" t="s">
        <v>82</v>
      </c>
      <c r="F1268" s="53" t="s">
        <v>87</v>
      </c>
      <c r="G1268" s="53" t="s">
        <v>88</v>
      </c>
      <c r="H1268" s="53" t="s">
        <v>83</v>
      </c>
      <c r="I1268" s="53" t="s">
        <v>84</v>
      </c>
      <c r="J1268" s="55"/>
      <c r="K1268" s="53" t="s">
        <v>38</v>
      </c>
      <c r="L1268" s="53" t="s">
        <v>101</v>
      </c>
      <c r="M1268" s="53">
        <v>3509.0</v>
      </c>
      <c r="N1268" s="53">
        <v>484.0</v>
      </c>
      <c r="O1268" s="53">
        <v>19.28</v>
      </c>
      <c r="P1268" s="55">
        <f t="shared" si="84"/>
        <v>9331.52</v>
      </c>
      <c r="Q1268" s="53">
        <v>930.0</v>
      </c>
      <c r="R1268" s="105">
        <f t="shared" si="85"/>
        <v>10261.52</v>
      </c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</row>
    <row r="1269">
      <c r="A1269" s="2"/>
      <c r="B1269" s="52">
        <v>3.0</v>
      </c>
      <c r="C1269" s="53">
        <v>1.004672507E9</v>
      </c>
      <c r="D1269" s="54">
        <v>46178.0</v>
      </c>
      <c r="E1269" s="53" t="s">
        <v>55</v>
      </c>
      <c r="F1269" s="53" t="s">
        <v>56</v>
      </c>
      <c r="G1269" s="53" t="s">
        <v>57</v>
      </c>
      <c r="H1269" s="53" t="s">
        <v>103</v>
      </c>
      <c r="I1269" s="53" t="s">
        <v>59</v>
      </c>
      <c r="J1269" s="55"/>
      <c r="K1269" s="53" t="s">
        <v>38</v>
      </c>
      <c r="L1269" s="53" t="s">
        <v>60</v>
      </c>
      <c r="M1269" s="53">
        <v>3089.0</v>
      </c>
      <c r="N1269" s="53">
        <v>572.0</v>
      </c>
      <c r="O1269" s="53">
        <v>19.28</v>
      </c>
      <c r="P1269" s="55">
        <f t="shared" si="84"/>
        <v>11028.16</v>
      </c>
      <c r="Q1269" s="53">
        <v>330.0</v>
      </c>
      <c r="R1269" s="105">
        <f t="shared" si="85"/>
        <v>11358.16</v>
      </c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</row>
    <row r="1270">
      <c r="A1270" s="2"/>
      <c r="B1270" s="52">
        <v>4.0</v>
      </c>
      <c r="C1270" s="53">
        <v>1.004672411E9</v>
      </c>
      <c r="D1270" s="54">
        <v>46178.0</v>
      </c>
      <c r="E1270" s="53" t="s">
        <v>61</v>
      </c>
      <c r="F1270" s="53" t="s">
        <v>74</v>
      </c>
      <c r="G1270" s="53" t="s">
        <v>62</v>
      </c>
      <c r="H1270" s="55"/>
      <c r="I1270" s="55"/>
      <c r="J1270" s="55"/>
      <c r="K1270" s="53" t="s">
        <v>38</v>
      </c>
      <c r="L1270" s="53" t="s">
        <v>76</v>
      </c>
      <c r="M1270" s="53">
        <v>3371.0</v>
      </c>
      <c r="N1270" s="53">
        <v>330.0</v>
      </c>
      <c r="O1270" s="53">
        <v>19.28</v>
      </c>
      <c r="P1270" s="55">
        <f t="shared" si="84"/>
        <v>6362.4</v>
      </c>
      <c r="Q1270" s="55"/>
      <c r="R1270" s="105">
        <f t="shared" si="85"/>
        <v>6362.4</v>
      </c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</row>
    <row r="1271">
      <c r="A1271" s="2"/>
      <c r="B1271" s="52">
        <v>5.0</v>
      </c>
      <c r="C1271" s="53">
        <v>1.004672406E9</v>
      </c>
      <c r="D1271" s="54">
        <v>46178.0</v>
      </c>
      <c r="E1271" s="53" t="s">
        <v>61</v>
      </c>
      <c r="F1271" s="53" t="s">
        <v>74</v>
      </c>
      <c r="G1271" s="53" t="s">
        <v>75</v>
      </c>
      <c r="H1271" s="53" t="s">
        <v>73</v>
      </c>
      <c r="I1271" s="55"/>
      <c r="J1271" s="55"/>
      <c r="K1271" s="53" t="s">
        <v>38</v>
      </c>
      <c r="L1271" s="53" t="s">
        <v>76</v>
      </c>
      <c r="M1271" s="53">
        <v>3382.0</v>
      </c>
      <c r="N1271" s="53">
        <v>560.0</v>
      </c>
      <c r="O1271" s="53">
        <v>19.28</v>
      </c>
      <c r="P1271" s="55">
        <f t="shared" si="84"/>
        <v>10796.8</v>
      </c>
      <c r="Q1271" s="53">
        <v>1085.0</v>
      </c>
      <c r="R1271" s="105">
        <f t="shared" si="85"/>
        <v>11881.8</v>
      </c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</row>
    <row r="1272">
      <c r="A1272" s="2"/>
      <c r="B1272" s="52">
        <v>6.0</v>
      </c>
      <c r="C1272" s="53">
        <v>1.004672738E9</v>
      </c>
      <c r="D1272" s="54">
        <v>46178.0</v>
      </c>
      <c r="E1272" s="53" t="s">
        <v>77</v>
      </c>
      <c r="F1272" s="53" t="s">
        <v>78</v>
      </c>
      <c r="G1272" s="55"/>
      <c r="H1272" s="55"/>
      <c r="I1272" s="55"/>
      <c r="J1272" s="55"/>
      <c r="K1272" s="53" t="s">
        <v>80</v>
      </c>
      <c r="L1272" s="53" t="s">
        <v>85</v>
      </c>
      <c r="M1272" s="53">
        <v>2622.0</v>
      </c>
      <c r="N1272" s="53">
        <v>266.0</v>
      </c>
      <c r="O1272" s="53">
        <v>18.28</v>
      </c>
      <c r="P1272" s="55">
        <f t="shared" si="84"/>
        <v>4862.48</v>
      </c>
      <c r="Q1272" s="55"/>
      <c r="R1272" s="105">
        <f t="shared" si="85"/>
        <v>4862.48</v>
      </c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</row>
    <row r="1273">
      <c r="A1273" s="2"/>
      <c r="B1273" s="52">
        <v>7.0</v>
      </c>
      <c r="C1273" s="53">
        <v>1.004672734E9</v>
      </c>
      <c r="D1273" s="54">
        <v>46178.0</v>
      </c>
      <c r="E1273" s="53" t="s">
        <v>77</v>
      </c>
      <c r="F1273" s="53" t="s">
        <v>79</v>
      </c>
      <c r="G1273" s="53" t="s">
        <v>128</v>
      </c>
      <c r="H1273" s="53" t="s">
        <v>78</v>
      </c>
      <c r="I1273" s="55"/>
      <c r="J1273" s="55"/>
      <c r="K1273" s="53" t="s">
        <v>38</v>
      </c>
      <c r="L1273" s="53" t="s">
        <v>81</v>
      </c>
      <c r="M1273" s="53">
        <v>3612.0</v>
      </c>
      <c r="N1273" s="53">
        <v>416.0</v>
      </c>
      <c r="O1273" s="53">
        <v>19.28</v>
      </c>
      <c r="P1273" s="55">
        <f t="shared" si="84"/>
        <v>8020.48</v>
      </c>
      <c r="Q1273" s="53">
        <v>505.0</v>
      </c>
      <c r="R1273" s="105">
        <f t="shared" si="85"/>
        <v>8525.48</v>
      </c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</row>
    <row r="1274">
      <c r="A1274" s="2"/>
      <c r="B1274" s="52">
        <v>8.0</v>
      </c>
      <c r="C1274" s="53">
        <v>1.004673745E9</v>
      </c>
      <c r="D1274" s="54">
        <v>46208.0</v>
      </c>
      <c r="E1274" s="53" t="s">
        <v>35</v>
      </c>
      <c r="F1274" s="53" t="s">
        <v>36</v>
      </c>
      <c r="G1274" s="53" t="s">
        <v>40</v>
      </c>
      <c r="H1274" s="53"/>
      <c r="I1274" s="55"/>
      <c r="J1274" s="55"/>
      <c r="K1274" s="53" t="s">
        <v>38</v>
      </c>
      <c r="L1274" s="53" t="s">
        <v>96</v>
      </c>
      <c r="M1274" s="53">
        <v>3165.0</v>
      </c>
      <c r="N1274" s="53">
        <v>150.0</v>
      </c>
      <c r="O1274" s="53">
        <v>19.28</v>
      </c>
      <c r="P1274" s="55">
        <f t="shared" si="84"/>
        <v>2892</v>
      </c>
      <c r="Q1274" s="55"/>
      <c r="R1274" s="105">
        <f t="shared" si="85"/>
        <v>2892</v>
      </c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</row>
    <row r="1275">
      <c r="A1275" s="2"/>
      <c r="B1275" s="52">
        <v>9.0</v>
      </c>
      <c r="C1275" s="53">
        <v>1.00467375E9</v>
      </c>
      <c r="D1275" s="54">
        <v>46208.0</v>
      </c>
      <c r="E1275" s="53" t="s">
        <v>35</v>
      </c>
      <c r="F1275" s="53" t="s">
        <v>36</v>
      </c>
      <c r="G1275" s="53" t="s">
        <v>37</v>
      </c>
      <c r="H1275" s="53"/>
      <c r="I1275" s="55"/>
      <c r="J1275" s="55"/>
      <c r="K1275" s="53" t="s">
        <v>38</v>
      </c>
      <c r="L1275" s="53" t="s">
        <v>97</v>
      </c>
      <c r="M1275" s="53">
        <v>3457.0</v>
      </c>
      <c r="N1275" s="53">
        <v>200.0</v>
      </c>
      <c r="O1275" s="53">
        <v>19.28</v>
      </c>
      <c r="P1275" s="55">
        <f t="shared" si="84"/>
        <v>3856</v>
      </c>
      <c r="Q1275" s="53"/>
      <c r="R1275" s="105">
        <f t="shared" si="85"/>
        <v>3856</v>
      </c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</row>
    <row r="1276">
      <c r="A1276" s="2"/>
      <c r="B1276" s="52">
        <v>10.0</v>
      </c>
      <c r="C1276" s="53">
        <v>1.004673925E9</v>
      </c>
      <c r="D1276" s="54">
        <v>46208.0</v>
      </c>
      <c r="E1276" s="53" t="s">
        <v>47</v>
      </c>
      <c r="F1276" s="53" t="s">
        <v>44</v>
      </c>
      <c r="G1276" s="53" t="s">
        <v>48</v>
      </c>
      <c r="H1276" s="53" t="s">
        <v>49</v>
      </c>
      <c r="I1276" s="55"/>
      <c r="J1276" s="55"/>
      <c r="K1276" s="53" t="s">
        <v>45</v>
      </c>
      <c r="L1276" s="53" t="s">
        <v>98</v>
      </c>
      <c r="M1276" s="53">
        <v>1437.0</v>
      </c>
      <c r="N1276" s="53">
        <v>250.0</v>
      </c>
      <c r="O1276" s="53">
        <v>15.53</v>
      </c>
      <c r="P1276" s="55">
        <f t="shared" si="84"/>
        <v>3882.5</v>
      </c>
      <c r="Q1276" s="53"/>
      <c r="R1276" s="105">
        <f t="shared" si="85"/>
        <v>3882.5</v>
      </c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</row>
    <row r="1277">
      <c r="A1277" s="2"/>
      <c r="B1277" s="8"/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5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</row>
    <row r="1278">
      <c r="A1278" s="2"/>
      <c r="B1278" s="67" t="s">
        <v>64</v>
      </c>
      <c r="C1278" s="68"/>
      <c r="D1278" s="69" t="str">
        <f>MONEYTEXT(R1278, "INR")</f>
        <v>Sixty-seven thousand four hundred fifty-four Indian rupees and twenty-four paise</v>
      </c>
      <c r="E1278" s="68"/>
      <c r="F1278" s="68"/>
      <c r="G1278" s="68"/>
      <c r="H1278" s="68"/>
      <c r="I1278" s="68"/>
      <c r="J1278" s="68"/>
      <c r="K1278" s="68"/>
      <c r="L1278" s="68"/>
      <c r="M1278" s="68"/>
      <c r="N1278" s="70" t="s">
        <v>65</v>
      </c>
      <c r="O1278" s="4"/>
      <c r="P1278" s="96">
        <f t="shared" ref="P1278:R1278" si="86">SUM(P1267:P1276)</f>
        <v>64604.24</v>
      </c>
      <c r="Q1278" s="96">
        <f t="shared" si="86"/>
        <v>2850</v>
      </c>
      <c r="R1278" s="96">
        <f t="shared" si="86"/>
        <v>67454.24</v>
      </c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</row>
    <row r="1279">
      <c r="A1279" s="2"/>
      <c r="B1279" s="67" t="s">
        <v>66</v>
      </c>
      <c r="C1279" s="68"/>
      <c r="D1279" s="68"/>
      <c r="E1279" s="68"/>
      <c r="F1279" s="68"/>
      <c r="G1279" s="68"/>
      <c r="H1279" s="68"/>
      <c r="I1279" s="68"/>
      <c r="J1279" s="68"/>
      <c r="K1279" s="68"/>
      <c r="L1279" s="68"/>
      <c r="M1279" s="68"/>
      <c r="N1279" s="68"/>
      <c r="O1279" s="76"/>
      <c r="P1279" s="97" t="s">
        <v>67</v>
      </c>
      <c r="Q1279" s="31"/>
      <c r="R1279" s="3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</row>
    <row r="1280">
      <c r="A1280" s="2"/>
      <c r="B1280" s="79" t="s">
        <v>68</v>
      </c>
      <c r="P1280" s="27"/>
      <c r="Q1280" s="27"/>
      <c r="R1280" s="83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</row>
    <row r="1281">
      <c r="A1281" s="2"/>
      <c r="B1281" s="79" t="s">
        <v>70</v>
      </c>
      <c r="P1281" s="27"/>
      <c r="Q1281" s="27"/>
      <c r="R1281" s="83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</row>
    <row r="1282">
      <c r="A1282" s="2"/>
      <c r="B1282" s="8"/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5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</row>
    <row r="1283">
      <c r="A1283" s="2"/>
      <c r="B1283" s="8"/>
      <c r="C1283" s="6"/>
      <c r="D1283" s="6"/>
      <c r="E1283" s="6"/>
      <c r="F1283" s="6"/>
      <c r="G1283" s="6"/>
      <c r="H1283" s="6"/>
      <c r="I1283" s="6"/>
      <c r="J1283" s="6"/>
      <c r="K1283" s="19" t="s">
        <v>71</v>
      </c>
      <c r="L1283" s="6"/>
      <c r="M1283" s="6"/>
      <c r="N1283" s="6"/>
      <c r="O1283" s="6"/>
      <c r="P1283" s="9" t="s">
        <v>72</v>
      </c>
      <c r="R1283" s="10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</row>
    <row r="1284">
      <c r="A1284" s="2"/>
      <c r="B1284" s="88"/>
      <c r="C1284" s="34"/>
      <c r="D1284" s="34"/>
      <c r="E1284" s="34"/>
      <c r="F1284" s="34"/>
      <c r="G1284" s="34"/>
      <c r="H1284" s="34"/>
      <c r="I1284" s="34"/>
      <c r="J1284" s="34"/>
      <c r="K1284" s="34"/>
      <c r="L1284" s="34"/>
      <c r="M1284" s="34"/>
      <c r="N1284" s="34"/>
      <c r="O1284" s="34"/>
      <c r="P1284" s="34"/>
      <c r="Q1284" s="34"/>
      <c r="R1284" s="89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</row>
    <row r="1285">
      <c r="A1285" s="2"/>
      <c r="B1285" s="139"/>
      <c r="C1285" s="139"/>
      <c r="D1285" s="139"/>
      <c r="E1285" s="139"/>
      <c r="F1285" s="139"/>
      <c r="G1285" s="139"/>
      <c r="H1285" s="139"/>
      <c r="I1285" s="139"/>
      <c r="J1285" s="139"/>
      <c r="K1285" s="139"/>
      <c r="L1285" s="139"/>
      <c r="M1285" s="139"/>
      <c r="N1285" s="139"/>
      <c r="O1285" s="139"/>
      <c r="P1285" s="139"/>
      <c r="Q1285" s="139"/>
      <c r="R1285" s="139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</row>
    <row r="1286">
      <c r="A1286" s="2"/>
      <c r="B1286" s="139"/>
      <c r="C1286" s="139"/>
      <c r="D1286" s="139"/>
      <c r="E1286" s="139"/>
      <c r="F1286" s="139"/>
      <c r="G1286" s="139"/>
      <c r="H1286" s="139"/>
      <c r="I1286" s="139"/>
      <c r="J1286" s="139"/>
      <c r="K1286" s="139"/>
      <c r="L1286" s="139"/>
      <c r="M1286" s="139"/>
      <c r="N1286" s="139"/>
      <c r="O1286" s="139"/>
      <c r="P1286" s="139"/>
      <c r="Q1286" s="139"/>
      <c r="R1286" s="139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</row>
    <row r="1287">
      <c r="A1287" s="2"/>
      <c r="B1287" s="139"/>
      <c r="C1287" s="139"/>
      <c r="D1287" s="139"/>
      <c r="E1287" s="139"/>
      <c r="F1287" s="139"/>
      <c r="G1287" s="139"/>
      <c r="H1287" s="139"/>
      <c r="I1287" s="139"/>
      <c r="J1287" s="139"/>
      <c r="K1287" s="139"/>
      <c r="L1287" s="139"/>
      <c r="M1287" s="139"/>
      <c r="N1287" s="139"/>
      <c r="O1287" s="139"/>
      <c r="P1287" s="139"/>
      <c r="Q1287" s="139"/>
      <c r="R1287" s="139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</row>
    <row r="1288">
      <c r="A1288" s="2"/>
      <c r="B1288" s="139"/>
      <c r="C1288" s="139"/>
      <c r="D1288" s="139"/>
      <c r="E1288" s="139"/>
      <c r="F1288" s="139"/>
      <c r="G1288" s="139"/>
      <c r="H1288" s="139"/>
      <c r="I1288" s="139"/>
      <c r="J1288" s="139"/>
      <c r="K1288" s="139"/>
      <c r="L1288" s="139"/>
      <c r="M1288" s="139"/>
      <c r="N1288" s="139"/>
      <c r="O1288" s="139"/>
      <c r="P1288" s="139"/>
      <c r="Q1288" s="139"/>
      <c r="R1288" s="139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</row>
    <row r="1289">
      <c r="A1289" s="2"/>
      <c r="B1289" s="139"/>
      <c r="C1289" s="139"/>
      <c r="D1289" s="139"/>
      <c r="E1289" s="139"/>
      <c r="F1289" s="139"/>
      <c r="G1289" s="139"/>
      <c r="H1289" s="139"/>
      <c r="I1289" s="139"/>
      <c r="J1289" s="139"/>
      <c r="K1289" s="139"/>
      <c r="L1289" s="139"/>
      <c r="M1289" s="139"/>
      <c r="N1289" s="139"/>
      <c r="O1289" s="139"/>
      <c r="P1289" s="139"/>
      <c r="Q1289" s="139"/>
      <c r="R1289" s="139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</row>
    <row r="1290">
      <c r="A1290" s="2"/>
      <c r="B1290" s="176" t="s">
        <v>1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5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</row>
    <row r="1291">
      <c r="A1291" s="2"/>
      <c r="B1291" s="8"/>
      <c r="F1291" s="9"/>
      <c r="G1291" s="9"/>
      <c r="H1291" s="9"/>
      <c r="I1291" s="9"/>
      <c r="J1291" s="9" t="s">
        <v>2</v>
      </c>
      <c r="N1291" s="6"/>
      <c r="R1291" s="10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</row>
    <row r="1292">
      <c r="A1292" s="2"/>
      <c r="B1292" s="13"/>
      <c r="F1292" s="9"/>
      <c r="G1292" s="9"/>
      <c r="H1292" s="9"/>
      <c r="I1292" s="9"/>
      <c r="J1292" s="9" t="s">
        <v>3</v>
      </c>
      <c r="N1292" s="6"/>
      <c r="R1292" s="10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</row>
    <row r="1293">
      <c r="A1293" s="2"/>
      <c r="B1293" s="13" t="s">
        <v>4</v>
      </c>
      <c r="R1293" s="10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</row>
    <row r="1294">
      <c r="A1294" s="2"/>
      <c r="B1294" s="16" t="s">
        <v>5</v>
      </c>
      <c r="C1294" s="17" t="s">
        <v>6</v>
      </c>
      <c r="D1294" s="4"/>
      <c r="E1294" s="4"/>
      <c r="F1294" s="4"/>
      <c r="G1294" s="4"/>
      <c r="H1294" s="4"/>
      <c r="I1294" s="4"/>
      <c r="J1294" s="4"/>
      <c r="K1294" s="5"/>
      <c r="L1294" s="18" t="s">
        <v>7</v>
      </c>
      <c r="M1294" s="19">
        <v>51.0</v>
      </c>
      <c r="N1294" s="20"/>
      <c r="O1294" s="4"/>
      <c r="P1294" s="4"/>
      <c r="Q1294" s="4"/>
      <c r="R1294" s="5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</row>
    <row r="1295">
      <c r="A1295" s="2"/>
      <c r="B1295" s="26"/>
      <c r="C1295" s="27" t="s">
        <v>8</v>
      </c>
      <c r="K1295" s="10"/>
      <c r="L1295" s="18" t="s">
        <v>9</v>
      </c>
      <c r="M1295" s="175">
        <v>46058.0</v>
      </c>
      <c r="N1295" s="6"/>
      <c r="R1295" s="10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</row>
    <row r="1296">
      <c r="A1296" s="2"/>
      <c r="B1296" s="16" t="s">
        <v>11</v>
      </c>
      <c r="C1296" s="30" t="s">
        <v>12</v>
      </c>
      <c r="D1296" s="31"/>
      <c r="E1296" s="31"/>
      <c r="F1296" s="31"/>
      <c r="G1296" s="31"/>
      <c r="H1296" s="31"/>
      <c r="I1296" s="31"/>
      <c r="J1296" s="31"/>
      <c r="K1296" s="32"/>
      <c r="L1296" s="18" t="s">
        <v>13</v>
      </c>
      <c r="M1296" s="33" t="s">
        <v>14</v>
      </c>
      <c r="N1296" s="34"/>
      <c r="O1296" s="31"/>
      <c r="P1296" s="31"/>
      <c r="Q1296" s="31"/>
      <c r="R1296" s="3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</row>
    <row r="1297">
      <c r="A1297" s="2"/>
      <c r="B1297" s="8"/>
      <c r="R1297" s="10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</row>
    <row r="1298">
      <c r="A1298" s="2"/>
      <c r="B1298" s="39" t="s">
        <v>15</v>
      </c>
      <c r="C1298" s="40" t="s">
        <v>16</v>
      </c>
      <c r="D1298" s="41" t="s">
        <v>17</v>
      </c>
      <c r="E1298" s="41" t="s">
        <v>18</v>
      </c>
      <c r="F1298" s="42" t="s">
        <v>19</v>
      </c>
      <c r="G1298" s="43"/>
      <c r="H1298" s="43"/>
      <c r="I1298" s="43"/>
      <c r="J1298" s="44"/>
      <c r="K1298" s="41" t="s">
        <v>20</v>
      </c>
      <c r="L1298" s="41" t="s">
        <v>21</v>
      </c>
      <c r="M1298" s="41" t="s">
        <v>22</v>
      </c>
      <c r="N1298" s="41" t="s">
        <v>23</v>
      </c>
      <c r="O1298" s="41" t="s">
        <v>24</v>
      </c>
      <c r="P1298" s="41" t="s">
        <v>25</v>
      </c>
      <c r="Q1298" s="41" t="s">
        <v>26</v>
      </c>
      <c r="R1298" s="45" t="s">
        <v>27</v>
      </c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</row>
    <row r="1299">
      <c r="A1299" s="2"/>
      <c r="B1299" s="52">
        <v>1.0</v>
      </c>
      <c r="C1299" s="53">
        <v>1.004673943E9</v>
      </c>
      <c r="D1299" s="54">
        <v>46208.0</v>
      </c>
      <c r="E1299" s="53" t="s">
        <v>51</v>
      </c>
      <c r="F1299" s="53" t="s">
        <v>44</v>
      </c>
      <c r="G1299" s="53"/>
      <c r="H1299" s="53"/>
      <c r="I1299" s="55"/>
      <c r="J1299" s="55"/>
      <c r="K1299" s="53" t="s">
        <v>45</v>
      </c>
      <c r="L1299" s="53" t="s">
        <v>50</v>
      </c>
      <c r="M1299" s="53">
        <v>1704.0</v>
      </c>
      <c r="N1299" s="53">
        <v>230.0</v>
      </c>
      <c r="O1299" s="53">
        <v>15.53</v>
      </c>
      <c r="P1299" s="55">
        <f t="shared" ref="P1299:P1308" si="87">N1299*O1299</f>
        <v>3571.9</v>
      </c>
      <c r="Q1299" s="53"/>
      <c r="R1299" s="105">
        <f t="shared" ref="R1299:R1308" si="88">P1299+Q1299</f>
        <v>3571.9</v>
      </c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</row>
    <row r="1300">
      <c r="A1300" s="2"/>
      <c r="B1300" s="52">
        <v>2.0</v>
      </c>
      <c r="C1300" s="53">
        <v>1.004674564E9</v>
      </c>
      <c r="D1300" s="54">
        <v>46208.0</v>
      </c>
      <c r="E1300" s="53" t="s">
        <v>51</v>
      </c>
      <c r="F1300" s="53" t="s">
        <v>49</v>
      </c>
      <c r="G1300" s="53" t="s">
        <v>44</v>
      </c>
      <c r="H1300" s="53"/>
      <c r="I1300" s="55"/>
      <c r="J1300" s="55"/>
      <c r="K1300" s="53" t="s">
        <v>45</v>
      </c>
      <c r="L1300" s="53" t="s">
        <v>52</v>
      </c>
      <c r="M1300" s="53">
        <v>1571.0</v>
      </c>
      <c r="N1300" s="53">
        <v>230.0</v>
      </c>
      <c r="O1300" s="53">
        <v>15.53</v>
      </c>
      <c r="P1300" s="55">
        <f t="shared" si="87"/>
        <v>3571.9</v>
      </c>
      <c r="Q1300" s="55"/>
      <c r="R1300" s="105">
        <f t="shared" si="88"/>
        <v>3571.9</v>
      </c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</row>
    <row r="1301">
      <c r="A1301" s="2"/>
      <c r="B1301" s="52">
        <v>3.0</v>
      </c>
      <c r="C1301" s="53">
        <v>1.004673752E9</v>
      </c>
      <c r="D1301" s="54">
        <v>46208.0</v>
      </c>
      <c r="E1301" s="53" t="s">
        <v>90</v>
      </c>
      <c r="F1301" s="53" t="s">
        <v>83</v>
      </c>
      <c r="G1301" s="53" t="s">
        <v>91</v>
      </c>
      <c r="H1301" s="55"/>
      <c r="I1301" s="55"/>
      <c r="J1301" s="55"/>
      <c r="K1301" s="53" t="s">
        <v>33</v>
      </c>
      <c r="L1301" s="53" t="s">
        <v>95</v>
      </c>
      <c r="M1301" s="53">
        <v>2289.0</v>
      </c>
      <c r="N1301" s="53">
        <v>216.0</v>
      </c>
      <c r="O1301" s="53">
        <v>15.53</v>
      </c>
      <c r="P1301" s="55">
        <f t="shared" si="87"/>
        <v>3354.48</v>
      </c>
      <c r="Q1301" s="55"/>
      <c r="R1301" s="105">
        <f t="shared" si="88"/>
        <v>3354.48</v>
      </c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</row>
    <row r="1302">
      <c r="A1302" s="2"/>
      <c r="B1302" s="52">
        <v>4.0</v>
      </c>
      <c r="C1302" s="53">
        <v>1.004675018E9</v>
      </c>
      <c r="D1302" s="54">
        <v>46208.0</v>
      </c>
      <c r="E1302" s="53" t="s">
        <v>90</v>
      </c>
      <c r="F1302" s="53" t="s">
        <v>92</v>
      </c>
      <c r="G1302" s="53" t="s">
        <v>93</v>
      </c>
      <c r="H1302" s="53" t="s">
        <v>91</v>
      </c>
      <c r="I1302" s="53" t="s">
        <v>94</v>
      </c>
      <c r="J1302" s="55"/>
      <c r="K1302" s="53" t="s">
        <v>38</v>
      </c>
      <c r="L1302" s="53" t="s">
        <v>102</v>
      </c>
      <c r="M1302" s="53">
        <v>2903.0</v>
      </c>
      <c r="N1302" s="53">
        <v>405.0</v>
      </c>
      <c r="O1302" s="53">
        <v>19.28</v>
      </c>
      <c r="P1302" s="55">
        <f t="shared" si="87"/>
        <v>7808.4</v>
      </c>
      <c r="Q1302" s="53">
        <v>500.0</v>
      </c>
      <c r="R1302" s="105">
        <f t="shared" si="88"/>
        <v>8308.4</v>
      </c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</row>
    <row r="1303">
      <c r="A1303" s="2"/>
      <c r="B1303" s="52">
        <v>5.0</v>
      </c>
      <c r="C1303" s="53">
        <v>1.004674924E9</v>
      </c>
      <c r="D1303" s="54">
        <v>46208.0</v>
      </c>
      <c r="E1303" s="53" t="s">
        <v>82</v>
      </c>
      <c r="F1303" s="53" t="s">
        <v>87</v>
      </c>
      <c r="G1303" s="53" t="s">
        <v>88</v>
      </c>
      <c r="H1303" s="53" t="s">
        <v>86</v>
      </c>
      <c r="I1303" s="55"/>
      <c r="J1303" s="55"/>
      <c r="K1303" s="53" t="s">
        <v>33</v>
      </c>
      <c r="L1303" s="53" t="s">
        <v>89</v>
      </c>
      <c r="M1303" s="53">
        <v>2352.0</v>
      </c>
      <c r="N1303" s="53">
        <v>484.0</v>
      </c>
      <c r="O1303" s="53">
        <v>15.53</v>
      </c>
      <c r="P1303" s="55">
        <f t="shared" si="87"/>
        <v>7516.52</v>
      </c>
      <c r="Q1303" s="53">
        <v>930.0</v>
      </c>
      <c r="R1303" s="105">
        <f t="shared" si="88"/>
        <v>8446.52</v>
      </c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</row>
    <row r="1304">
      <c r="A1304" s="2"/>
      <c r="B1304" s="52">
        <v>6.0</v>
      </c>
      <c r="C1304" s="53">
        <v>1.004674876E9</v>
      </c>
      <c r="D1304" s="54">
        <v>46208.0</v>
      </c>
      <c r="E1304" s="53" t="s">
        <v>55</v>
      </c>
      <c r="F1304" s="53" t="s">
        <v>56</v>
      </c>
      <c r="G1304" s="53" t="s">
        <v>58</v>
      </c>
      <c r="H1304" s="53" t="s">
        <v>57</v>
      </c>
      <c r="I1304" s="53" t="s">
        <v>103</v>
      </c>
      <c r="J1304" s="55"/>
      <c r="K1304" s="53" t="s">
        <v>38</v>
      </c>
      <c r="L1304" s="53" t="s">
        <v>105</v>
      </c>
      <c r="M1304" s="53">
        <v>3032.0</v>
      </c>
      <c r="N1304" s="53">
        <v>572.0</v>
      </c>
      <c r="O1304" s="53">
        <v>19.28</v>
      </c>
      <c r="P1304" s="55">
        <f t="shared" si="87"/>
        <v>11028.16</v>
      </c>
      <c r="Q1304" s="53">
        <v>330.0</v>
      </c>
      <c r="R1304" s="105">
        <f t="shared" si="88"/>
        <v>11358.16</v>
      </c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</row>
    <row r="1305">
      <c r="A1305" s="2"/>
      <c r="B1305" s="52">
        <v>7.0</v>
      </c>
      <c r="C1305" s="53">
        <v>1.004674824E9</v>
      </c>
      <c r="D1305" s="54">
        <v>46208.0</v>
      </c>
      <c r="E1305" s="53" t="s">
        <v>106</v>
      </c>
      <c r="F1305" s="53" t="s">
        <v>107</v>
      </c>
      <c r="G1305" s="53" t="s">
        <v>108</v>
      </c>
      <c r="H1305" s="53" t="s">
        <v>109</v>
      </c>
      <c r="I1305" s="55"/>
      <c r="J1305" s="55"/>
      <c r="K1305" s="53" t="s">
        <v>33</v>
      </c>
      <c r="L1305" s="53" t="s">
        <v>118</v>
      </c>
      <c r="M1305" s="53">
        <v>2087.0</v>
      </c>
      <c r="N1305" s="53">
        <v>482.0</v>
      </c>
      <c r="O1305" s="53">
        <v>15.53</v>
      </c>
      <c r="P1305" s="55">
        <f t="shared" si="87"/>
        <v>7485.46</v>
      </c>
      <c r="Q1305" s="53">
        <v>1025.0</v>
      </c>
      <c r="R1305" s="105">
        <f t="shared" si="88"/>
        <v>8510.46</v>
      </c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</row>
    <row r="1306">
      <c r="A1306" s="2"/>
      <c r="B1306" s="52">
        <v>8.0</v>
      </c>
      <c r="C1306" s="53">
        <v>1.00467552E9</v>
      </c>
      <c r="D1306" s="54">
        <v>46239.0</v>
      </c>
      <c r="E1306" s="53" t="s">
        <v>28</v>
      </c>
      <c r="F1306" s="53" t="s">
        <v>32</v>
      </c>
      <c r="G1306" s="53" t="s">
        <v>29</v>
      </c>
      <c r="H1306" s="53" t="s">
        <v>30</v>
      </c>
      <c r="I1306" s="53" t="s">
        <v>31</v>
      </c>
      <c r="J1306" s="55"/>
      <c r="K1306" s="53" t="s">
        <v>33</v>
      </c>
      <c r="L1306" s="53" t="s">
        <v>34</v>
      </c>
      <c r="M1306" s="53">
        <v>1966.0</v>
      </c>
      <c r="N1306" s="53">
        <v>246.0</v>
      </c>
      <c r="O1306" s="53">
        <v>15.53</v>
      </c>
      <c r="P1306" s="55">
        <f t="shared" si="87"/>
        <v>3820.38</v>
      </c>
      <c r="Q1306" s="55"/>
      <c r="R1306" s="105">
        <f t="shared" si="88"/>
        <v>3820.38</v>
      </c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</row>
    <row r="1307">
      <c r="A1307" s="2"/>
      <c r="B1307" s="52">
        <v>9.0</v>
      </c>
      <c r="C1307" s="53">
        <v>1.004675706E9</v>
      </c>
      <c r="D1307" s="54">
        <v>46239.0</v>
      </c>
      <c r="E1307" s="53" t="s">
        <v>35</v>
      </c>
      <c r="F1307" s="53" t="s">
        <v>36</v>
      </c>
      <c r="G1307" s="53" t="s">
        <v>40</v>
      </c>
      <c r="H1307" s="53" t="s">
        <v>37</v>
      </c>
      <c r="I1307" s="55"/>
      <c r="J1307" s="55"/>
      <c r="K1307" s="53" t="s">
        <v>38</v>
      </c>
      <c r="L1307" s="53" t="s">
        <v>97</v>
      </c>
      <c r="M1307" s="53">
        <v>3259.0</v>
      </c>
      <c r="N1307" s="53">
        <v>200.0</v>
      </c>
      <c r="O1307" s="53">
        <v>19.28</v>
      </c>
      <c r="P1307" s="55">
        <f t="shared" si="87"/>
        <v>3856</v>
      </c>
      <c r="Q1307" s="53"/>
      <c r="R1307" s="105">
        <f t="shared" si="88"/>
        <v>3856</v>
      </c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</row>
    <row r="1308">
      <c r="A1308" s="2"/>
      <c r="B1308" s="52">
        <v>10.0</v>
      </c>
      <c r="C1308" s="53">
        <v>1.004676277E9</v>
      </c>
      <c r="D1308" s="54">
        <v>46239.0</v>
      </c>
      <c r="E1308" s="53" t="s">
        <v>42</v>
      </c>
      <c r="F1308" s="53" t="s">
        <v>44</v>
      </c>
      <c r="G1308" s="53" t="s">
        <v>43</v>
      </c>
      <c r="H1308" s="53" t="s">
        <v>49</v>
      </c>
      <c r="I1308" s="55"/>
      <c r="J1308" s="55"/>
      <c r="K1308" s="53" t="s">
        <v>45</v>
      </c>
      <c r="L1308" s="53" t="s">
        <v>98</v>
      </c>
      <c r="M1308" s="53">
        <v>1653.0</v>
      </c>
      <c r="N1308" s="53">
        <v>299.0</v>
      </c>
      <c r="O1308" s="53">
        <v>15.53</v>
      </c>
      <c r="P1308" s="55">
        <f t="shared" si="87"/>
        <v>4643.47</v>
      </c>
      <c r="Q1308" s="53"/>
      <c r="R1308" s="105">
        <f t="shared" si="88"/>
        <v>4643.47</v>
      </c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</row>
    <row r="1309">
      <c r="A1309" s="2"/>
      <c r="B1309" s="8"/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5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</row>
    <row r="1310">
      <c r="A1310" s="2"/>
      <c r="B1310" s="67" t="s">
        <v>64</v>
      </c>
      <c r="C1310" s="68"/>
      <c r="D1310" s="69" t="str">
        <f>MONEYTEXT(R1310, "INR")</f>
        <v>Fifty-nine thousand four hundred forty-one Indian rupees and sixty-seven paise</v>
      </c>
      <c r="E1310" s="68"/>
      <c r="F1310" s="68"/>
      <c r="G1310" s="68"/>
      <c r="H1310" s="68"/>
      <c r="I1310" s="68"/>
      <c r="J1310" s="68"/>
      <c r="K1310" s="68"/>
      <c r="L1310" s="68"/>
      <c r="M1310" s="68"/>
      <c r="N1310" s="70" t="s">
        <v>65</v>
      </c>
      <c r="O1310" s="4"/>
      <c r="P1310" s="96">
        <f t="shared" ref="P1310:R1310" si="89">SUM(P1299:P1308)</f>
        <v>56656.67</v>
      </c>
      <c r="Q1310" s="96">
        <f t="shared" si="89"/>
        <v>2785</v>
      </c>
      <c r="R1310" s="96">
        <f t="shared" si="89"/>
        <v>59441.67</v>
      </c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</row>
    <row r="1311">
      <c r="A1311" s="2"/>
      <c r="B1311" s="67" t="s">
        <v>66</v>
      </c>
      <c r="C1311" s="68"/>
      <c r="D1311" s="68"/>
      <c r="E1311" s="68"/>
      <c r="F1311" s="68"/>
      <c r="G1311" s="68"/>
      <c r="H1311" s="68"/>
      <c r="I1311" s="68"/>
      <c r="J1311" s="68"/>
      <c r="K1311" s="68"/>
      <c r="L1311" s="68"/>
      <c r="M1311" s="68"/>
      <c r="N1311" s="68"/>
      <c r="O1311" s="76"/>
      <c r="P1311" s="97" t="s">
        <v>67</v>
      </c>
      <c r="Q1311" s="31"/>
      <c r="R1311" s="3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</row>
    <row r="1312">
      <c r="A1312" s="2"/>
      <c r="B1312" s="79" t="s">
        <v>68</v>
      </c>
      <c r="P1312" s="27"/>
      <c r="Q1312" s="27"/>
      <c r="R1312" s="83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</row>
    <row r="1313">
      <c r="A1313" s="2"/>
      <c r="B1313" s="79" t="s">
        <v>70</v>
      </c>
      <c r="P1313" s="27"/>
      <c r="Q1313" s="27"/>
      <c r="R1313" s="83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</row>
    <row r="1314">
      <c r="A1314" s="2"/>
      <c r="B1314" s="8"/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5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</row>
    <row r="1315">
      <c r="A1315" s="2"/>
      <c r="B1315" s="8"/>
      <c r="C1315" s="6"/>
      <c r="D1315" s="6"/>
      <c r="E1315" s="6"/>
      <c r="F1315" s="6"/>
      <c r="G1315" s="6"/>
      <c r="H1315" s="6"/>
      <c r="I1315" s="6"/>
      <c r="J1315" s="6"/>
      <c r="K1315" s="19" t="s">
        <v>71</v>
      </c>
      <c r="L1315" s="6"/>
      <c r="M1315" s="6"/>
      <c r="N1315" s="6"/>
      <c r="O1315" s="6"/>
      <c r="P1315" s="9" t="s">
        <v>72</v>
      </c>
      <c r="R1315" s="10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</row>
    <row r="1316">
      <c r="A1316" s="2"/>
      <c r="B1316" s="88"/>
      <c r="C1316" s="34"/>
      <c r="D1316" s="34"/>
      <c r="E1316" s="34"/>
      <c r="F1316" s="34"/>
      <c r="G1316" s="34"/>
      <c r="H1316" s="34"/>
      <c r="I1316" s="34"/>
      <c r="J1316" s="34"/>
      <c r="K1316" s="34"/>
      <c r="L1316" s="34"/>
      <c r="M1316" s="34"/>
      <c r="N1316" s="34"/>
      <c r="O1316" s="34"/>
      <c r="P1316" s="34"/>
      <c r="Q1316" s="34"/>
      <c r="R1316" s="89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</row>
    <row r="1317">
      <c r="A1317" s="2"/>
      <c r="B1317" s="139"/>
      <c r="C1317" s="139"/>
      <c r="D1317" s="139"/>
      <c r="E1317" s="139"/>
      <c r="F1317" s="139"/>
      <c r="G1317" s="139"/>
      <c r="H1317" s="139"/>
      <c r="I1317" s="139"/>
      <c r="J1317" s="139"/>
      <c r="K1317" s="139"/>
      <c r="L1317" s="139"/>
      <c r="M1317" s="139"/>
      <c r="N1317" s="139"/>
      <c r="O1317" s="139"/>
      <c r="P1317" s="139"/>
      <c r="Q1317" s="139"/>
      <c r="R1317" s="139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</row>
    <row r="1318">
      <c r="A1318" s="2"/>
      <c r="B1318" s="139"/>
      <c r="C1318" s="139"/>
      <c r="D1318" s="139"/>
      <c r="E1318" s="139"/>
      <c r="F1318" s="139"/>
      <c r="G1318" s="139"/>
      <c r="H1318" s="139"/>
      <c r="I1318" s="139"/>
      <c r="J1318" s="139"/>
      <c r="K1318" s="139"/>
      <c r="L1318" s="139"/>
      <c r="M1318" s="139"/>
      <c r="N1318" s="139"/>
      <c r="O1318" s="139"/>
      <c r="P1318" s="139"/>
      <c r="Q1318" s="139"/>
      <c r="R1318" s="139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</row>
    <row r="1319">
      <c r="A1319" s="2"/>
      <c r="B1319" s="139"/>
      <c r="C1319" s="139"/>
      <c r="D1319" s="139"/>
      <c r="E1319" s="139"/>
      <c r="F1319" s="139"/>
      <c r="G1319" s="139"/>
      <c r="H1319" s="139"/>
      <c r="I1319" s="139"/>
      <c r="J1319" s="139"/>
      <c r="K1319" s="139"/>
      <c r="L1319" s="139"/>
      <c r="M1319" s="139"/>
      <c r="N1319" s="139"/>
      <c r="O1319" s="139"/>
      <c r="P1319" s="139"/>
      <c r="Q1319" s="139"/>
      <c r="R1319" s="139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</row>
    <row r="1320">
      <c r="A1320" s="2"/>
      <c r="B1320" s="139"/>
      <c r="C1320" s="139"/>
      <c r="D1320" s="139"/>
      <c r="E1320" s="139"/>
      <c r="F1320" s="139"/>
      <c r="G1320" s="139"/>
      <c r="H1320" s="139"/>
      <c r="I1320" s="139"/>
      <c r="J1320" s="139"/>
      <c r="K1320" s="139"/>
      <c r="L1320" s="139"/>
      <c r="M1320" s="139"/>
      <c r="N1320" s="139"/>
      <c r="O1320" s="139"/>
      <c r="P1320" s="139"/>
      <c r="Q1320" s="139"/>
      <c r="R1320" s="139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</row>
    <row r="1321">
      <c r="A1321" s="2"/>
      <c r="B1321" s="176" t="s">
        <v>1</v>
      </c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5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</row>
    <row r="1322">
      <c r="A1322" s="2"/>
      <c r="B1322" s="8"/>
      <c r="F1322" s="9"/>
      <c r="G1322" s="9"/>
      <c r="H1322" s="9"/>
      <c r="I1322" s="9"/>
      <c r="J1322" s="9" t="s">
        <v>2</v>
      </c>
      <c r="N1322" s="6"/>
      <c r="R1322" s="10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</row>
    <row r="1323">
      <c r="A1323" s="2"/>
      <c r="B1323" s="13"/>
      <c r="F1323" s="9"/>
      <c r="G1323" s="9"/>
      <c r="H1323" s="9"/>
      <c r="I1323" s="9"/>
      <c r="J1323" s="9" t="s">
        <v>3</v>
      </c>
      <c r="N1323" s="6"/>
      <c r="R1323" s="10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</row>
    <row r="1324">
      <c r="A1324" s="2"/>
      <c r="B1324" s="13" t="s">
        <v>4</v>
      </c>
      <c r="R1324" s="10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</row>
    <row r="1325">
      <c r="A1325" s="2"/>
      <c r="B1325" s="16" t="s">
        <v>5</v>
      </c>
      <c r="C1325" s="17" t="s">
        <v>6</v>
      </c>
      <c r="D1325" s="4"/>
      <c r="E1325" s="4"/>
      <c r="F1325" s="4"/>
      <c r="G1325" s="4"/>
      <c r="H1325" s="4"/>
      <c r="I1325" s="4"/>
      <c r="J1325" s="4"/>
      <c r="K1325" s="5"/>
      <c r="L1325" s="18" t="s">
        <v>7</v>
      </c>
      <c r="M1325" s="19">
        <v>52.0</v>
      </c>
      <c r="N1325" s="20"/>
      <c r="O1325" s="4"/>
      <c r="P1325" s="4"/>
      <c r="Q1325" s="4"/>
      <c r="R1325" s="5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</row>
    <row r="1326">
      <c r="A1326" s="2"/>
      <c r="B1326" s="26"/>
      <c r="C1326" s="27" t="s">
        <v>8</v>
      </c>
      <c r="K1326" s="10"/>
      <c r="L1326" s="18" t="s">
        <v>9</v>
      </c>
      <c r="M1326" s="175">
        <v>46058.0</v>
      </c>
      <c r="N1326" s="6"/>
      <c r="R1326" s="10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</row>
    <row r="1327">
      <c r="A1327" s="2"/>
      <c r="B1327" s="16" t="s">
        <v>11</v>
      </c>
      <c r="C1327" s="30" t="s">
        <v>12</v>
      </c>
      <c r="D1327" s="31"/>
      <c r="E1327" s="31"/>
      <c r="F1327" s="31"/>
      <c r="G1327" s="31"/>
      <c r="H1327" s="31"/>
      <c r="I1327" s="31"/>
      <c r="J1327" s="31"/>
      <c r="K1327" s="32"/>
      <c r="L1327" s="18" t="s">
        <v>13</v>
      </c>
      <c r="M1327" s="33" t="s">
        <v>14</v>
      </c>
      <c r="N1327" s="34"/>
      <c r="O1327" s="31"/>
      <c r="P1327" s="31"/>
      <c r="Q1327" s="31"/>
      <c r="R1327" s="3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</row>
    <row r="1328">
      <c r="A1328" s="2"/>
      <c r="B1328" s="8"/>
      <c r="R1328" s="10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</row>
    <row r="1329">
      <c r="A1329" s="2"/>
      <c r="B1329" s="39" t="s">
        <v>15</v>
      </c>
      <c r="C1329" s="40" t="s">
        <v>16</v>
      </c>
      <c r="D1329" s="41" t="s">
        <v>17</v>
      </c>
      <c r="E1329" s="41" t="s">
        <v>18</v>
      </c>
      <c r="F1329" s="42" t="s">
        <v>19</v>
      </c>
      <c r="G1329" s="43"/>
      <c r="H1329" s="43"/>
      <c r="I1329" s="43"/>
      <c r="J1329" s="44"/>
      <c r="K1329" s="41" t="s">
        <v>20</v>
      </c>
      <c r="L1329" s="41" t="s">
        <v>21</v>
      </c>
      <c r="M1329" s="41" t="s">
        <v>22</v>
      </c>
      <c r="N1329" s="41" t="s">
        <v>23</v>
      </c>
      <c r="O1329" s="41" t="s">
        <v>24</v>
      </c>
      <c r="P1329" s="41" t="s">
        <v>25</v>
      </c>
      <c r="Q1329" s="41" t="s">
        <v>26</v>
      </c>
      <c r="R1329" s="45" t="s">
        <v>27</v>
      </c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</row>
    <row r="1330">
      <c r="A1330" s="2"/>
      <c r="B1330" s="52">
        <v>1.0</v>
      </c>
      <c r="C1330" s="53">
        <v>1.004676282E9</v>
      </c>
      <c r="D1330" s="54">
        <v>46239.0</v>
      </c>
      <c r="E1330" s="53" t="s">
        <v>51</v>
      </c>
      <c r="F1330" s="53" t="s">
        <v>44</v>
      </c>
      <c r="G1330" s="53"/>
      <c r="H1330" s="53"/>
      <c r="I1330" s="55"/>
      <c r="J1330" s="55"/>
      <c r="K1330" s="53" t="s">
        <v>45</v>
      </c>
      <c r="L1330" s="53" t="s">
        <v>50</v>
      </c>
      <c r="M1330" s="53">
        <v>1592.0</v>
      </c>
      <c r="N1330" s="53">
        <v>230.0</v>
      </c>
      <c r="O1330" s="53">
        <v>15.53</v>
      </c>
      <c r="P1330" s="55">
        <f t="shared" ref="P1330:P1339" si="90">N1330*O1330</f>
        <v>3571.9</v>
      </c>
      <c r="Q1330" s="53"/>
      <c r="R1330" s="105">
        <f t="shared" ref="R1330:R1339" si="91">P1330+Q1330</f>
        <v>3571.9</v>
      </c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</row>
    <row r="1331">
      <c r="A1331" s="2"/>
      <c r="B1331" s="52">
        <v>2.0</v>
      </c>
      <c r="C1331" s="53">
        <v>1.00467673E9</v>
      </c>
      <c r="D1331" s="54">
        <v>46239.0</v>
      </c>
      <c r="E1331" s="53" t="s">
        <v>51</v>
      </c>
      <c r="F1331" s="53" t="s">
        <v>44</v>
      </c>
      <c r="G1331" s="53"/>
      <c r="H1331" s="53"/>
      <c r="I1331" s="55"/>
      <c r="J1331" s="55"/>
      <c r="K1331" s="53" t="s">
        <v>45</v>
      </c>
      <c r="L1331" s="53" t="s">
        <v>52</v>
      </c>
      <c r="M1331" s="53">
        <v>1511.0</v>
      </c>
      <c r="N1331" s="53">
        <v>230.0</v>
      </c>
      <c r="O1331" s="53">
        <v>15.53</v>
      </c>
      <c r="P1331" s="55">
        <f t="shared" si="90"/>
        <v>3571.9</v>
      </c>
      <c r="Q1331" s="55"/>
      <c r="R1331" s="105">
        <f t="shared" si="91"/>
        <v>3571.9</v>
      </c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</row>
    <row r="1332">
      <c r="A1332" s="2"/>
      <c r="B1332" s="52">
        <v>3.0</v>
      </c>
      <c r="C1332" s="53">
        <v>1.004676958E9</v>
      </c>
      <c r="D1332" s="54">
        <v>46239.0</v>
      </c>
      <c r="E1332" s="53" t="s">
        <v>61</v>
      </c>
      <c r="F1332" s="53" t="s">
        <v>74</v>
      </c>
      <c r="G1332" s="53" t="s">
        <v>62</v>
      </c>
      <c r="H1332" s="55"/>
      <c r="I1332" s="55"/>
      <c r="J1332" s="55"/>
      <c r="K1332" s="53" t="s">
        <v>33</v>
      </c>
      <c r="L1332" s="53" t="s">
        <v>76</v>
      </c>
      <c r="M1332" s="53">
        <v>1925.0</v>
      </c>
      <c r="N1332" s="53">
        <v>330.0</v>
      </c>
      <c r="O1332" s="53">
        <v>15.53</v>
      </c>
      <c r="P1332" s="55">
        <f t="shared" si="90"/>
        <v>5124.9</v>
      </c>
      <c r="Q1332" s="55"/>
      <c r="R1332" s="105">
        <f t="shared" si="91"/>
        <v>5124.9</v>
      </c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</row>
    <row r="1333">
      <c r="A1333" s="2"/>
      <c r="B1333" s="52">
        <v>4.0</v>
      </c>
      <c r="C1333" s="53">
        <v>1.004676951E9</v>
      </c>
      <c r="D1333" s="54">
        <v>46239.0</v>
      </c>
      <c r="E1333" s="53" t="s">
        <v>61</v>
      </c>
      <c r="F1333" s="53" t="s">
        <v>75</v>
      </c>
      <c r="G1333" s="53" t="s">
        <v>73</v>
      </c>
      <c r="H1333" s="53" t="s">
        <v>74</v>
      </c>
      <c r="I1333" s="55"/>
      <c r="J1333" s="55"/>
      <c r="K1333" s="53" t="s">
        <v>38</v>
      </c>
      <c r="L1333" s="53" t="s">
        <v>110</v>
      </c>
      <c r="M1333" s="53">
        <v>3316.0</v>
      </c>
      <c r="N1333" s="53">
        <v>560.0</v>
      </c>
      <c r="O1333" s="53">
        <v>19.28</v>
      </c>
      <c r="P1333" s="55">
        <f t="shared" si="90"/>
        <v>10796.8</v>
      </c>
      <c r="Q1333" s="53">
        <v>1085.0</v>
      </c>
      <c r="R1333" s="105">
        <f t="shared" si="91"/>
        <v>11881.8</v>
      </c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</row>
    <row r="1334">
      <c r="A1334" s="2"/>
      <c r="B1334" s="52">
        <v>5.0</v>
      </c>
      <c r="C1334" s="53">
        <v>1.00467684E9</v>
      </c>
      <c r="D1334" s="54">
        <v>46239.0</v>
      </c>
      <c r="E1334" s="53" t="s">
        <v>55</v>
      </c>
      <c r="F1334" s="53" t="s">
        <v>56</v>
      </c>
      <c r="G1334" s="53" t="s">
        <v>57</v>
      </c>
      <c r="H1334" s="53" t="s">
        <v>58</v>
      </c>
      <c r="I1334" s="53" t="s">
        <v>103</v>
      </c>
      <c r="J1334" s="55"/>
      <c r="K1334" s="53" t="s">
        <v>38</v>
      </c>
      <c r="L1334" s="53" t="s">
        <v>60</v>
      </c>
      <c r="M1334" s="53">
        <v>3653.0</v>
      </c>
      <c r="N1334" s="53">
        <v>572.0</v>
      </c>
      <c r="O1334" s="53">
        <v>19.28</v>
      </c>
      <c r="P1334" s="55">
        <f t="shared" si="90"/>
        <v>11028.16</v>
      </c>
      <c r="Q1334" s="53">
        <v>330.0</v>
      </c>
      <c r="R1334" s="105">
        <f t="shared" si="91"/>
        <v>11358.16</v>
      </c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</row>
    <row r="1335">
      <c r="A1335" s="2"/>
      <c r="B1335" s="52">
        <v>6.0</v>
      </c>
      <c r="C1335" s="53">
        <v>1.004677173E9</v>
      </c>
      <c r="D1335" s="54">
        <v>46239.0</v>
      </c>
      <c r="E1335" s="53" t="s">
        <v>100</v>
      </c>
      <c r="F1335" s="53" t="s">
        <v>83</v>
      </c>
      <c r="G1335" s="53" t="s">
        <v>87</v>
      </c>
      <c r="H1335" s="53" t="s">
        <v>84</v>
      </c>
      <c r="I1335" s="55"/>
      <c r="J1335" s="55"/>
      <c r="K1335" s="53" t="s">
        <v>38</v>
      </c>
      <c r="L1335" s="53" t="s">
        <v>101</v>
      </c>
      <c r="M1335" s="53">
        <v>3342.0</v>
      </c>
      <c r="N1335" s="53">
        <v>428.0</v>
      </c>
      <c r="O1335" s="53">
        <v>19.28</v>
      </c>
      <c r="P1335" s="55">
        <f t="shared" si="90"/>
        <v>8251.84</v>
      </c>
      <c r="Q1335" s="53">
        <v>755.0</v>
      </c>
      <c r="R1335" s="105">
        <f t="shared" si="91"/>
        <v>9006.84</v>
      </c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</row>
    <row r="1336">
      <c r="A1336" s="2"/>
      <c r="B1336" s="52">
        <v>7.0</v>
      </c>
      <c r="C1336" s="53">
        <v>1.004676069E9</v>
      </c>
      <c r="D1336" s="54">
        <v>46239.0</v>
      </c>
      <c r="E1336" s="53" t="s">
        <v>77</v>
      </c>
      <c r="F1336" s="53" t="s">
        <v>78</v>
      </c>
      <c r="G1336" s="53"/>
      <c r="H1336" s="53"/>
      <c r="I1336" s="55"/>
      <c r="J1336" s="55"/>
      <c r="K1336" s="53" t="s">
        <v>33</v>
      </c>
      <c r="L1336" s="53" t="s">
        <v>85</v>
      </c>
      <c r="M1336" s="53">
        <v>1750.0</v>
      </c>
      <c r="N1336" s="53">
        <v>266.0</v>
      </c>
      <c r="O1336" s="53">
        <v>15.53</v>
      </c>
      <c r="P1336" s="55">
        <f t="shared" si="90"/>
        <v>4130.98</v>
      </c>
      <c r="Q1336" s="55"/>
      <c r="R1336" s="105">
        <f t="shared" si="91"/>
        <v>4130.98</v>
      </c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</row>
    <row r="1337">
      <c r="A1337" s="2"/>
      <c r="B1337" s="52">
        <v>8.0</v>
      </c>
      <c r="C1337" s="53">
        <v>1.00467555E9</v>
      </c>
      <c r="D1337" s="54">
        <v>46239.0</v>
      </c>
      <c r="E1337" s="53" t="s">
        <v>77</v>
      </c>
      <c r="F1337" s="53" t="s">
        <v>78</v>
      </c>
      <c r="G1337" s="53" t="s">
        <v>79</v>
      </c>
      <c r="H1337" s="53"/>
      <c r="I1337" s="55"/>
      <c r="J1337" s="55"/>
      <c r="K1337" s="53" t="s">
        <v>38</v>
      </c>
      <c r="L1337" s="53" t="s">
        <v>81</v>
      </c>
      <c r="M1337" s="53">
        <v>3325.0</v>
      </c>
      <c r="N1337" s="53">
        <v>416.0</v>
      </c>
      <c r="O1337" s="53">
        <v>19.28</v>
      </c>
      <c r="P1337" s="55">
        <f t="shared" si="90"/>
        <v>8020.48</v>
      </c>
      <c r="Q1337" s="53">
        <v>505.0</v>
      </c>
      <c r="R1337" s="105">
        <f t="shared" si="91"/>
        <v>8525.48</v>
      </c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</row>
    <row r="1338">
      <c r="A1338" s="2"/>
      <c r="B1338" s="52">
        <v>9.0</v>
      </c>
      <c r="C1338" s="53">
        <v>1.004679055E9</v>
      </c>
      <c r="D1338" s="54">
        <v>46270.0</v>
      </c>
      <c r="E1338" s="53" t="s">
        <v>28</v>
      </c>
      <c r="F1338" s="53" t="s">
        <v>29</v>
      </c>
      <c r="G1338" s="53" t="s">
        <v>30</v>
      </c>
      <c r="H1338" s="53" t="s">
        <v>31</v>
      </c>
      <c r="I1338" s="53" t="s">
        <v>32</v>
      </c>
      <c r="J1338" s="55"/>
      <c r="K1338" s="53" t="s">
        <v>33</v>
      </c>
      <c r="L1338" s="53" t="s">
        <v>34</v>
      </c>
      <c r="M1338" s="53">
        <v>2051.0</v>
      </c>
      <c r="N1338" s="53">
        <v>246.0</v>
      </c>
      <c r="O1338" s="53">
        <v>15.53</v>
      </c>
      <c r="P1338" s="55">
        <f t="shared" si="90"/>
        <v>3820.38</v>
      </c>
      <c r="Q1338" s="53"/>
      <c r="R1338" s="105">
        <f t="shared" si="91"/>
        <v>3820.38</v>
      </c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</row>
    <row r="1339">
      <c r="A1339" s="2"/>
      <c r="B1339" s="52">
        <v>10.0</v>
      </c>
      <c r="C1339" s="53">
        <v>1.004677905E9</v>
      </c>
      <c r="D1339" s="54">
        <v>46270.0</v>
      </c>
      <c r="E1339" s="53" t="s">
        <v>35</v>
      </c>
      <c r="F1339" s="53" t="s">
        <v>36</v>
      </c>
      <c r="G1339" s="53" t="s">
        <v>37</v>
      </c>
      <c r="H1339" s="53" t="s">
        <v>40</v>
      </c>
      <c r="I1339" s="55"/>
      <c r="J1339" s="55"/>
      <c r="K1339" s="53" t="s">
        <v>80</v>
      </c>
      <c r="L1339" s="53" t="s">
        <v>96</v>
      </c>
      <c r="M1339" s="53">
        <v>2552.0</v>
      </c>
      <c r="N1339" s="53">
        <v>200.0</v>
      </c>
      <c r="O1339" s="53">
        <v>18.28</v>
      </c>
      <c r="P1339" s="55">
        <f t="shared" si="90"/>
        <v>3656</v>
      </c>
      <c r="Q1339" s="53"/>
      <c r="R1339" s="105">
        <f t="shared" si="91"/>
        <v>3656</v>
      </c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</row>
    <row r="1340">
      <c r="A1340" s="2"/>
      <c r="B1340" s="8"/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5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</row>
    <row r="1341">
      <c r="A1341" s="2"/>
      <c r="B1341" s="67" t="s">
        <v>64</v>
      </c>
      <c r="C1341" s="68"/>
      <c r="D1341" s="69" t="str">
        <f>MONEYTEXT(R1341, "INR")</f>
        <v/>
      </c>
      <c r="E1341" s="68"/>
      <c r="F1341" s="68"/>
      <c r="G1341" s="68"/>
      <c r="H1341" s="68"/>
      <c r="I1341" s="68"/>
      <c r="J1341" s="68"/>
      <c r="K1341" s="68"/>
      <c r="L1341" s="68"/>
      <c r="M1341" s="68"/>
      <c r="N1341" s="70" t="s">
        <v>65</v>
      </c>
      <c r="O1341" s="4"/>
      <c r="P1341" s="96">
        <f t="shared" ref="P1341:R1341" si="92">SUM(P1330:P1339)</f>
        <v>61973.34</v>
      </c>
      <c r="Q1341" s="96">
        <f t="shared" si="92"/>
        <v>2675</v>
      </c>
      <c r="R1341" s="96">
        <f t="shared" si="92"/>
        <v>64648.34</v>
      </c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</row>
    <row r="1342">
      <c r="A1342" s="2"/>
      <c r="B1342" s="67" t="s">
        <v>66</v>
      </c>
      <c r="C1342" s="68"/>
      <c r="D1342" s="68"/>
      <c r="E1342" s="68"/>
      <c r="F1342" s="68"/>
      <c r="G1342" s="68"/>
      <c r="H1342" s="68"/>
      <c r="I1342" s="68"/>
      <c r="J1342" s="68"/>
      <c r="K1342" s="68"/>
      <c r="L1342" s="68"/>
      <c r="M1342" s="68"/>
      <c r="N1342" s="68"/>
      <c r="O1342" s="76"/>
      <c r="P1342" s="97" t="s">
        <v>67</v>
      </c>
      <c r="Q1342" s="31"/>
      <c r="R1342" s="3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</row>
    <row r="1343">
      <c r="A1343" s="2"/>
      <c r="B1343" s="79" t="s">
        <v>68</v>
      </c>
      <c r="P1343" s="27"/>
      <c r="Q1343" s="27"/>
      <c r="R1343" s="83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</row>
    <row r="1344">
      <c r="A1344" s="2"/>
      <c r="B1344" s="79" t="s">
        <v>70</v>
      </c>
      <c r="P1344" s="27"/>
      <c r="Q1344" s="27"/>
      <c r="R1344" s="83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</row>
    <row r="1345">
      <c r="A1345" s="2"/>
      <c r="B1345" s="8"/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5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</row>
    <row r="1346">
      <c r="A1346" s="2"/>
      <c r="B1346" s="8"/>
      <c r="C1346" s="6"/>
      <c r="D1346" s="6"/>
      <c r="E1346" s="6"/>
      <c r="F1346" s="6"/>
      <c r="G1346" s="6"/>
      <c r="H1346" s="6"/>
      <c r="I1346" s="6"/>
      <c r="J1346" s="6"/>
      <c r="K1346" s="19" t="s">
        <v>71</v>
      </c>
      <c r="L1346" s="6"/>
      <c r="M1346" s="6"/>
      <c r="N1346" s="6"/>
      <c r="O1346" s="6"/>
      <c r="P1346" s="9" t="s">
        <v>72</v>
      </c>
      <c r="R1346" s="10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</row>
    <row r="1347">
      <c r="A1347" s="2"/>
      <c r="B1347" s="88"/>
      <c r="C1347" s="34"/>
      <c r="D1347" s="34"/>
      <c r="E1347" s="34"/>
      <c r="F1347" s="34"/>
      <c r="G1347" s="34"/>
      <c r="H1347" s="34"/>
      <c r="I1347" s="34"/>
      <c r="J1347" s="34"/>
      <c r="K1347" s="34"/>
      <c r="L1347" s="34"/>
      <c r="M1347" s="34"/>
      <c r="N1347" s="34"/>
      <c r="O1347" s="34"/>
      <c r="P1347" s="34"/>
      <c r="Q1347" s="34"/>
      <c r="R1347" s="89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</row>
    <row r="1348">
      <c r="A1348" s="2"/>
      <c r="B1348" s="139"/>
      <c r="C1348" s="139"/>
      <c r="D1348" s="139"/>
      <c r="E1348" s="139"/>
      <c r="F1348" s="139"/>
      <c r="G1348" s="139"/>
      <c r="H1348" s="139"/>
      <c r="I1348" s="139"/>
      <c r="J1348" s="139"/>
      <c r="K1348" s="139"/>
      <c r="L1348" s="139"/>
      <c r="M1348" s="139"/>
      <c r="N1348" s="139"/>
      <c r="O1348" s="139"/>
      <c r="P1348" s="139"/>
      <c r="Q1348" s="139"/>
      <c r="R1348" s="139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</row>
    <row r="1349">
      <c r="A1349" s="2"/>
      <c r="B1349" s="139"/>
      <c r="C1349" s="139"/>
      <c r="D1349" s="139"/>
      <c r="E1349" s="139"/>
      <c r="F1349" s="139"/>
      <c r="G1349" s="139"/>
      <c r="H1349" s="139"/>
      <c r="I1349" s="139"/>
      <c r="J1349" s="139"/>
      <c r="K1349" s="139"/>
      <c r="L1349" s="139"/>
      <c r="M1349" s="139"/>
      <c r="N1349" s="139"/>
      <c r="O1349" s="139"/>
      <c r="P1349" s="139"/>
      <c r="Q1349" s="139"/>
      <c r="R1349" s="139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</row>
    <row r="1350">
      <c r="A1350" s="2"/>
      <c r="B1350" s="139"/>
      <c r="C1350" s="139"/>
      <c r="D1350" s="139"/>
      <c r="E1350" s="139"/>
      <c r="F1350" s="139"/>
      <c r="G1350" s="139"/>
      <c r="H1350" s="139"/>
      <c r="I1350" s="139"/>
      <c r="J1350" s="139"/>
      <c r="K1350" s="139"/>
      <c r="L1350" s="139"/>
      <c r="M1350" s="139"/>
      <c r="N1350" s="139"/>
      <c r="O1350" s="139"/>
      <c r="P1350" s="139"/>
      <c r="Q1350" s="139"/>
      <c r="R1350" s="139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</row>
    <row r="1351">
      <c r="A1351" s="2"/>
      <c r="B1351" s="179"/>
      <c r="C1351" s="139"/>
      <c r="D1351" s="139"/>
      <c r="E1351" s="139"/>
      <c r="F1351" s="139"/>
      <c r="G1351" s="139"/>
      <c r="H1351" s="139"/>
      <c r="I1351" s="139"/>
      <c r="J1351" s="139"/>
      <c r="K1351" s="139"/>
      <c r="L1351" s="139"/>
      <c r="M1351" s="139"/>
      <c r="N1351" s="139"/>
      <c r="O1351" s="139"/>
      <c r="P1351" s="139"/>
      <c r="Q1351" s="139"/>
      <c r="R1351" s="139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</row>
    <row r="1352">
      <c r="A1352" s="2"/>
      <c r="B1352" s="176" t="s">
        <v>1</v>
      </c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5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</row>
    <row r="1353">
      <c r="A1353" s="2"/>
      <c r="B1353" s="8"/>
      <c r="F1353" s="9"/>
      <c r="G1353" s="9"/>
      <c r="H1353" s="9"/>
      <c r="I1353" s="9"/>
      <c r="J1353" s="9" t="s">
        <v>2</v>
      </c>
      <c r="N1353" s="6"/>
      <c r="R1353" s="10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</row>
    <row r="1354">
      <c r="A1354" s="2"/>
      <c r="B1354" s="13"/>
      <c r="F1354" s="9"/>
      <c r="G1354" s="9"/>
      <c r="H1354" s="9"/>
      <c r="I1354" s="9"/>
      <c r="J1354" s="9" t="s">
        <v>3</v>
      </c>
      <c r="N1354" s="6"/>
      <c r="R1354" s="10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</row>
    <row r="1355">
      <c r="A1355" s="2"/>
      <c r="B1355" s="13" t="s">
        <v>4</v>
      </c>
      <c r="R1355" s="10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</row>
    <row r="1356">
      <c r="A1356" s="2"/>
      <c r="B1356" s="16" t="s">
        <v>5</v>
      </c>
      <c r="C1356" s="17" t="s">
        <v>6</v>
      </c>
      <c r="D1356" s="4"/>
      <c r="E1356" s="4"/>
      <c r="F1356" s="4"/>
      <c r="G1356" s="4"/>
      <c r="H1356" s="4"/>
      <c r="I1356" s="4"/>
      <c r="J1356" s="4"/>
      <c r="K1356" s="5"/>
      <c r="L1356" s="18" t="s">
        <v>7</v>
      </c>
      <c r="M1356" s="19">
        <v>53.0</v>
      </c>
      <c r="N1356" s="20"/>
      <c r="O1356" s="4"/>
      <c r="P1356" s="4"/>
      <c r="Q1356" s="4"/>
      <c r="R1356" s="5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</row>
    <row r="1357">
      <c r="A1357" s="2"/>
      <c r="B1357" s="26"/>
      <c r="C1357" s="27" t="s">
        <v>8</v>
      </c>
      <c r="K1357" s="10"/>
      <c r="L1357" s="18" t="s">
        <v>9</v>
      </c>
      <c r="M1357" s="175">
        <v>46058.0</v>
      </c>
      <c r="N1357" s="6"/>
      <c r="R1357" s="10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</row>
    <row r="1358">
      <c r="A1358" s="2"/>
      <c r="B1358" s="16" t="s">
        <v>11</v>
      </c>
      <c r="C1358" s="30" t="s">
        <v>12</v>
      </c>
      <c r="D1358" s="31"/>
      <c r="E1358" s="31"/>
      <c r="F1358" s="31"/>
      <c r="G1358" s="31"/>
      <c r="H1358" s="31"/>
      <c r="I1358" s="31"/>
      <c r="J1358" s="31"/>
      <c r="K1358" s="32"/>
      <c r="L1358" s="18" t="s">
        <v>13</v>
      </c>
      <c r="M1358" s="33" t="s">
        <v>14</v>
      </c>
      <c r="N1358" s="34"/>
      <c r="O1358" s="31"/>
      <c r="P1358" s="31"/>
      <c r="Q1358" s="31"/>
      <c r="R1358" s="3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</row>
    <row r="1359">
      <c r="A1359" s="2"/>
      <c r="B1359" s="8"/>
      <c r="R1359" s="10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</row>
    <row r="1360">
      <c r="A1360" s="2"/>
      <c r="B1360" s="39" t="s">
        <v>15</v>
      </c>
      <c r="C1360" s="40" t="s">
        <v>16</v>
      </c>
      <c r="D1360" s="41" t="s">
        <v>17</v>
      </c>
      <c r="E1360" s="41" t="s">
        <v>18</v>
      </c>
      <c r="F1360" s="42" t="s">
        <v>19</v>
      </c>
      <c r="G1360" s="43"/>
      <c r="H1360" s="43"/>
      <c r="I1360" s="43"/>
      <c r="J1360" s="44"/>
      <c r="K1360" s="41" t="s">
        <v>20</v>
      </c>
      <c r="L1360" s="41" t="s">
        <v>21</v>
      </c>
      <c r="M1360" s="41" t="s">
        <v>22</v>
      </c>
      <c r="N1360" s="41" t="s">
        <v>23</v>
      </c>
      <c r="O1360" s="41" t="s">
        <v>24</v>
      </c>
      <c r="P1360" s="41" t="s">
        <v>25</v>
      </c>
      <c r="Q1360" s="41" t="s">
        <v>26</v>
      </c>
      <c r="R1360" s="45" t="s">
        <v>27</v>
      </c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</row>
    <row r="1361">
      <c r="A1361" s="2"/>
      <c r="B1361" s="52">
        <v>1.0</v>
      </c>
      <c r="C1361" s="53">
        <v>1.004678358E9</v>
      </c>
      <c r="D1361" s="54">
        <v>46270.0</v>
      </c>
      <c r="E1361" s="53" t="s">
        <v>35</v>
      </c>
      <c r="F1361" s="53" t="s">
        <v>36</v>
      </c>
      <c r="G1361" s="53"/>
      <c r="H1361" s="53"/>
      <c r="I1361" s="55"/>
      <c r="J1361" s="55"/>
      <c r="K1361" s="53" t="s">
        <v>38</v>
      </c>
      <c r="L1361" s="53" t="s">
        <v>97</v>
      </c>
      <c r="M1361" s="53">
        <v>3504.0</v>
      </c>
      <c r="N1361" s="53">
        <v>130.0</v>
      </c>
      <c r="O1361" s="53">
        <v>19.28</v>
      </c>
      <c r="P1361" s="55">
        <f t="shared" ref="P1361:P1370" si="93">N1361*O1361</f>
        <v>2506.4</v>
      </c>
      <c r="Q1361" s="53"/>
      <c r="R1361" s="105">
        <f t="shared" ref="R1361:R1370" si="94">P1361+Q1361</f>
        <v>2506.4</v>
      </c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</row>
    <row r="1362">
      <c r="A1362" s="2"/>
      <c r="B1362" s="52">
        <v>2.0</v>
      </c>
      <c r="C1362" s="53">
        <v>1.004678593E9</v>
      </c>
      <c r="D1362" s="54">
        <v>46270.0</v>
      </c>
      <c r="E1362" s="53" t="s">
        <v>51</v>
      </c>
      <c r="F1362" s="53" t="s">
        <v>49</v>
      </c>
      <c r="G1362" s="53" t="s">
        <v>44</v>
      </c>
      <c r="H1362" s="53"/>
      <c r="I1362" s="55"/>
      <c r="J1362" s="55"/>
      <c r="K1362" s="53" t="s">
        <v>45</v>
      </c>
      <c r="L1362" s="53" t="s">
        <v>112</v>
      </c>
      <c r="M1362" s="53">
        <v>1402.0</v>
      </c>
      <c r="N1362" s="53">
        <v>230.0</v>
      </c>
      <c r="O1362" s="53">
        <v>15.53</v>
      </c>
      <c r="P1362" s="55">
        <f t="shared" si="93"/>
        <v>3571.9</v>
      </c>
      <c r="Q1362" s="55"/>
      <c r="R1362" s="105">
        <f t="shared" si="94"/>
        <v>3571.9</v>
      </c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</row>
    <row r="1363">
      <c r="A1363" s="2"/>
      <c r="B1363" s="52">
        <v>3.0</v>
      </c>
      <c r="C1363" s="53">
        <v>1.004678137E9</v>
      </c>
      <c r="D1363" s="54">
        <v>46270.0</v>
      </c>
      <c r="E1363" s="53" t="s">
        <v>51</v>
      </c>
      <c r="F1363" s="53" t="s">
        <v>44</v>
      </c>
      <c r="G1363" s="53"/>
      <c r="H1363" s="55"/>
      <c r="I1363" s="55"/>
      <c r="J1363" s="55"/>
      <c r="K1363" s="53" t="s">
        <v>45</v>
      </c>
      <c r="L1363" s="53" t="s">
        <v>98</v>
      </c>
      <c r="M1363" s="53">
        <v>1750.0</v>
      </c>
      <c r="N1363" s="53">
        <v>230.0</v>
      </c>
      <c r="O1363" s="53">
        <v>15.53</v>
      </c>
      <c r="P1363" s="55">
        <f t="shared" si="93"/>
        <v>3571.9</v>
      </c>
      <c r="Q1363" s="55"/>
      <c r="R1363" s="105">
        <f t="shared" si="94"/>
        <v>3571.9</v>
      </c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</row>
    <row r="1364">
      <c r="A1364" s="2"/>
      <c r="B1364" s="52">
        <v>4.0</v>
      </c>
      <c r="C1364" s="53">
        <v>1.004678302E9</v>
      </c>
      <c r="D1364" s="54">
        <v>46270.0</v>
      </c>
      <c r="E1364" s="53" t="s">
        <v>51</v>
      </c>
      <c r="F1364" s="53" t="s">
        <v>49</v>
      </c>
      <c r="G1364" s="53" t="s">
        <v>44</v>
      </c>
      <c r="H1364" s="55"/>
      <c r="I1364" s="55"/>
      <c r="J1364" s="55"/>
      <c r="K1364" s="53" t="s">
        <v>45</v>
      </c>
      <c r="L1364" s="53" t="s">
        <v>50</v>
      </c>
      <c r="M1364" s="53">
        <v>1630.0</v>
      </c>
      <c r="N1364" s="53">
        <v>230.0</v>
      </c>
      <c r="O1364" s="53">
        <v>15.53</v>
      </c>
      <c r="P1364" s="55">
        <f t="shared" si="93"/>
        <v>3571.9</v>
      </c>
      <c r="Q1364" s="55"/>
      <c r="R1364" s="105">
        <f t="shared" si="94"/>
        <v>3571.9</v>
      </c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</row>
    <row r="1365">
      <c r="A1365" s="2"/>
      <c r="B1365" s="52">
        <v>5.0</v>
      </c>
      <c r="C1365" s="53">
        <v>1.00467859E9</v>
      </c>
      <c r="D1365" s="54">
        <v>46270.0</v>
      </c>
      <c r="E1365" s="53" t="s">
        <v>51</v>
      </c>
      <c r="F1365" s="53" t="s">
        <v>44</v>
      </c>
      <c r="G1365" s="53" t="s">
        <v>49</v>
      </c>
      <c r="H1365" s="55"/>
      <c r="I1365" s="55"/>
      <c r="J1365" s="55"/>
      <c r="K1365" s="53" t="s">
        <v>45</v>
      </c>
      <c r="L1365" s="53" t="s">
        <v>52</v>
      </c>
      <c r="M1365" s="53">
        <v>1692.0</v>
      </c>
      <c r="N1365" s="53">
        <v>230.0</v>
      </c>
      <c r="O1365" s="53">
        <v>15.53</v>
      </c>
      <c r="P1365" s="55">
        <f t="shared" si="93"/>
        <v>3571.9</v>
      </c>
      <c r="Q1365" s="55"/>
      <c r="R1365" s="105">
        <f t="shared" si="94"/>
        <v>3571.9</v>
      </c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</row>
    <row r="1366">
      <c r="A1366" s="2"/>
      <c r="B1366" s="52">
        <v>6.0</v>
      </c>
      <c r="C1366" s="53">
        <v>1.00467769E9</v>
      </c>
      <c r="D1366" s="54">
        <v>46274.0</v>
      </c>
      <c r="E1366" s="53" t="s">
        <v>90</v>
      </c>
      <c r="F1366" s="53" t="s">
        <v>91</v>
      </c>
      <c r="G1366" s="53" t="s">
        <v>83</v>
      </c>
      <c r="H1366" s="55"/>
      <c r="I1366" s="55"/>
      <c r="J1366" s="55"/>
      <c r="K1366" s="53" t="s">
        <v>38</v>
      </c>
      <c r="L1366" s="53" t="s">
        <v>155</v>
      </c>
      <c r="M1366" s="53">
        <v>3511.0</v>
      </c>
      <c r="N1366" s="53">
        <v>216.0</v>
      </c>
      <c r="O1366" s="53">
        <v>19.28</v>
      </c>
      <c r="P1366" s="55">
        <f t="shared" si="93"/>
        <v>4164.48</v>
      </c>
      <c r="Q1366" s="53">
        <v>200.0</v>
      </c>
      <c r="R1366" s="105">
        <f t="shared" si="94"/>
        <v>4364.48</v>
      </c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</row>
    <row r="1367">
      <c r="A1367" s="2"/>
      <c r="B1367" s="52">
        <v>7.0</v>
      </c>
      <c r="C1367" s="53">
        <v>1.004678895E9</v>
      </c>
      <c r="D1367" s="54">
        <v>46270.0</v>
      </c>
      <c r="E1367" s="53" t="s">
        <v>106</v>
      </c>
      <c r="F1367" s="53" t="s">
        <v>109</v>
      </c>
      <c r="G1367" s="53" t="s">
        <v>108</v>
      </c>
      <c r="H1367" s="53" t="s">
        <v>107</v>
      </c>
      <c r="I1367" s="55"/>
      <c r="J1367" s="55"/>
      <c r="K1367" s="53" t="s">
        <v>38</v>
      </c>
      <c r="L1367" s="53" t="s">
        <v>118</v>
      </c>
      <c r="M1367" s="53">
        <v>3141.0</v>
      </c>
      <c r="N1367" s="53">
        <v>482.0</v>
      </c>
      <c r="O1367" s="53">
        <v>19.28</v>
      </c>
      <c r="P1367" s="55">
        <f t="shared" si="93"/>
        <v>9292.96</v>
      </c>
      <c r="Q1367" s="53">
        <v>1025.0</v>
      </c>
      <c r="R1367" s="105">
        <f t="shared" si="94"/>
        <v>10317.96</v>
      </c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</row>
    <row r="1368">
      <c r="A1368" s="2"/>
      <c r="B1368" s="52">
        <v>8.0</v>
      </c>
      <c r="C1368" s="53">
        <v>1.004679222E9</v>
      </c>
      <c r="D1368" s="54">
        <v>46270.0</v>
      </c>
      <c r="E1368" s="53" t="s">
        <v>55</v>
      </c>
      <c r="F1368" s="53" t="s">
        <v>58</v>
      </c>
      <c r="G1368" s="53" t="s">
        <v>59</v>
      </c>
      <c r="H1368" s="53" t="s">
        <v>103</v>
      </c>
      <c r="I1368" s="55"/>
      <c r="J1368" s="55"/>
      <c r="K1368" s="53" t="s">
        <v>33</v>
      </c>
      <c r="L1368" s="53" t="s">
        <v>105</v>
      </c>
      <c r="M1368" s="53">
        <v>2086.0</v>
      </c>
      <c r="N1368" s="53">
        <v>568.0</v>
      </c>
      <c r="O1368" s="53">
        <v>15.53</v>
      </c>
      <c r="P1368" s="55">
        <f t="shared" si="93"/>
        <v>8821.04</v>
      </c>
      <c r="Q1368" s="53">
        <v>330.0</v>
      </c>
      <c r="R1368" s="105">
        <f t="shared" si="94"/>
        <v>9151.04</v>
      </c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</row>
    <row r="1369">
      <c r="A1369" s="2"/>
      <c r="B1369" s="52">
        <v>9.0</v>
      </c>
      <c r="C1369" s="53">
        <v>1.00467918E9</v>
      </c>
      <c r="D1369" s="54">
        <v>46270.0</v>
      </c>
      <c r="E1369" s="53" t="s">
        <v>77</v>
      </c>
      <c r="F1369" s="53" t="s">
        <v>116</v>
      </c>
      <c r="G1369" s="53" t="s">
        <v>78</v>
      </c>
      <c r="H1369" s="53" t="s">
        <v>79</v>
      </c>
      <c r="I1369" s="55"/>
      <c r="J1369" s="55"/>
      <c r="K1369" s="53" t="s">
        <v>33</v>
      </c>
      <c r="L1369" s="53" t="s">
        <v>104</v>
      </c>
      <c r="M1369" s="53">
        <v>2129.0</v>
      </c>
      <c r="N1369" s="53">
        <v>416.0</v>
      </c>
      <c r="O1369" s="53">
        <v>15.53</v>
      </c>
      <c r="P1369" s="55">
        <f t="shared" si="93"/>
        <v>6460.48</v>
      </c>
      <c r="Q1369" s="53"/>
      <c r="R1369" s="105">
        <f t="shared" si="94"/>
        <v>6460.48</v>
      </c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</row>
    <row r="1370">
      <c r="A1370" s="2"/>
      <c r="B1370" s="52">
        <v>10.0</v>
      </c>
      <c r="C1370" s="53">
        <v>1.00467915E9</v>
      </c>
      <c r="D1370" s="54">
        <v>46270.0</v>
      </c>
      <c r="E1370" s="53" t="s">
        <v>90</v>
      </c>
      <c r="F1370" s="53" t="s">
        <v>91</v>
      </c>
      <c r="G1370" s="53" t="s">
        <v>92</v>
      </c>
      <c r="H1370" s="53" t="s">
        <v>93</v>
      </c>
      <c r="I1370" s="53" t="s">
        <v>94</v>
      </c>
      <c r="J1370" s="55"/>
      <c r="K1370" s="53" t="s">
        <v>80</v>
      </c>
      <c r="L1370" s="53" t="s">
        <v>102</v>
      </c>
      <c r="M1370" s="53">
        <v>2819.0</v>
      </c>
      <c r="N1370" s="53">
        <v>405.0</v>
      </c>
      <c r="O1370" s="53">
        <v>18.28</v>
      </c>
      <c r="P1370" s="55">
        <f t="shared" si="93"/>
        <v>7403.4</v>
      </c>
      <c r="Q1370" s="53">
        <v>500.0</v>
      </c>
      <c r="R1370" s="105">
        <f t="shared" si="94"/>
        <v>7903.4</v>
      </c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</row>
    <row r="1371">
      <c r="A1371" s="2"/>
      <c r="B1371" s="8"/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5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</row>
    <row r="1372">
      <c r="A1372" s="2"/>
      <c r="B1372" s="67" t="s">
        <v>64</v>
      </c>
      <c r="C1372" s="68"/>
      <c r="D1372" s="69" t="str">
        <f>MONEYTEXT(R1372, "INR")</f>
        <v/>
      </c>
      <c r="E1372" s="68"/>
      <c r="F1372" s="68"/>
      <c r="G1372" s="68"/>
      <c r="H1372" s="68"/>
      <c r="I1372" s="68"/>
      <c r="J1372" s="68"/>
      <c r="K1372" s="68"/>
      <c r="L1372" s="68"/>
      <c r="M1372" s="68"/>
      <c r="N1372" s="70" t="s">
        <v>65</v>
      </c>
      <c r="O1372" s="4"/>
      <c r="P1372" s="96">
        <f t="shared" ref="P1372:R1372" si="95">SUM(P1361:P1370)</f>
        <v>52936.36</v>
      </c>
      <c r="Q1372" s="96">
        <f t="shared" si="95"/>
        <v>2055</v>
      </c>
      <c r="R1372" s="96">
        <f t="shared" si="95"/>
        <v>54991.36</v>
      </c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</row>
    <row r="1373">
      <c r="A1373" s="2"/>
      <c r="B1373" s="67" t="s">
        <v>66</v>
      </c>
      <c r="C1373" s="68"/>
      <c r="D1373" s="68"/>
      <c r="E1373" s="68"/>
      <c r="F1373" s="68"/>
      <c r="G1373" s="68"/>
      <c r="H1373" s="68"/>
      <c r="I1373" s="68"/>
      <c r="J1373" s="68"/>
      <c r="K1373" s="68"/>
      <c r="L1373" s="68"/>
      <c r="M1373" s="68"/>
      <c r="N1373" s="68"/>
      <c r="O1373" s="76"/>
      <c r="P1373" s="97" t="s">
        <v>67</v>
      </c>
      <c r="Q1373" s="31"/>
      <c r="R1373" s="3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</row>
    <row r="1374">
      <c r="A1374" s="2"/>
      <c r="B1374" s="79" t="s">
        <v>68</v>
      </c>
      <c r="P1374" s="27"/>
      <c r="Q1374" s="27"/>
      <c r="R1374" s="83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</row>
    <row r="1375">
      <c r="A1375" s="2"/>
      <c r="B1375" s="79" t="s">
        <v>70</v>
      </c>
      <c r="P1375" s="27"/>
      <c r="Q1375" s="27"/>
      <c r="R1375" s="83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</row>
    <row r="1376">
      <c r="A1376" s="2"/>
      <c r="B1376" s="8"/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5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</row>
    <row r="1377">
      <c r="A1377" s="2"/>
      <c r="B1377" s="8"/>
      <c r="C1377" s="6"/>
      <c r="D1377" s="6"/>
      <c r="E1377" s="6"/>
      <c r="F1377" s="6"/>
      <c r="G1377" s="6"/>
      <c r="H1377" s="6"/>
      <c r="I1377" s="6"/>
      <c r="J1377" s="6"/>
      <c r="K1377" s="19" t="s">
        <v>71</v>
      </c>
      <c r="L1377" s="6"/>
      <c r="M1377" s="6"/>
      <c r="N1377" s="6"/>
      <c r="O1377" s="6"/>
      <c r="P1377" s="9" t="s">
        <v>72</v>
      </c>
      <c r="R1377" s="10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</row>
    <row r="1378">
      <c r="A1378" s="2"/>
      <c r="B1378" s="88"/>
      <c r="C1378" s="34"/>
      <c r="D1378" s="34"/>
      <c r="E1378" s="34"/>
      <c r="F1378" s="34"/>
      <c r="G1378" s="34"/>
      <c r="H1378" s="34"/>
      <c r="I1378" s="34"/>
      <c r="J1378" s="34"/>
      <c r="K1378" s="34"/>
      <c r="L1378" s="34"/>
      <c r="M1378" s="34"/>
      <c r="N1378" s="34"/>
      <c r="O1378" s="34"/>
      <c r="P1378" s="34"/>
      <c r="Q1378" s="34"/>
      <c r="R1378" s="89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</row>
    <row r="1379">
      <c r="A1379" s="2"/>
      <c r="B1379" s="139"/>
      <c r="C1379" s="139"/>
      <c r="D1379" s="139"/>
      <c r="E1379" s="139"/>
      <c r="F1379" s="139"/>
      <c r="G1379" s="139"/>
      <c r="H1379" s="139"/>
      <c r="I1379" s="139"/>
      <c r="J1379" s="139"/>
      <c r="K1379" s="139"/>
      <c r="L1379" s="139"/>
      <c r="M1379" s="139"/>
      <c r="N1379" s="139"/>
      <c r="O1379" s="139"/>
      <c r="P1379" s="139"/>
      <c r="Q1379" s="139"/>
      <c r="R1379" s="139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</row>
    <row r="1380">
      <c r="A1380" s="2"/>
      <c r="B1380" s="139"/>
      <c r="C1380" s="139"/>
      <c r="D1380" s="139"/>
      <c r="E1380" s="139"/>
      <c r="F1380" s="139"/>
      <c r="G1380" s="139"/>
      <c r="H1380" s="139"/>
      <c r="I1380" s="139"/>
      <c r="J1380" s="139"/>
      <c r="K1380" s="139"/>
      <c r="L1380" s="139"/>
      <c r="M1380" s="139"/>
      <c r="N1380" s="139"/>
      <c r="O1380" s="139"/>
      <c r="P1380" s="139"/>
      <c r="Q1380" s="139"/>
      <c r="R1380" s="139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</row>
    <row r="1381">
      <c r="A1381" s="2"/>
      <c r="B1381" s="139"/>
      <c r="C1381" s="139"/>
      <c r="D1381" s="139"/>
      <c r="E1381" s="139"/>
      <c r="F1381" s="139"/>
      <c r="G1381" s="139"/>
      <c r="H1381" s="139"/>
      <c r="I1381" s="139"/>
      <c r="J1381" s="139"/>
      <c r="K1381" s="139"/>
      <c r="L1381" s="139"/>
      <c r="M1381" s="139"/>
      <c r="N1381" s="139"/>
      <c r="O1381" s="139"/>
      <c r="P1381" s="139"/>
      <c r="Q1381" s="139"/>
      <c r="R1381" s="139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</row>
    <row r="1382">
      <c r="A1382" s="2"/>
      <c r="B1382" s="139"/>
      <c r="C1382" s="139"/>
      <c r="D1382" s="139"/>
      <c r="E1382" s="139"/>
      <c r="F1382" s="139"/>
      <c r="G1382" s="139"/>
      <c r="H1382" s="139"/>
      <c r="I1382" s="139"/>
      <c r="J1382" s="139"/>
      <c r="K1382" s="139"/>
      <c r="L1382" s="139"/>
      <c r="M1382" s="139"/>
      <c r="N1382" s="139"/>
      <c r="O1382" s="139"/>
      <c r="P1382" s="139"/>
      <c r="Q1382" s="139"/>
      <c r="R1382" s="139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</row>
    <row r="1383">
      <c r="A1383" s="2"/>
      <c r="B1383" s="176" t="s">
        <v>1</v>
      </c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5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</row>
    <row r="1384">
      <c r="A1384" s="2"/>
      <c r="B1384" s="8"/>
      <c r="F1384" s="9"/>
      <c r="G1384" s="9"/>
      <c r="H1384" s="9"/>
      <c r="I1384" s="9"/>
      <c r="J1384" s="9" t="s">
        <v>2</v>
      </c>
      <c r="N1384" s="6"/>
      <c r="R1384" s="10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</row>
    <row r="1385">
      <c r="A1385" s="2"/>
      <c r="B1385" s="13"/>
      <c r="F1385" s="9"/>
      <c r="G1385" s="9"/>
      <c r="H1385" s="9"/>
      <c r="I1385" s="9"/>
      <c r="J1385" s="9" t="s">
        <v>3</v>
      </c>
      <c r="N1385" s="6"/>
      <c r="R1385" s="10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</row>
    <row r="1386">
      <c r="A1386" s="2"/>
      <c r="B1386" s="13" t="s">
        <v>4</v>
      </c>
      <c r="R1386" s="10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</row>
    <row r="1387">
      <c r="A1387" s="2"/>
      <c r="B1387" s="16" t="s">
        <v>5</v>
      </c>
      <c r="C1387" s="17" t="s">
        <v>6</v>
      </c>
      <c r="D1387" s="4"/>
      <c r="E1387" s="4"/>
      <c r="F1387" s="4"/>
      <c r="G1387" s="4"/>
      <c r="H1387" s="4"/>
      <c r="I1387" s="4"/>
      <c r="J1387" s="4"/>
      <c r="K1387" s="5"/>
      <c r="L1387" s="18" t="s">
        <v>7</v>
      </c>
      <c r="M1387" s="19">
        <v>54.0</v>
      </c>
      <c r="N1387" s="20"/>
      <c r="O1387" s="4"/>
      <c r="P1387" s="4"/>
      <c r="Q1387" s="4"/>
      <c r="R1387" s="5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</row>
    <row r="1388">
      <c r="A1388" s="2"/>
      <c r="B1388" s="26"/>
      <c r="C1388" s="27" t="s">
        <v>8</v>
      </c>
      <c r="K1388" s="10"/>
      <c r="L1388" s="18" t="s">
        <v>9</v>
      </c>
      <c r="M1388" s="175">
        <v>46058.0</v>
      </c>
      <c r="N1388" s="6"/>
      <c r="R1388" s="10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</row>
    <row r="1389">
      <c r="A1389" s="2"/>
      <c r="B1389" s="16" t="s">
        <v>11</v>
      </c>
      <c r="C1389" s="30" t="s">
        <v>12</v>
      </c>
      <c r="D1389" s="31"/>
      <c r="E1389" s="31"/>
      <c r="F1389" s="31"/>
      <c r="G1389" s="31"/>
      <c r="H1389" s="31"/>
      <c r="I1389" s="31"/>
      <c r="J1389" s="31"/>
      <c r="K1389" s="32"/>
      <c r="L1389" s="18" t="s">
        <v>13</v>
      </c>
      <c r="M1389" s="33" t="s">
        <v>14</v>
      </c>
      <c r="N1389" s="34"/>
      <c r="O1389" s="31"/>
      <c r="P1389" s="31"/>
      <c r="Q1389" s="31"/>
      <c r="R1389" s="3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</row>
    <row r="1390">
      <c r="A1390" s="2"/>
      <c r="B1390" s="8"/>
      <c r="R1390" s="10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</row>
    <row r="1391">
      <c r="A1391" s="2"/>
      <c r="B1391" s="39" t="s">
        <v>15</v>
      </c>
      <c r="C1391" s="40" t="s">
        <v>16</v>
      </c>
      <c r="D1391" s="41" t="s">
        <v>17</v>
      </c>
      <c r="E1391" s="41" t="s">
        <v>18</v>
      </c>
      <c r="F1391" s="42" t="s">
        <v>19</v>
      </c>
      <c r="G1391" s="43"/>
      <c r="H1391" s="43"/>
      <c r="I1391" s="43"/>
      <c r="J1391" s="44"/>
      <c r="K1391" s="41" t="s">
        <v>20</v>
      </c>
      <c r="L1391" s="41" t="s">
        <v>21</v>
      </c>
      <c r="M1391" s="41" t="s">
        <v>22</v>
      </c>
      <c r="N1391" s="41" t="s">
        <v>23</v>
      </c>
      <c r="O1391" s="41" t="s">
        <v>24</v>
      </c>
      <c r="P1391" s="41" t="s">
        <v>25</v>
      </c>
      <c r="Q1391" s="41" t="s">
        <v>26</v>
      </c>
      <c r="R1391" s="45" t="s">
        <v>27</v>
      </c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</row>
    <row r="1392">
      <c r="A1392" s="2"/>
      <c r="B1392" s="52">
        <v>1.0</v>
      </c>
      <c r="C1392" s="53">
        <v>1.004679036E9</v>
      </c>
      <c r="D1392" s="54">
        <v>46270.0</v>
      </c>
      <c r="E1392" s="53" t="s">
        <v>100</v>
      </c>
      <c r="F1392" s="53" t="s">
        <v>87</v>
      </c>
      <c r="G1392" s="53" t="s">
        <v>84</v>
      </c>
      <c r="H1392" s="53" t="s">
        <v>83</v>
      </c>
      <c r="I1392" s="55"/>
      <c r="J1392" s="55"/>
      <c r="K1392" s="53" t="s">
        <v>33</v>
      </c>
      <c r="L1392" s="53" t="s">
        <v>89</v>
      </c>
      <c r="M1392" s="53">
        <v>2160.0</v>
      </c>
      <c r="N1392" s="53">
        <v>428.0</v>
      </c>
      <c r="O1392" s="53">
        <v>15.53</v>
      </c>
      <c r="P1392" s="55">
        <f t="shared" ref="P1392:P1397" si="96">N1392*O1392</f>
        <v>6646.84</v>
      </c>
      <c r="Q1392" s="53">
        <v>755.0</v>
      </c>
      <c r="R1392" s="105">
        <f t="shared" ref="R1392:R1401" si="97">P1392+Q1392</f>
        <v>7401.84</v>
      </c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</row>
    <row r="1393">
      <c r="A1393" s="2"/>
      <c r="B1393" s="52">
        <v>2.0</v>
      </c>
      <c r="C1393" s="53">
        <v>1.004679659E9</v>
      </c>
      <c r="D1393" s="54">
        <v>46331.0</v>
      </c>
      <c r="E1393" s="53" t="s">
        <v>35</v>
      </c>
      <c r="F1393" s="53" t="s">
        <v>37</v>
      </c>
      <c r="G1393" s="53" t="s">
        <v>36</v>
      </c>
      <c r="H1393" s="53"/>
      <c r="I1393" s="55"/>
      <c r="J1393" s="55"/>
      <c r="K1393" s="53" t="s">
        <v>38</v>
      </c>
      <c r="L1393" s="53" t="s">
        <v>97</v>
      </c>
      <c r="M1393" s="53">
        <v>3463.0</v>
      </c>
      <c r="N1393" s="53">
        <v>200.0</v>
      </c>
      <c r="O1393" s="53">
        <v>19.28</v>
      </c>
      <c r="P1393" s="55">
        <f t="shared" si="96"/>
        <v>3856</v>
      </c>
      <c r="Q1393" s="55"/>
      <c r="R1393" s="105">
        <f t="shared" si="97"/>
        <v>3856</v>
      </c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</row>
    <row r="1394">
      <c r="A1394" s="2"/>
      <c r="B1394" s="52">
        <v>3.0</v>
      </c>
      <c r="C1394" s="53">
        <v>1.004680151E9</v>
      </c>
      <c r="D1394" s="54">
        <v>46331.0</v>
      </c>
      <c r="E1394" s="53" t="s">
        <v>35</v>
      </c>
      <c r="F1394" s="53" t="s">
        <v>36</v>
      </c>
      <c r="G1394" s="53" t="s">
        <v>40</v>
      </c>
      <c r="H1394" s="55"/>
      <c r="I1394" s="55"/>
      <c r="J1394" s="55"/>
      <c r="K1394" s="53" t="s">
        <v>38</v>
      </c>
      <c r="L1394" s="53" t="s">
        <v>96</v>
      </c>
      <c r="M1394" s="53">
        <v>3448.0</v>
      </c>
      <c r="N1394" s="53">
        <v>150.0</v>
      </c>
      <c r="O1394" s="53">
        <v>19.28</v>
      </c>
      <c r="P1394" s="55">
        <f t="shared" si="96"/>
        <v>2892</v>
      </c>
      <c r="Q1394" s="55"/>
      <c r="R1394" s="105">
        <f t="shared" si="97"/>
        <v>2892</v>
      </c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</row>
    <row r="1395">
      <c r="A1395" s="2"/>
      <c r="B1395" s="52">
        <v>4.0</v>
      </c>
      <c r="C1395" s="53">
        <v>1.004680002E9</v>
      </c>
      <c r="D1395" s="54">
        <v>46331.0</v>
      </c>
      <c r="E1395" s="53" t="s">
        <v>42</v>
      </c>
      <c r="F1395" s="53" t="s">
        <v>43</v>
      </c>
      <c r="G1395" s="53" t="s">
        <v>44</v>
      </c>
      <c r="H1395" s="53" t="s">
        <v>49</v>
      </c>
      <c r="I1395" s="55"/>
      <c r="J1395" s="55"/>
      <c r="K1395" s="53" t="s">
        <v>45</v>
      </c>
      <c r="L1395" s="53" t="s">
        <v>98</v>
      </c>
      <c r="M1395" s="53">
        <v>1517.0</v>
      </c>
      <c r="N1395" s="53">
        <v>299.0</v>
      </c>
      <c r="O1395" s="53">
        <v>15.53</v>
      </c>
      <c r="P1395" s="55">
        <f t="shared" si="96"/>
        <v>4643.47</v>
      </c>
      <c r="Q1395" s="55"/>
      <c r="R1395" s="105">
        <f t="shared" si="97"/>
        <v>4643.47</v>
      </c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</row>
    <row r="1396">
      <c r="A1396" s="2"/>
      <c r="B1396" s="52">
        <v>5.0</v>
      </c>
      <c r="C1396" s="53">
        <v>1.00468081E9</v>
      </c>
      <c r="D1396" s="54">
        <v>46331.0</v>
      </c>
      <c r="E1396" s="53" t="s">
        <v>51</v>
      </c>
      <c r="F1396" s="53" t="s">
        <v>44</v>
      </c>
      <c r="G1396" s="53"/>
      <c r="H1396" s="55"/>
      <c r="I1396" s="55"/>
      <c r="J1396" s="55"/>
      <c r="K1396" s="53" t="s">
        <v>45</v>
      </c>
      <c r="L1396" s="53" t="s">
        <v>50</v>
      </c>
      <c r="M1396" s="53">
        <v>1786.0</v>
      </c>
      <c r="N1396" s="53">
        <v>230.0</v>
      </c>
      <c r="O1396" s="53">
        <v>15.53</v>
      </c>
      <c r="P1396" s="55">
        <f t="shared" si="96"/>
        <v>3571.9</v>
      </c>
      <c r="Q1396" s="55"/>
      <c r="R1396" s="105">
        <f t="shared" si="97"/>
        <v>3571.9</v>
      </c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</row>
    <row r="1397">
      <c r="A1397" s="2"/>
      <c r="B1397" s="52">
        <v>6.0</v>
      </c>
      <c r="C1397" s="53">
        <v>1.004680813E9</v>
      </c>
      <c r="D1397" s="54">
        <v>46331.0</v>
      </c>
      <c r="E1397" s="53" t="s">
        <v>51</v>
      </c>
      <c r="F1397" s="53" t="s">
        <v>44</v>
      </c>
      <c r="G1397" s="55"/>
      <c r="H1397" s="55"/>
      <c r="I1397" s="55"/>
      <c r="J1397" s="55"/>
      <c r="K1397" s="53" t="s">
        <v>45</v>
      </c>
      <c r="L1397" s="53" t="s">
        <v>52</v>
      </c>
      <c r="M1397" s="53">
        <v>1931.0</v>
      </c>
      <c r="N1397" s="53">
        <v>230.0</v>
      </c>
      <c r="O1397" s="53">
        <v>15.53</v>
      </c>
      <c r="P1397" s="55">
        <f t="shared" si="96"/>
        <v>3571.9</v>
      </c>
      <c r="Q1397" s="55"/>
      <c r="R1397" s="105">
        <f t="shared" si="97"/>
        <v>3571.9</v>
      </c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</row>
    <row r="1398">
      <c r="A1398" s="2"/>
      <c r="B1398" s="52">
        <v>7.0</v>
      </c>
      <c r="C1398" s="53">
        <v>1.004680796E9</v>
      </c>
      <c r="D1398" s="54">
        <v>46331.0</v>
      </c>
      <c r="E1398" s="53" t="s">
        <v>51</v>
      </c>
      <c r="F1398" s="53" t="s">
        <v>44</v>
      </c>
      <c r="G1398" s="53"/>
      <c r="H1398" s="53"/>
      <c r="I1398" s="55"/>
      <c r="J1398" s="55"/>
      <c r="K1398" s="53" t="s">
        <v>45</v>
      </c>
      <c r="L1398" s="53" t="s">
        <v>112</v>
      </c>
      <c r="M1398" s="53">
        <v>1456.0</v>
      </c>
      <c r="N1398" s="53">
        <v>230.0</v>
      </c>
      <c r="O1398" s="53">
        <v>15.53</v>
      </c>
      <c r="P1398" s="53">
        <v>1.0</v>
      </c>
      <c r="Q1398" s="55"/>
      <c r="R1398" s="105">
        <f t="shared" si="97"/>
        <v>1</v>
      </c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</row>
    <row r="1399">
      <c r="A1399" s="2"/>
      <c r="B1399" s="52">
        <v>8.0</v>
      </c>
      <c r="C1399" s="53">
        <v>1.004681235E9</v>
      </c>
      <c r="D1399" s="54">
        <v>46331.0</v>
      </c>
      <c r="E1399" s="53" t="s">
        <v>100</v>
      </c>
      <c r="F1399" s="53" t="s">
        <v>83</v>
      </c>
      <c r="G1399" s="53" t="s">
        <v>86</v>
      </c>
      <c r="H1399" s="53" t="s">
        <v>87</v>
      </c>
      <c r="I1399" s="55"/>
      <c r="J1399" s="55"/>
      <c r="K1399" s="53" t="s">
        <v>38</v>
      </c>
      <c r="L1399" s="53" t="s">
        <v>101</v>
      </c>
      <c r="M1399" s="53">
        <v>3499.0</v>
      </c>
      <c r="N1399" s="53">
        <v>428.0</v>
      </c>
      <c r="O1399" s="53">
        <v>19.28</v>
      </c>
      <c r="P1399" s="55">
        <f t="shared" ref="P1399:P1401" si="98">N1399*O1399</f>
        <v>8251.84</v>
      </c>
      <c r="Q1399" s="53">
        <v>755.0</v>
      </c>
      <c r="R1399" s="105">
        <f t="shared" si="97"/>
        <v>9006.84</v>
      </c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</row>
    <row r="1400">
      <c r="A1400" s="2"/>
      <c r="B1400" s="52">
        <v>9.0</v>
      </c>
      <c r="C1400" s="53">
        <v>1.004681062E9</v>
      </c>
      <c r="D1400" s="54">
        <v>46331.0</v>
      </c>
      <c r="E1400" s="53" t="s">
        <v>55</v>
      </c>
      <c r="F1400" s="53" t="s">
        <v>56</v>
      </c>
      <c r="G1400" s="53" t="s">
        <v>103</v>
      </c>
      <c r="H1400" s="53" t="s">
        <v>58</v>
      </c>
      <c r="I1400" s="53" t="s">
        <v>57</v>
      </c>
      <c r="J1400" s="55"/>
      <c r="K1400" s="53" t="s">
        <v>38</v>
      </c>
      <c r="L1400" s="53" t="s">
        <v>60</v>
      </c>
      <c r="M1400" s="53">
        <v>3046.0</v>
      </c>
      <c r="N1400" s="53">
        <v>572.0</v>
      </c>
      <c r="O1400" s="53">
        <v>19.28</v>
      </c>
      <c r="P1400" s="55">
        <f t="shared" si="98"/>
        <v>11028.16</v>
      </c>
      <c r="Q1400" s="53">
        <v>330.0</v>
      </c>
      <c r="R1400" s="105">
        <f t="shared" si="97"/>
        <v>11358.16</v>
      </c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</row>
    <row r="1401">
      <c r="A1401" s="2"/>
      <c r="B1401" s="52">
        <v>10.0</v>
      </c>
      <c r="C1401" s="53">
        <v>1.004680998E9</v>
      </c>
      <c r="D1401" s="54">
        <v>46331.0</v>
      </c>
      <c r="E1401" s="53" t="s">
        <v>61</v>
      </c>
      <c r="F1401" s="53" t="s">
        <v>73</v>
      </c>
      <c r="G1401" s="53" t="s">
        <v>74</v>
      </c>
      <c r="H1401" s="53" t="s">
        <v>75</v>
      </c>
      <c r="I1401" s="53" t="s">
        <v>62</v>
      </c>
      <c r="J1401" s="55"/>
      <c r="K1401" s="53" t="s">
        <v>38</v>
      </c>
      <c r="L1401" s="53" t="s">
        <v>76</v>
      </c>
      <c r="M1401" s="53">
        <v>3287.0</v>
      </c>
      <c r="N1401" s="53">
        <v>560.0</v>
      </c>
      <c r="O1401" s="53">
        <v>19.28</v>
      </c>
      <c r="P1401" s="55">
        <f t="shared" si="98"/>
        <v>10796.8</v>
      </c>
      <c r="Q1401" s="53">
        <v>1085.0</v>
      </c>
      <c r="R1401" s="105">
        <f t="shared" si="97"/>
        <v>11881.8</v>
      </c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</row>
    <row r="1402">
      <c r="A1402" s="2"/>
      <c r="B1402" s="8"/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5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</row>
    <row r="1403">
      <c r="A1403" s="2"/>
      <c r="B1403" s="67" t="s">
        <v>64</v>
      </c>
      <c r="C1403" s="68"/>
      <c r="D1403" s="69" t="str">
        <f>MONEYTEXT(R1403, "INR")</f>
        <v>Fifty-eight thousand one hundred eighty-four Indian rupees and ninety-one paise</v>
      </c>
      <c r="E1403" s="68"/>
      <c r="F1403" s="68"/>
      <c r="G1403" s="68"/>
      <c r="H1403" s="68"/>
      <c r="I1403" s="68"/>
      <c r="J1403" s="68"/>
      <c r="K1403" s="68"/>
      <c r="L1403" s="68"/>
      <c r="M1403" s="68"/>
      <c r="N1403" s="70" t="s">
        <v>65</v>
      </c>
      <c r="O1403" s="4"/>
      <c r="P1403" s="96">
        <f t="shared" ref="P1403:R1403" si="99">SUM(P1392:P1401)</f>
        <v>55259.91</v>
      </c>
      <c r="Q1403" s="96">
        <f t="shared" si="99"/>
        <v>2925</v>
      </c>
      <c r="R1403" s="96">
        <f t="shared" si="99"/>
        <v>58184.91</v>
      </c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</row>
    <row r="1404">
      <c r="A1404" s="2"/>
      <c r="B1404" s="67" t="s">
        <v>66</v>
      </c>
      <c r="C1404" s="68"/>
      <c r="D1404" s="68"/>
      <c r="E1404" s="68"/>
      <c r="F1404" s="68"/>
      <c r="G1404" s="68"/>
      <c r="H1404" s="68"/>
      <c r="I1404" s="68"/>
      <c r="J1404" s="68"/>
      <c r="K1404" s="68"/>
      <c r="L1404" s="68"/>
      <c r="M1404" s="68"/>
      <c r="N1404" s="68"/>
      <c r="O1404" s="76"/>
      <c r="P1404" s="97" t="s">
        <v>67</v>
      </c>
      <c r="Q1404" s="31"/>
      <c r="R1404" s="3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</row>
    <row r="1405">
      <c r="A1405" s="2"/>
      <c r="B1405" s="79" t="s">
        <v>68</v>
      </c>
      <c r="P1405" s="27"/>
      <c r="Q1405" s="27"/>
      <c r="R1405" s="83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</row>
    <row r="1406">
      <c r="A1406" s="2"/>
      <c r="B1406" s="79" t="s">
        <v>70</v>
      </c>
      <c r="P1406" s="27"/>
      <c r="Q1406" s="27"/>
      <c r="R1406" s="83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</row>
    <row r="1407">
      <c r="A1407" s="2"/>
      <c r="B1407" s="8"/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5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</row>
    <row r="1408">
      <c r="A1408" s="2"/>
      <c r="B1408" s="8"/>
      <c r="C1408" s="6"/>
      <c r="D1408" s="6"/>
      <c r="E1408" s="6"/>
      <c r="F1408" s="6"/>
      <c r="G1408" s="6"/>
      <c r="H1408" s="6"/>
      <c r="I1408" s="6"/>
      <c r="J1408" s="6"/>
      <c r="K1408" s="19" t="s">
        <v>71</v>
      </c>
      <c r="L1408" s="6"/>
      <c r="M1408" s="6"/>
      <c r="N1408" s="6"/>
      <c r="O1408" s="6"/>
      <c r="P1408" s="9" t="s">
        <v>72</v>
      </c>
      <c r="R1408" s="10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</row>
    <row r="1409">
      <c r="A1409" s="2"/>
      <c r="B1409" s="88"/>
      <c r="C1409" s="34"/>
      <c r="D1409" s="34"/>
      <c r="E1409" s="34"/>
      <c r="F1409" s="34"/>
      <c r="G1409" s="34"/>
      <c r="H1409" s="34"/>
      <c r="I1409" s="34"/>
      <c r="J1409" s="34"/>
      <c r="K1409" s="34"/>
      <c r="L1409" s="34"/>
      <c r="M1409" s="34"/>
      <c r="N1409" s="34"/>
      <c r="O1409" s="34"/>
      <c r="P1409" s="34"/>
      <c r="Q1409" s="34"/>
      <c r="R1409" s="89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</row>
    <row r="1410">
      <c r="A1410" s="2"/>
      <c r="B1410" s="139"/>
      <c r="C1410" s="139"/>
      <c r="D1410" s="139"/>
      <c r="E1410" s="139"/>
      <c r="F1410" s="139"/>
      <c r="G1410" s="139"/>
      <c r="H1410" s="139"/>
      <c r="I1410" s="139"/>
      <c r="J1410" s="139"/>
      <c r="K1410" s="139"/>
      <c r="L1410" s="139"/>
      <c r="M1410" s="139"/>
      <c r="N1410" s="139"/>
      <c r="O1410" s="139"/>
      <c r="P1410" s="139"/>
      <c r="Q1410" s="139"/>
      <c r="R1410" s="139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</row>
    <row r="1411">
      <c r="A1411" s="2"/>
      <c r="B1411" s="139"/>
      <c r="C1411" s="139"/>
      <c r="D1411" s="139"/>
      <c r="E1411" s="139"/>
      <c r="F1411" s="139"/>
      <c r="G1411" s="139"/>
      <c r="H1411" s="139"/>
      <c r="I1411" s="139"/>
      <c r="J1411" s="139"/>
      <c r="K1411" s="139"/>
      <c r="L1411" s="139"/>
      <c r="M1411" s="139"/>
      <c r="N1411" s="139"/>
      <c r="O1411" s="139"/>
      <c r="P1411" s="139"/>
      <c r="Q1411" s="139"/>
      <c r="R1411" s="139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</row>
    <row r="1412">
      <c r="A1412" s="2"/>
      <c r="B1412" s="139"/>
      <c r="C1412" s="139"/>
      <c r="D1412" s="139"/>
      <c r="E1412" s="139"/>
      <c r="F1412" s="139"/>
      <c r="G1412" s="139"/>
      <c r="H1412" s="139"/>
      <c r="I1412" s="139"/>
      <c r="J1412" s="139"/>
      <c r="K1412" s="139"/>
      <c r="L1412" s="139"/>
      <c r="M1412" s="139"/>
      <c r="N1412" s="139"/>
      <c r="O1412" s="139"/>
      <c r="P1412" s="139"/>
      <c r="Q1412" s="139"/>
      <c r="R1412" s="139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</row>
    <row r="1413">
      <c r="A1413" s="2"/>
      <c r="B1413" s="139"/>
      <c r="C1413" s="139"/>
      <c r="D1413" s="139"/>
      <c r="E1413" s="139"/>
      <c r="F1413" s="139"/>
      <c r="G1413" s="139"/>
      <c r="H1413" s="139"/>
      <c r="I1413" s="139"/>
      <c r="J1413" s="139"/>
      <c r="K1413" s="139"/>
      <c r="L1413" s="139"/>
      <c r="M1413" s="139"/>
      <c r="N1413" s="139"/>
      <c r="O1413" s="139"/>
      <c r="P1413" s="139"/>
      <c r="Q1413" s="139"/>
      <c r="R1413" s="139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</row>
    <row r="1414">
      <c r="A1414" s="2"/>
      <c r="B1414" s="176" t="s">
        <v>1</v>
      </c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5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</row>
    <row r="1415">
      <c r="A1415" s="2"/>
      <c r="B1415" s="8"/>
      <c r="F1415" s="9"/>
      <c r="G1415" s="9"/>
      <c r="H1415" s="9"/>
      <c r="I1415" s="9"/>
      <c r="J1415" s="9" t="s">
        <v>2</v>
      </c>
      <c r="N1415" s="6"/>
      <c r="R1415" s="10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</row>
    <row r="1416">
      <c r="A1416" s="2"/>
      <c r="B1416" s="13"/>
      <c r="F1416" s="9"/>
      <c r="G1416" s="9"/>
      <c r="H1416" s="9"/>
      <c r="I1416" s="9"/>
      <c r="J1416" s="9" t="s">
        <v>3</v>
      </c>
      <c r="N1416" s="6"/>
      <c r="R1416" s="10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</row>
    <row r="1417">
      <c r="A1417" s="2"/>
      <c r="B1417" s="13" t="s">
        <v>4</v>
      </c>
      <c r="R1417" s="10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</row>
    <row r="1418">
      <c r="A1418" s="2"/>
      <c r="B1418" s="16" t="s">
        <v>5</v>
      </c>
      <c r="C1418" s="17" t="s">
        <v>6</v>
      </c>
      <c r="D1418" s="4"/>
      <c r="E1418" s="4"/>
      <c r="F1418" s="4"/>
      <c r="G1418" s="4"/>
      <c r="H1418" s="4"/>
      <c r="I1418" s="4"/>
      <c r="J1418" s="4"/>
      <c r="K1418" s="5"/>
      <c r="L1418" s="18" t="s">
        <v>7</v>
      </c>
      <c r="M1418" s="19">
        <v>55.0</v>
      </c>
      <c r="N1418" s="20"/>
      <c r="O1418" s="4"/>
      <c r="P1418" s="4"/>
      <c r="Q1418" s="4"/>
      <c r="R1418" s="5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</row>
    <row r="1419">
      <c r="A1419" s="2"/>
      <c r="B1419" s="26"/>
      <c r="C1419" s="27" t="s">
        <v>8</v>
      </c>
      <c r="K1419" s="10"/>
      <c r="L1419" s="18" t="s">
        <v>9</v>
      </c>
      <c r="M1419" s="175">
        <v>46058.0</v>
      </c>
      <c r="N1419" s="6"/>
      <c r="R1419" s="10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</row>
    <row r="1420">
      <c r="A1420" s="2"/>
      <c r="B1420" s="16" t="s">
        <v>11</v>
      </c>
      <c r="C1420" s="30" t="s">
        <v>12</v>
      </c>
      <c r="D1420" s="31"/>
      <c r="E1420" s="31"/>
      <c r="F1420" s="31"/>
      <c r="G1420" s="31"/>
      <c r="H1420" s="31"/>
      <c r="I1420" s="31"/>
      <c r="J1420" s="31"/>
      <c r="K1420" s="32"/>
      <c r="L1420" s="18" t="s">
        <v>13</v>
      </c>
      <c r="M1420" s="33" t="s">
        <v>14</v>
      </c>
      <c r="N1420" s="34"/>
      <c r="O1420" s="31"/>
      <c r="P1420" s="31"/>
      <c r="Q1420" s="31"/>
      <c r="R1420" s="3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</row>
    <row r="1421">
      <c r="A1421" s="2"/>
      <c r="B1421" s="8"/>
      <c r="R1421" s="10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</row>
    <row r="1422">
      <c r="A1422" s="2"/>
      <c r="B1422" s="39" t="s">
        <v>15</v>
      </c>
      <c r="C1422" s="40" t="s">
        <v>16</v>
      </c>
      <c r="D1422" s="41" t="s">
        <v>17</v>
      </c>
      <c r="E1422" s="41" t="s">
        <v>18</v>
      </c>
      <c r="F1422" s="42" t="s">
        <v>19</v>
      </c>
      <c r="G1422" s="43"/>
      <c r="H1422" s="43"/>
      <c r="I1422" s="43"/>
      <c r="J1422" s="44"/>
      <c r="K1422" s="41" t="s">
        <v>20</v>
      </c>
      <c r="L1422" s="41" t="s">
        <v>21</v>
      </c>
      <c r="M1422" s="41" t="s">
        <v>22</v>
      </c>
      <c r="N1422" s="41" t="s">
        <v>23</v>
      </c>
      <c r="O1422" s="41" t="s">
        <v>24</v>
      </c>
      <c r="P1422" s="41" t="s">
        <v>25</v>
      </c>
      <c r="Q1422" s="41" t="s">
        <v>26</v>
      </c>
      <c r="R1422" s="45" t="s">
        <v>27</v>
      </c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</row>
    <row r="1423">
      <c r="A1423" s="2"/>
      <c r="B1423" s="52">
        <v>1.0</v>
      </c>
      <c r="C1423" s="53">
        <v>1.004681351E9</v>
      </c>
      <c r="D1423" s="54">
        <v>46331.0</v>
      </c>
      <c r="E1423" s="53" t="s">
        <v>77</v>
      </c>
      <c r="F1423" s="53" t="s">
        <v>78</v>
      </c>
      <c r="G1423" s="53" t="s">
        <v>79</v>
      </c>
      <c r="H1423" s="53"/>
      <c r="I1423" s="55"/>
      <c r="J1423" s="55"/>
      <c r="K1423" s="53" t="s">
        <v>80</v>
      </c>
      <c r="L1423" s="53" t="s">
        <v>81</v>
      </c>
      <c r="M1423" s="53">
        <v>2657.0</v>
      </c>
      <c r="N1423" s="53">
        <v>416.0</v>
      </c>
      <c r="O1423" s="53">
        <v>18.28</v>
      </c>
      <c r="P1423" s="55">
        <f t="shared" ref="P1423:P1432" si="100">N1423*O1423</f>
        <v>7604.48</v>
      </c>
      <c r="Q1423" s="53"/>
      <c r="R1423" s="105">
        <f t="shared" ref="R1423:R1432" si="101">P1423+Q1423</f>
        <v>7604.48</v>
      </c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</row>
    <row r="1424">
      <c r="A1424" s="2"/>
      <c r="B1424" s="52">
        <v>2.0</v>
      </c>
      <c r="C1424" s="53">
        <v>1.004681963E9</v>
      </c>
      <c r="D1424" s="54">
        <v>46361.0</v>
      </c>
      <c r="E1424" s="53" t="s">
        <v>28</v>
      </c>
      <c r="F1424" s="53" t="s">
        <v>32</v>
      </c>
      <c r="G1424" s="53" t="s">
        <v>30</v>
      </c>
      <c r="H1424" s="53" t="s">
        <v>31</v>
      </c>
      <c r="I1424" s="53" t="s">
        <v>29</v>
      </c>
      <c r="J1424" s="55"/>
      <c r="K1424" s="53" t="s">
        <v>33</v>
      </c>
      <c r="L1424" s="53" t="s">
        <v>34</v>
      </c>
      <c r="M1424" s="53">
        <v>1755.0</v>
      </c>
      <c r="N1424" s="53">
        <v>246.0</v>
      </c>
      <c r="O1424" s="53">
        <v>15.53</v>
      </c>
      <c r="P1424" s="55">
        <f t="shared" si="100"/>
        <v>3820.38</v>
      </c>
      <c r="Q1424" s="55"/>
      <c r="R1424" s="105">
        <f t="shared" si="101"/>
        <v>3820.38</v>
      </c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</row>
    <row r="1425">
      <c r="A1425" s="2"/>
      <c r="B1425" s="52">
        <v>3.0</v>
      </c>
      <c r="C1425" s="53">
        <v>1.004681961E9</v>
      </c>
      <c r="D1425" s="54">
        <v>46361.0</v>
      </c>
      <c r="E1425" s="53" t="s">
        <v>35</v>
      </c>
      <c r="F1425" s="53" t="s">
        <v>36</v>
      </c>
      <c r="G1425" s="53" t="s">
        <v>40</v>
      </c>
      <c r="H1425" s="53" t="s">
        <v>37</v>
      </c>
      <c r="I1425" s="55"/>
      <c r="J1425" s="55"/>
      <c r="K1425" s="53" t="s">
        <v>38</v>
      </c>
      <c r="L1425" s="53" t="s">
        <v>97</v>
      </c>
      <c r="M1425" s="53">
        <v>3551.0</v>
      </c>
      <c r="N1425" s="53">
        <v>200.0</v>
      </c>
      <c r="O1425" s="53">
        <v>19.28</v>
      </c>
      <c r="P1425" s="55">
        <f t="shared" si="100"/>
        <v>3856</v>
      </c>
      <c r="Q1425" s="55"/>
      <c r="R1425" s="105">
        <f t="shared" si="101"/>
        <v>3856</v>
      </c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</row>
    <row r="1426">
      <c r="A1426" s="2"/>
      <c r="B1426" s="52">
        <v>4.0</v>
      </c>
      <c r="C1426" s="53">
        <v>1.004682668E9</v>
      </c>
      <c r="D1426" s="54">
        <v>46361.0</v>
      </c>
      <c r="E1426" s="53" t="s">
        <v>51</v>
      </c>
      <c r="F1426" s="53" t="s">
        <v>44</v>
      </c>
      <c r="G1426" s="53"/>
      <c r="H1426" s="55"/>
      <c r="I1426" s="55"/>
      <c r="J1426" s="55"/>
      <c r="K1426" s="53" t="s">
        <v>45</v>
      </c>
      <c r="L1426" s="53" t="s">
        <v>150</v>
      </c>
      <c r="M1426" s="53">
        <v>1605.0</v>
      </c>
      <c r="N1426" s="53">
        <v>230.0</v>
      </c>
      <c r="O1426" s="53">
        <v>15.53</v>
      </c>
      <c r="P1426" s="55">
        <f t="shared" si="100"/>
        <v>3571.9</v>
      </c>
      <c r="Q1426" s="55"/>
      <c r="R1426" s="105">
        <f t="shared" si="101"/>
        <v>3571.9</v>
      </c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</row>
    <row r="1427">
      <c r="A1427" s="2"/>
      <c r="B1427" s="52">
        <v>5.0</v>
      </c>
      <c r="C1427" s="53">
        <v>1.004682432E9</v>
      </c>
      <c r="D1427" s="54">
        <v>46361.0</v>
      </c>
      <c r="E1427" s="53" t="s">
        <v>47</v>
      </c>
      <c r="F1427" s="53" t="s">
        <v>48</v>
      </c>
      <c r="G1427" s="53" t="s">
        <v>44</v>
      </c>
      <c r="H1427" s="55"/>
      <c r="I1427" s="55"/>
      <c r="J1427" s="55"/>
      <c r="K1427" s="53" t="s">
        <v>45</v>
      </c>
      <c r="L1427" s="53" t="s">
        <v>98</v>
      </c>
      <c r="M1427" s="53">
        <v>1688.0</v>
      </c>
      <c r="N1427" s="53">
        <v>250.0</v>
      </c>
      <c r="O1427" s="53">
        <v>15.53</v>
      </c>
      <c r="P1427" s="55">
        <f t="shared" si="100"/>
        <v>3882.5</v>
      </c>
      <c r="Q1427" s="55"/>
      <c r="R1427" s="105">
        <f t="shared" si="101"/>
        <v>3882.5</v>
      </c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</row>
    <row r="1428">
      <c r="A1428" s="2"/>
      <c r="B1428" s="52">
        <v>6.0</v>
      </c>
      <c r="C1428" s="53">
        <v>1.004682438E9</v>
      </c>
      <c r="D1428" s="54">
        <v>46361.0</v>
      </c>
      <c r="E1428" s="53" t="s">
        <v>51</v>
      </c>
      <c r="F1428" s="53" t="s">
        <v>44</v>
      </c>
      <c r="G1428" s="55"/>
      <c r="H1428" s="55"/>
      <c r="I1428" s="55"/>
      <c r="J1428" s="55"/>
      <c r="K1428" s="53" t="s">
        <v>45</v>
      </c>
      <c r="L1428" s="53" t="s">
        <v>50</v>
      </c>
      <c r="M1428" s="53">
        <v>1635.0</v>
      </c>
      <c r="N1428" s="53">
        <v>230.0</v>
      </c>
      <c r="O1428" s="53">
        <v>15.53</v>
      </c>
      <c r="P1428" s="55">
        <f t="shared" si="100"/>
        <v>3571.9</v>
      </c>
      <c r="Q1428" s="55"/>
      <c r="R1428" s="105">
        <f t="shared" si="101"/>
        <v>3571.9</v>
      </c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</row>
    <row r="1429">
      <c r="A1429" s="2"/>
      <c r="B1429" s="52">
        <v>7.0</v>
      </c>
      <c r="C1429" s="53">
        <v>1.004682885E9</v>
      </c>
      <c r="D1429" s="54">
        <v>46361.0</v>
      </c>
      <c r="E1429" s="53" t="s">
        <v>51</v>
      </c>
      <c r="F1429" s="53" t="s">
        <v>44</v>
      </c>
      <c r="G1429" s="53"/>
      <c r="H1429" s="53"/>
      <c r="I1429" s="55"/>
      <c r="J1429" s="55"/>
      <c r="K1429" s="53" t="s">
        <v>45</v>
      </c>
      <c r="L1429" s="53" t="s">
        <v>156</v>
      </c>
      <c r="M1429" s="53">
        <v>1766.0</v>
      </c>
      <c r="N1429" s="53">
        <v>230.0</v>
      </c>
      <c r="O1429" s="53">
        <v>15.53</v>
      </c>
      <c r="P1429" s="55">
        <f t="shared" si="100"/>
        <v>3571.9</v>
      </c>
      <c r="Q1429" s="55"/>
      <c r="R1429" s="105">
        <f t="shared" si="101"/>
        <v>3571.9</v>
      </c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</row>
    <row r="1430">
      <c r="A1430" s="2"/>
      <c r="B1430" s="52">
        <v>8.0</v>
      </c>
      <c r="C1430" s="53">
        <v>1.004683092E9</v>
      </c>
      <c r="D1430" s="54">
        <v>46361.0</v>
      </c>
      <c r="E1430" s="53" t="s">
        <v>51</v>
      </c>
      <c r="F1430" s="53" t="s">
        <v>44</v>
      </c>
      <c r="G1430" s="53"/>
      <c r="H1430" s="53"/>
      <c r="I1430" s="55"/>
      <c r="J1430" s="55"/>
      <c r="K1430" s="53" t="s">
        <v>45</v>
      </c>
      <c r="L1430" s="53" t="s">
        <v>53</v>
      </c>
      <c r="M1430" s="53">
        <v>1723.0</v>
      </c>
      <c r="N1430" s="53">
        <v>230.0</v>
      </c>
      <c r="O1430" s="53">
        <v>15.53</v>
      </c>
      <c r="P1430" s="55">
        <f t="shared" si="100"/>
        <v>3571.9</v>
      </c>
      <c r="Q1430" s="55"/>
      <c r="R1430" s="105">
        <f t="shared" si="101"/>
        <v>3571.9</v>
      </c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</row>
    <row r="1431">
      <c r="A1431" s="2"/>
      <c r="B1431" s="52">
        <v>9.0</v>
      </c>
      <c r="C1431" s="53">
        <v>1.004683466E9</v>
      </c>
      <c r="D1431" s="54">
        <v>46361.0</v>
      </c>
      <c r="E1431" s="53" t="s">
        <v>90</v>
      </c>
      <c r="F1431" s="53" t="s">
        <v>93</v>
      </c>
      <c r="G1431" s="53" t="s">
        <v>92</v>
      </c>
      <c r="H1431" s="53" t="s">
        <v>91</v>
      </c>
      <c r="I1431" s="53" t="s">
        <v>94</v>
      </c>
      <c r="J1431" s="55"/>
      <c r="K1431" s="53" t="s">
        <v>38</v>
      </c>
      <c r="L1431" s="53" t="s">
        <v>102</v>
      </c>
      <c r="M1431" s="53">
        <v>3448.0</v>
      </c>
      <c r="N1431" s="53">
        <v>405.0</v>
      </c>
      <c r="O1431" s="53">
        <v>19.28</v>
      </c>
      <c r="P1431" s="55">
        <f t="shared" si="100"/>
        <v>7808.4</v>
      </c>
      <c r="Q1431" s="53">
        <v>500.0</v>
      </c>
      <c r="R1431" s="105">
        <f t="shared" si="101"/>
        <v>8308.4</v>
      </c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</row>
    <row r="1432">
      <c r="A1432" s="2"/>
      <c r="B1432" s="52">
        <v>10.0</v>
      </c>
      <c r="C1432" s="53">
        <v>1.00468333E9</v>
      </c>
      <c r="D1432" s="54">
        <v>46361.0</v>
      </c>
      <c r="E1432" s="53" t="s">
        <v>106</v>
      </c>
      <c r="F1432" s="53" t="s">
        <v>107</v>
      </c>
      <c r="G1432" s="55"/>
      <c r="H1432" s="55"/>
      <c r="I1432" s="55"/>
      <c r="J1432" s="55"/>
      <c r="K1432" s="53" t="s">
        <v>33</v>
      </c>
      <c r="L1432" s="53" t="s">
        <v>96</v>
      </c>
      <c r="M1432" s="53">
        <v>1412.0</v>
      </c>
      <c r="N1432" s="53">
        <v>370.0</v>
      </c>
      <c r="O1432" s="53">
        <v>15.53</v>
      </c>
      <c r="P1432" s="55">
        <f t="shared" si="100"/>
        <v>5746.1</v>
      </c>
      <c r="Q1432" s="53"/>
      <c r="R1432" s="105">
        <f t="shared" si="101"/>
        <v>5746.1</v>
      </c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</row>
    <row r="1433">
      <c r="A1433" s="2"/>
      <c r="B1433" s="8"/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5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</row>
    <row r="1434">
      <c r="A1434" s="2"/>
      <c r="B1434" s="67" t="s">
        <v>64</v>
      </c>
      <c r="C1434" s="68"/>
      <c r="D1434" s="69" t="str">
        <f>MONEYTEXT(R1434, "INR")</f>
        <v/>
      </c>
      <c r="E1434" s="68"/>
      <c r="F1434" s="68"/>
      <c r="G1434" s="68"/>
      <c r="H1434" s="68"/>
      <c r="I1434" s="68"/>
      <c r="J1434" s="68"/>
      <c r="K1434" s="68"/>
      <c r="L1434" s="68"/>
      <c r="M1434" s="68"/>
      <c r="N1434" s="70" t="s">
        <v>65</v>
      </c>
      <c r="O1434" s="4"/>
      <c r="P1434" s="96">
        <f t="shared" ref="P1434:R1434" si="102">SUM(P1423:P1432)</f>
        <v>47005.46</v>
      </c>
      <c r="Q1434" s="96">
        <f t="shared" si="102"/>
        <v>500</v>
      </c>
      <c r="R1434" s="96">
        <f t="shared" si="102"/>
        <v>47505.46</v>
      </c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</row>
    <row r="1435">
      <c r="A1435" s="2"/>
      <c r="B1435" s="67" t="s">
        <v>66</v>
      </c>
      <c r="C1435" s="68"/>
      <c r="D1435" s="68"/>
      <c r="E1435" s="68"/>
      <c r="F1435" s="68"/>
      <c r="G1435" s="68"/>
      <c r="H1435" s="68"/>
      <c r="I1435" s="68"/>
      <c r="J1435" s="68"/>
      <c r="K1435" s="68"/>
      <c r="L1435" s="68"/>
      <c r="M1435" s="68"/>
      <c r="N1435" s="68"/>
      <c r="O1435" s="76"/>
      <c r="P1435" s="97" t="s">
        <v>67</v>
      </c>
      <c r="Q1435" s="31"/>
      <c r="R1435" s="3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</row>
    <row r="1436">
      <c r="A1436" s="2"/>
      <c r="B1436" s="79" t="s">
        <v>68</v>
      </c>
      <c r="P1436" s="27"/>
      <c r="Q1436" s="27"/>
      <c r="R1436" s="83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</row>
    <row r="1437">
      <c r="A1437" s="2"/>
      <c r="B1437" s="79" t="s">
        <v>70</v>
      </c>
      <c r="P1437" s="27"/>
      <c r="Q1437" s="27"/>
      <c r="R1437" s="83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</row>
    <row r="1438">
      <c r="A1438" s="2"/>
      <c r="B1438" s="8"/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5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</row>
    <row r="1439">
      <c r="A1439" s="2"/>
      <c r="B1439" s="8"/>
      <c r="C1439" s="6"/>
      <c r="D1439" s="6"/>
      <c r="E1439" s="6"/>
      <c r="F1439" s="6"/>
      <c r="G1439" s="6"/>
      <c r="H1439" s="6"/>
      <c r="I1439" s="6"/>
      <c r="J1439" s="6"/>
      <c r="K1439" s="19" t="s">
        <v>71</v>
      </c>
      <c r="L1439" s="6"/>
      <c r="M1439" s="6"/>
      <c r="N1439" s="6"/>
      <c r="O1439" s="6"/>
      <c r="P1439" s="9" t="s">
        <v>72</v>
      </c>
      <c r="R1439" s="10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</row>
    <row r="1440">
      <c r="A1440" s="2"/>
      <c r="B1440" s="88"/>
      <c r="C1440" s="34"/>
      <c r="D1440" s="34"/>
      <c r="E1440" s="34"/>
      <c r="F1440" s="34"/>
      <c r="G1440" s="34"/>
      <c r="H1440" s="34"/>
      <c r="I1440" s="34"/>
      <c r="J1440" s="34"/>
      <c r="K1440" s="34"/>
      <c r="L1440" s="34"/>
      <c r="M1440" s="34"/>
      <c r="N1440" s="34"/>
      <c r="O1440" s="34"/>
      <c r="P1440" s="34"/>
      <c r="Q1440" s="34"/>
      <c r="R1440" s="89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</row>
    <row r="1441">
      <c r="A1441" s="2"/>
      <c r="B1441" s="139"/>
      <c r="C1441" s="139"/>
      <c r="D1441" s="139"/>
      <c r="E1441" s="139"/>
      <c r="F1441" s="139"/>
      <c r="G1441" s="139"/>
      <c r="H1441" s="139"/>
      <c r="I1441" s="139"/>
      <c r="J1441" s="139"/>
      <c r="K1441" s="139"/>
      <c r="L1441" s="139"/>
      <c r="M1441" s="139"/>
      <c r="N1441" s="139"/>
      <c r="O1441" s="139"/>
      <c r="P1441" s="139"/>
      <c r="Q1441" s="139"/>
      <c r="R1441" s="139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</row>
    <row r="1442">
      <c r="A1442" s="2"/>
      <c r="B1442" s="139"/>
      <c r="C1442" s="139"/>
      <c r="D1442" s="139"/>
      <c r="E1442" s="139"/>
      <c r="F1442" s="139"/>
      <c r="G1442" s="139"/>
      <c r="H1442" s="139"/>
      <c r="I1442" s="139"/>
      <c r="J1442" s="139"/>
      <c r="K1442" s="139"/>
      <c r="L1442" s="139"/>
      <c r="M1442" s="139"/>
      <c r="N1442" s="139"/>
      <c r="O1442" s="139"/>
      <c r="P1442" s="139"/>
      <c r="Q1442" s="139"/>
      <c r="R1442" s="139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</row>
    <row r="1443">
      <c r="A1443" s="2"/>
      <c r="B1443" s="139"/>
      <c r="C1443" s="139"/>
      <c r="D1443" s="139"/>
      <c r="E1443" s="139"/>
      <c r="F1443" s="139"/>
      <c r="G1443" s="139"/>
      <c r="H1443" s="139"/>
      <c r="I1443" s="139"/>
      <c r="J1443" s="139"/>
      <c r="K1443" s="139"/>
      <c r="L1443" s="139"/>
      <c r="M1443" s="139"/>
      <c r="N1443" s="139"/>
      <c r="O1443" s="139"/>
      <c r="P1443" s="139"/>
      <c r="Q1443" s="139"/>
      <c r="R1443" s="139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</row>
    <row r="1444">
      <c r="A1444" s="2"/>
      <c r="B1444" s="176" t="s">
        <v>1</v>
      </c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5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</row>
    <row r="1445">
      <c r="A1445" s="2"/>
      <c r="B1445" s="8"/>
      <c r="F1445" s="9"/>
      <c r="G1445" s="9"/>
      <c r="H1445" s="9"/>
      <c r="I1445" s="9"/>
      <c r="J1445" s="9" t="s">
        <v>2</v>
      </c>
      <c r="N1445" s="6"/>
      <c r="R1445" s="10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</row>
    <row r="1446">
      <c r="A1446" s="2"/>
      <c r="B1446" s="13"/>
      <c r="F1446" s="9"/>
      <c r="G1446" s="9"/>
      <c r="H1446" s="9"/>
      <c r="I1446" s="9"/>
      <c r="J1446" s="9" t="s">
        <v>3</v>
      </c>
      <c r="N1446" s="6"/>
      <c r="R1446" s="10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</row>
    <row r="1447">
      <c r="A1447" s="2"/>
      <c r="B1447" s="13" t="s">
        <v>4</v>
      </c>
      <c r="R1447" s="10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</row>
    <row r="1448">
      <c r="A1448" s="2"/>
      <c r="B1448" s="16" t="s">
        <v>5</v>
      </c>
      <c r="C1448" s="17" t="s">
        <v>6</v>
      </c>
      <c r="D1448" s="4"/>
      <c r="E1448" s="4"/>
      <c r="F1448" s="4"/>
      <c r="G1448" s="4"/>
      <c r="H1448" s="4"/>
      <c r="I1448" s="4"/>
      <c r="J1448" s="4"/>
      <c r="K1448" s="5"/>
      <c r="L1448" s="18" t="s">
        <v>7</v>
      </c>
      <c r="M1448" s="19">
        <v>56.0</v>
      </c>
      <c r="N1448" s="20"/>
      <c r="O1448" s="4"/>
      <c r="P1448" s="4"/>
      <c r="Q1448" s="4"/>
      <c r="R1448" s="5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</row>
    <row r="1449">
      <c r="A1449" s="2"/>
      <c r="B1449" s="26"/>
      <c r="C1449" s="27" t="s">
        <v>8</v>
      </c>
      <c r="K1449" s="10"/>
      <c r="L1449" s="18" t="s">
        <v>9</v>
      </c>
      <c r="M1449" s="175">
        <v>46058.0</v>
      </c>
      <c r="N1449" s="6"/>
      <c r="R1449" s="10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</row>
    <row r="1450">
      <c r="A1450" s="2"/>
      <c r="B1450" s="16" t="s">
        <v>11</v>
      </c>
      <c r="C1450" s="30" t="s">
        <v>12</v>
      </c>
      <c r="D1450" s="31"/>
      <c r="E1450" s="31"/>
      <c r="F1450" s="31"/>
      <c r="G1450" s="31"/>
      <c r="H1450" s="31"/>
      <c r="I1450" s="31"/>
      <c r="J1450" s="31"/>
      <c r="K1450" s="32"/>
      <c r="L1450" s="18" t="s">
        <v>13</v>
      </c>
      <c r="M1450" s="33" t="s">
        <v>14</v>
      </c>
      <c r="N1450" s="34"/>
      <c r="O1450" s="31"/>
      <c r="P1450" s="31"/>
      <c r="Q1450" s="31"/>
      <c r="R1450" s="3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</row>
    <row r="1451">
      <c r="A1451" s="2"/>
      <c r="B1451" s="8"/>
      <c r="R1451" s="10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</row>
    <row r="1452">
      <c r="A1452" s="2"/>
      <c r="B1452" s="39" t="s">
        <v>15</v>
      </c>
      <c r="C1452" s="40" t="s">
        <v>16</v>
      </c>
      <c r="D1452" s="41" t="s">
        <v>17</v>
      </c>
      <c r="E1452" s="41" t="s">
        <v>18</v>
      </c>
      <c r="F1452" s="42" t="s">
        <v>19</v>
      </c>
      <c r="G1452" s="43"/>
      <c r="H1452" s="43"/>
      <c r="I1452" s="43"/>
      <c r="J1452" s="44"/>
      <c r="K1452" s="41" t="s">
        <v>20</v>
      </c>
      <c r="L1452" s="41" t="s">
        <v>21</v>
      </c>
      <c r="M1452" s="41" t="s">
        <v>22</v>
      </c>
      <c r="N1452" s="41" t="s">
        <v>23</v>
      </c>
      <c r="O1452" s="41" t="s">
        <v>24</v>
      </c>
      <c r="P1452" s="41" t="s">
        <v>25</v>
      </c>
      <c r="Q1452" s="41" t="s">
        <v>26</v>
      </c>
      <c r="R1452" s="45" t="s">
        <v>27</v>
      </c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</row>
    <row r="1453">
      <c r="A1453" s="2"/>
      <c r="B1453" s="52">
        <v>1.0</v>
      </c>
      <c r="C1453" s="53">
        <v>1.004683325E9</v>
      </c>
      <c r="D1453" s="54">
        <v>46361.0</v>
      </c>
      <c r="E1453" s="53" t="s">
        <v>106</v>
      </c>
      <c r="F1453" s="53" t="s">
        <v>109</v>
      </c>
      <c r="G1453" s="53" t="s">
        <v>108</v>
      </c>
      <c r="H1453" s="53"/>
      <c r="I1453" s="55"/>
      <c r="J1453" s="55"/>
      <c r="K1453" s="53" t="s">
        <v>38</v>
      </c>
      <c r="L1453" s="53" t="s">
        <v>118</v>
      </c>
      <c r="M1453" s="53">
        <v>3328.0</v>
      </c>
      <c r="N1453" s="53">
        <v>482.0</v>
      </c>
      <c r="O1453" s="53">
        <v>19.28</v>
      </c>
      <c r="P1453" s="55">
        <f t="shared" ref="P1453:P1462" si="103">N1453*O1453</f>
        <v>9292.96</v>
      </c>
      <c r="Q1453" s="53">
        <v>1025.0</v>
      </c>
      <c r="R1453" s="105">
        <f t="shared" ref="R1453:R1462" si="104">P1453+Q1453</f>
        <v>10317.96</v>
      </c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</row>
    <row r="1454">
      <c r="A1454" s="2"/>
      <c r="B1454" s="52">
        <v>2.0</v>
      </c>
      <c r="C1454" s="53">
        <v>1.004683205E9</v>
      </c>
      <c r="D1454" s="54">
        <v>46361.0</v>
      </c>
      <c r="E1454" s="53" t="s">
        <v>82</v>
      </c>
      <c r="F1454" s="53" t="s">
        <v>86</v>
      </c>
      <c r="G1454" s="53" t="s">
        <v>88</v>
      </c>
      <c r="H1454" s="53"/>
      <c r="I1454" s="55"/>
      <c r="J1454" s="55"/>
      <c r="K1454" s="53" t="s">
        <v>38</v>
      </c>
      <c r="L1454" s="53" t="s">
        <v>89</v>
      </c>
      <c r="M1454" s="53">
        <v>3499.0</v>
      </c>
      <c r="N1454" s="53">
        <v>484.0</v>
      </c>
      <c r="O1454" s="53">
        <v>19.28</v>
      </c>
      <c r="P1454" s="55">
        <f t="shared" si="103"/>
        <v>9331.52</v>
      </c>
      <c r="Q1454" s="53">
        <v>930.0</v>
      </c>
      <c r="R1454" s="105">
        <f t="shared" si="104"/>
        <v>10261.52</v>
      </c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</row>
    <row r="1455">
      <c r="A1455" s="2"/>
      <c r="B1455" s="52">
        <v>3.0</v>
      </c>
      <c r="C1455" s="53">
        <v>1.004683759E9</v>
      </c>
      <c r="D1455" s="54">
        <v>46361.0</v>
      </c>
      <c r="E1455" s="53" t="s">
        <v>100</v>
      </c>
      <c r="F1455" s="53" t="s">
        <v>87</v>
      </c>
      <c r="G1455" s="53" t="s">
        <v>86</v>
      </c>
      <c r="H1455" s="53" t="s">
        <v>84</v>
      </c>
      <c r="I1455" s="53" t="s">
        <v>83</v>
      </c>
      <c r="J1455" s="55"/>
      <c r="K1455" s="53" t="s">
        <v>38</v>
      </c>
      <c r="L1455" s="53" t="s">
        <v>101</v>
      </c>
      <c r="M1455" s="53">
        <v>3608.0</v>
      </c>
      <c r="N1455" s="53">
        <v>428.0</v>
      </c>
      <c r="O1455" s="53">
        <v>19.28</v>
      </c>
      <c r="P1455" s="55">
        <f t="shared" si="103"/>
        <v>8251.84</v>
      </c>
      <c r="Q1455" s="53">
        <v>755.0</v>
      </c>
      <c r="R1455" s="105">
        <f t="shared" si="104"/>
        <v>9006.84</v>
      </c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</row>
    <row r="1456">
      <c r="A1456" s="2"/>
      <c r="B1456" s="52">
        <v>4.0</v>
      </c>
      <c r="C1456" s="53">
        <v>1.004683614E9</v>
      </c>
      <c r="D1456" s="54">
        <v>46361.0</v>
      </c>
      <c r="E1456" s="53" t="s">
        <v>55</v>
      </c>
      <c r="F1456" s="53" t="s">
        <v>59</v>
      </c>
      <c r="G1456" s="53" t="s">
        <v>57</v>
      </c>
      <c r="H1456" s="53" t="s">
        <v>58</v>
      </c>
      <c r="I1456" s="55"/>
      <c r="J1456" s="55"/>
      <c r="K1456" s="53" t="s">
        <v>33</v>
      </c>
      <c r="L1456" s="53" t="s">
        <v>85</v>
      </c>
      <c r="M1456" s="53">
        <v>1761.0</v>
      </c>
      <c r="N1456" s="53">
        <v>518.0</v>
      </c>
      <c r="O1456" s="53">
        <v>15.53</v>
      </c>
      <c r="P1456" s="55">
        <f t="shared" si="103"/>
        <v>8044.54</v>
      </c>
      <c r="Q1456" s="55"/>
      <c r="R1456" s="105">
        <f t="shared" si="104"/>
        <v>8044.54</v>
      </c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</row>
    <row r="1457">
      <c r="A1457" s="2"/>
      <c r="B1457" s="52">
        <v>5.0</v>
      </c>
      <c r="C1457" s="53">
        <v>1.004683609E9</v>
      </c>
      <c r="D1457" s="54">
        <v>46361.0</v>
      </c>
      <c r="E1457" s="53" t="s">
        <v>55</v>
      </c>
      <c r="F1457" s="53" t="s">
        <v>56</v>
      </c>
      <c r="G1457" s="53" t="s">
        <v>103</v>
      </c>
      <c r="H1457" s="53" t="s">
        <v>58</v>
      </c>
      <c r="I1457" s="55"/>
      <c r="J1457" s="55"/>
      <c r="K1457" s="53" t="s">
        <v>38</v>
      </c>
      <c r="L1457" s="53" t="s">
        <v>105</v>
      </c>
      <c r="M1457" s="53">
        <v>3394.0</v>
      </c>
      <c r="N1457" s="53">
        <v>572.0</v>
      </c>
      <c r="O1457" s="53">
        <v>19.28</v>
      </c>
      <c r="P1457" s="55">
        <f t="shared" si="103"/>
        <v>11028.16</v>
      </c>
      <c r="Q1457" s="53">
        <v>330.0</v>
      </c>
      <c r="R1457" s="105">
        <f t="shared" si="104"/>
        <v>11358.16</v>
      </c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</row>
    <row r="1458">
      <c r="A1458" s="2"/>
      <c r="B1458" s="52">
        <v>6.0</v>
      </c>
      <c r="C1458" s="53">
        <v>1.004684461E9</v>
      </c>
      <c r="D1458" s="53" t="s">
        <v>157</v>
      </c>
      <c r="E1458" s="53" t="s">
        <v>28</v>
      </c>
      <c r="F1458" s="53" t="s">
        <v>29</v>
      </c>
      <c r="G1458" s="53" t="s">
        <v>30</v>
      </c>
      <c r="H1458" s="53" t="s">
        <v>32</v>
      </c>
      <c r="I1458" s="55"/>
      <c r="J1458" s="55"/>
      <c r="K1458" s="53" t="s">
        <v>33</v>
      </c>
      <c r="L1458" s="53" t="s">
        <v>34</v>
      </c>
      <c r="M1458" s="53">
        <v>1846.0</v>
      </c>
      <c r="N1458" s="53">
        <v>246.0</v>
      </c>
      <c r="O1458" s="53">
        <v>15.53</v>
      </c>
      <c r="P1458" s="55">
        <f t="shared" si="103"/>
        <v>3820.38</v>
      </c>
      <c r="Q1458" s="55"/>
      <c r="R1458" s="105">
        <f t="shared" si="104"/>
        <v>3820.38</v>
      </c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</row>
    <row r="1459">
      <c r="A1459" s="2"/>
      <c r="B1459" s="52">
        <v>7.0</v>
      </c>
      <c r="C1459" s="53">
        <v>1.004684528E9</v>
      </c>
      <c r="D1459" s="53" t="s">
        <v>157</v>
      </c>
      <c r="E1459" s="53" t="s">
        <v>35</v>
      </c>
      <c r="F1459" s="53" t="s">
        <v>36</v>
      </c>
      <c r="G1459" s="53" t="s">
        <v>37</v>
      </c>
      <c r="H1459" s="53"/>
      <c r="I1459" s="55"/>
      <c r="J1459" s="55"/>
      <c r="K1459" s="53" t="s">
        <v>38</v>
      </c>
      <c r="L1459" s="53" t="s">
        <v>97</v>
      </c>
      <c r="M1459" s="53">
        <v>3059.0</v>
      </c>
      <c r="N1459" s="53">
        <v>200.0</v>
      </c>
      <c r="O1459" s="53">
        <v>19.28</v>
      </c>
      <c r="P1459" s="55">
        <f t="shared" si="103"/>
        <v>3856</v>
      </c>
      <c r="Q1459" s="55"/>
      <c r="R1459" s="105">
        <f t="shared" si="104"/>
        <v>3856</v>
      </c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</row>
    <row r="1460">
      <c r="A1460" s="2"/>
      <c r="B1460" s="52">
        <v>8.0</v>
      </c>
      <c r="C1460" s="53">
        <v>1.004684533E9</v>
      </c>
      <c r="D1460" s="53" t="s">
        <v>157</v>
      </c>
      <c r="E1460" s="53" t="s">
        <v>35</v>
      </c>
      <c r="F1460" s="53" t="s">
        <v>36</v>
      </c>
      <c r="G1460" s="53" t="s">
        <v>40</v>
      </c>
      <c r="H1460" s="53"/>
      <c r="I1460" s="55"/>
      <c r="J1460" s="55"/>
      <c r="K1460" s="53" t="s">
        <v>33</v>
      </c>
      <c r="L1460" s="53" t="s">
        <v>41</v>
      </c>
      <c r="M1460" s="53">
        <v>1838.0</v>
      </c>
      <c r="N1460" s="53">
        <v>150.0</v>
      </c>
      <c r="O1460" s="53">
        <v>15.53</v>
      </c>
      <c r="P1460" s="55">
        <f t="shared" si="103"/>
        <v>2329.5</v>
      </c>
      <c r="Q1460" s="55"/>
      <c r="R1460" s="105">
        <f t="shared" si="104"/>
        <v>2329.5</v>
      </c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</row>
    <row r="1461">
      <c r="A1461" s="2"/>
      <c r="B1461" s="52">
        <v>9.0</v>
      </c>
      <c r="C1461" s="53">
        <v>1.004684809E9</v>
      </c>
      <c r="D1461" s="53" t="s">
        <v>157</v>
      </c>
      <c r="E1461" s="53" t="s">
        <v>42</v>
      </c>
      <c r="F1461" s="53" t="s">
        <v>43</v>
      </c>
      <c r="G1461" s="53" t="s">
        <v>44</v>
      </c>
      <c r="H1461" s="53"/>
      <c r="I1461" s="55"/>
      <c r="J1461" s="55"/>
      <c r="K1461" s="53" t="s">
        <v>45</v>
      </c>
      <c r="L1461" s="53" t="s">
        <v>98</v>
      </c>
      <c r="M1461" s="53">
        <v>1477.0</v>
      </c>
      <c r="N1461" s="53">
        <v>299.0</v>
      </c>
      <c r="O1461" s="53">
        <v>15.53</v>
      </c>
      <c r="P1461" s="55">
        <f t="shared" si="103"/>
        <v>4643.47</v>
      </c>
      <c r="Q1461" s="53"/>
      <c r="R1461" s="105">
        <f t="shared" si="104"/>
        <v>4643.47</v>
      </c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</row>
    <row r="1462">
      <c r="A1462" s="2"/>
      <c r="B1462" s="52">
        <v>10.0</v>
      </c>
      <c r="C1462" s="53">
        <v>1.004684823E9</v>
      </c>
      <c r="D1462" s="53" t="s">
        <v>157</v>
      </c>
      <c r="E1462" s="53" t="s">
        <v>51</v>
      </c>
      <c r="F1462" s="53" t="s">
        <v>44</v>
      </c>
      <c r="G1462" s="53" t="s">
        <v>49</v>
      </c>
      <c r="H1462" s="55"/>
      <c r="I1462" s="55"/>
      <c r="J1462" s="55"/>
      <c r="K1462" s="53" t="s">
        <v>45</v>
      </c>
      <c r="L1462" s="53" t="s">
        <v>50</v>
      </c>
      <c r="M1462" s="53">
        <v>1501.0</v>
      </c>
      <c r="N1462" s="53">
        <v>230.0</v>
      </c>
      <c r="O1462" s="53">
        <v>15.53</v>
      </c>
      <c r="P1462" s="55">
        <f t="shared" si="103"/>
        <v>3571.9</v>
      </c>
      <c r="Q1462" s="53"/>
      <c r="R1462" s="105">
        <f t="shared" si="104"/>
        <v>3571.9</v>
      </c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</row>
    <row r="1463">
      <c r="A1463" s="2"/>
      <c r="B1463" s="8"/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5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</row>
    <row r="1464">
      <c r="A1464" s="2"/>
      <c r="B1464" s="67" t="s">
        <v>64</v>
      </c>
      <c r="C1464" s="68"/>
      <c r="D1464" s="69" t="str">
        <f>MONEYTEXT(R1464, "INR")</f>
        <v>Sixty-seven thousand two hundred ten Indian rupees and twenty-seven paise</v>
      </c>
      <c r="E1464" s="68"/>
      <c r="F1464" s="68"/>
      <c r="G1464" s="68"/>
      <c r="H1464" s="68"/>
      <c r="I1464" s="68"/>
      <c r="J1464" s="68"/>
      <c r="K1464" s="68"/>
      <c r="L1464" s="68"/>
      <c r="M1464" s="68"/>
      <c r="N1464" s="70" t="s">
        <v>65</v>
      </c>
      <c r="O1464" s="4"/>
      <c r="P1464" s="96">
        <f t="shared" ref="P1464:R1464" si="105">SUM(P1453:P1462)</f>
        <v>64170.27</v>
      </c>
      <c r="Q1464" s="96">
        <f t="shared" si="105"/>
        <v>3040</v>
      </c>
      <c r="R1464" s="96">
        <f t="shared" si="105"/>
        <v>67210.27</v>
      </c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</row>
    <row r="1465">
      <c r="A1465" s="2"/>
      <c r="B1465" s="67" t="s">
        <v>66</v>
      </c>
      <c r="C1465" s="68"/>
      <c r="D1465" s="68"/>
      <c r="E1465" s="68"/>
      <c r="F1465" s="68"/>
      <c r="G1465" s="68"/>
      <c r="H1465" s="68"/>
      <c r="I1465" s="68"/>
      <c r="J1465" s="68"/>
      <c r="K1465" s="68"/>
      <c r="L1465" s="68"/>
      <c r="M1465" s="68"/>
      <c r="N1465" s="68"/>
      <c r="O1465" s="76"/>
      <c r="P1465" s="97" t="s">
        <v>67</v>
      </c>
      <c r="Q1465" s="31"/>
      <c r="R1465" s="3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</row>
    <row r="1466">
      <c r="A1466" s="2"/>
      <c r="B1466" s="79" t="s">
        <v>68</v>
      </c>
      <c r="P1466" s="27"/>
      <c r="Q1466" s="27"/>
      <c r="R1466" s="83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</row>
    <row r="1467">
      <c r="A1467" s="2"/>
      <c r="B1467" s="79" t="s">
        <v>70</v>
      </c>
      <c r="P1467" s="27"/>
      <c r="Q1467" s="27"/>
      <c r="R1467" s="83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</row>
    <row r="1468">
      <c r="A1468" s="2"/>
      <c r="B1468" s="8"/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5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</row>
    <row r="1469">
      <c r="A1469" s="2"/>
      <c r="B1469" s="8"/>
      <c r="C1469" s="6"/>
      <c r="D1469" s="6"/>
      <c r="E1469" s="6"/>
      <c r="F1469" s="6"/>
      <c r="G1469" s="6"/>
      <c r="H1469" s="6"/>
      <c r="I1469" s="6"/>
      <c r="J1469" s="6"/>
      <c r="K1469" s="19" t="s">
        <v>71</v>
      </c>
      <c r="L1469" s="6"/>
      <c r="M1469" s="6"/>
      <c r="N1469" s="6"/>
      <c r="O1469" s="6"/>
      <c r="P1469" s="9" t="s">
        <v>72</v>
      </c>
      <c r="R1469" s="10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</row>
    <row r="1470">
      <c r="A1470" s="2"/>
      <c r="B1470" s="88"/>
      <c r="C1470" s="34"/>
      <c r="D1470" s="34"/>
      <c r="E1470" s="34"/>
      <c r="F1470" s="34"/>
      <c r="G1470" s="34"/>
      <c r="H1470" s="34"/>
      <c r="I1470" s="34"/>
      <c r="J1470" s="34"/>
      <c r="K1470" s="34"/>
      <c r="L1470" s="34"/>
      <c r="M1470" s="34"/>
      <c r="N1470" s="34"/>
      <c r="O1470" s="34"/>
      <c r="P1470" s="34"/>
      <c r="Q1470" s="34"/>
      <c r="R1470" s="89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</row>
    <row r="1471">
      <c r="A1471" s="2"/>
      <c r="B1471" s="139"/>
      <c r="C1471" s="139"/>
      <c r="D1471" s="139"/>
      <c r="E1471" s="139"/>
      <c r="F1471" s="139"/>
      <c r="G1471" s="139"/>
      <c r="H1471" s="139"/>
      <c r="I1471" s="139"/>
      <c r="J1471" s="139"/>
      <c r="K1471" s="139"/>
      <c r="L1471" s="139"/>
      <c r="M1471" s="139"/>
      <c r="N1471" s="139"/>
      <c r="O1471" s="139"/>
      <c r="P1471" s="139"/>
      <c r="Q1471" s="139"/>
      <c r="R1471" s="139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</row>
    <row r="1472">
      <c r="A1472" s="2"/>
      <c r="B1472" s="139"/>
      <c r="C1472" s="139"/>
      <c r="D1472" s="139"/>
      <c r="E1472" s="139"/>
      <c r="F1472" s="139"/>
      <c r="G1472" s="139"/>
      <c r="H1472" s="139"/>
      <c r="I1472" s="139"/>
      <c r="J1472" s="139"/>
      <c r="K1472" s="139"/>
      <c r="L1472" s="139"/>
      <c r="M1472" s="139"/>
      <c r="N1472" s="139"/>
      <c r="O1472" s="139"/>
      <c r="P1472" s="139"/>
      <c r="Q1472" s="139"/>
      <c r="R1472" s="139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</row>
    <row r="1473">
      <c r="A1473" s="2"/>
      <c r="B1473" s="139"/>
      <c r="C1473" s="139"/>
      <c r="D1473" s="139"/>
      <c r="E1473" s="139"/>
      <c r="F1473" s="139"/>
      <c r="G1473" s="139"/>
      <c r="H1473" s="139"/>
      <c r="I1473" s="139"/>
      <c r="J1473" s="139"/>
      <c r="K1473" s="139"/>
      <c r="L1473" s="139"/>
      <c r="M1473" s="139"/>
      <c r="N1473" s="139"/>
      <c r="O1473" s="139"/>
      <c r="P1473" s="139"/>
      <c r="Q1473" s="139"/>
      <c r="R1473" s="139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</row>
    <row r="1474">
      <c r="A1474" s="2"/>
      <c r="B1474" s="176" t="s">
        <v>1</v>
      </c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5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</row>
    <row r="1475">
      <c r="A1475" s="2"/>
      <c r="B1475" s="8"/>
      <c r="F1475" s="9"/>
      <c r="G1475" s="9"/>
      <c r="H1475" s="9"/>
      <c r="I1475" s="9"/>
      <c r="J1475" s="9" t="s">
        <v>2</v>
      </c>
      <c r="N1475" s="6"/>
      <c r="R1475" s="10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</row>
    <row r="1476">
      <c r="A1476" s="2"/>
      <c r="B1476" s="13"/>
      <c r="F1476" s="9"/>
      <c r="G1476" s="9"/>
      <c r="H1476" s="9"/>
      <c r="I1476" s="9"/>
      <c r="J1476" s="9" t="s">
        <v>3</v>
      </c>
      <c r="N1476" s="6"/>
      <c r="R1476" s="10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</row>
    <row r="1477">
      <c r="A1477" s="2"/>
      <c r="B1477" s="13" t="s">
        <v>4</v>
      </c>
      <c r="R1477" s="10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</row>
    <row r="1478">
      <c r="A1478" s="2"/>
      <c r="B1478" s="16" t="s">
        <v>5</v>
      </c>
      <c r="C1478" s="17" t="s">
        <v>6</v>
      </c>
      <c r="D1478" s="4"/>
      <c r="E1478" s="4"/>
      <c r="F1478" s="4"/>
      <c r="G1478" s="4"/>
      <c r="H1478" s="4"/>
      <c r="I1478" s="4"/>
      <c r="J1478" s="4"/>
      <c r="K1478" s="5"/>
      <c r="L1478" s="18" t="s">
        <v>7</v>
      </c>
      <c r="M1478" s="19">
        <v>57.0</v>
      </c>
      <c r="N1478" s="20"/>
      <c r="O1478" s="4"/>
      <c r="P1478" s="4"/>
      <c r="Q1478" s="4"/>
      <c r="R1478" s="5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</row>
    <row r="1479">
      <c r="A1479" s="2"/>
      <c r="B1479" s="26"/>
      <c r="C1479" s="27" t="s">
        <v>8</v>
      </c>
      <c r="K1479" s="10"/>
      <c r="L1479" s="18" t="s">
        <v>9</v>
      </c>
      <c r="M1479" s="175">
        <v>46058.0</v>
      </c>
      <c r="N1479" s="6"/>
      <c r="R1479" s="10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</row>
    <row r="1480">
      <c r="A1480" s="2"/>
      <c r="B1480" s="16" t="s">
        <v>11</v>
      </c>
      <c r="C1480" s="30" t="s">
        <v>12</v>
      </c>
      <c r="D1480" s="31"/>
      <c r="E1480" s="31"/>
      <c r="F1480" s="31"/>
      <c r="G1480" s="31"/>
      <c r="H1480" s="31"/>
      <c r="I1480" s="31"/>
      <c r="J1480" s="31"/>
      <c r="K1480" s="32"/>
      <c r="L1480" s="18" t="s">
        <v>13</v>
      </c>
      <c r="M1480" s="33" t="s">
        <v>14</v>
      </c>
      <c r="N1480" s="34"/>
      <c r="O1480" s="31"/>
      <c r="P1480" s="31"/>
      <c r="Q1480" s="31"/>
      <c r="R1480" s="3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</row>
    <row r="1481">
      <c r="A1481" s="2"/>
      <c r="B1481" s="8"/>
      <c r="R1481" s="10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</row>
    <row r="1482">
      <c r="A1482" s="2"/>
      <c r="B1482" s="39" t="s">
        <v>15</v>
      </c>
      <c r="C1482" s="40" t="s">
        <v>16</v>
      </c>
      <c r="D1482" s="41" t="s">
        <v>17</v>
      </c>
      <c r="E1482" s="41" t="s">
        <v>18</v>
      </c>
      <c r="F1482" s="42" t="s">
        <v>19</v>
      </c>
      <c r="G1482" s="43"/>
      <c r="H1482" s="43"/>
      <c r="I1482" s="43"/>
      <c r="J1482" s="44"/>
      <c r="K1482" s="41" t="s">
        <v>20</v>
      </c>
      <c r="L1482" s="41" t="s">
        <v>21</v>
      </c>
      <c r="M1482" s="41" t="s">
        <v>22</v>
      </c>
      <c r="N1482" s="41" t="s">
        <v>23</v>
      </c>
      <c r="O1482" s="41" t="s">
        <v>24</v>
      </c>
      <c r="P1482" s="41" t="s">
        <v>25</v>
      </c>
      <c r="Q1482" s="41" t="s">
        <v>26</v>
      </c>
      <c r="R1482" s="45" t="s">
        <v>27</v>
      </c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</row>
    <row r="1483">
      <c r="A1483" s="2"/>
      <c r="B1483" s="52">
        <v>1.0</v>
      </c>
      <c r="C1483" s="53">
        <v>1.004685277E9</v>
      </c>
      <c r="D1483" s="53" t="s">
        <v>157</v>
      </c>
      <c r="E1483" s="53" t="s">
        <v>51</v>
      </c>
      <c r="F1483" s="53" t="s">
        <v>44</v>
      </c>
      <c r="G1483" s="53" t="s">
        <v>49</v>
      </c>
      <c r="H1483" s="53"/>
      <c r="I1483" s="55"/>
      <c r="J1483" s="55"/>
      <c r="K1483" s="53" t="s">
        <v>45</v>
      </c>
      <c r="L1483" s="53" t="s">
        <v>52</v>
      </c>
      <c r="M1483" s="53">
        <v>1556.0</v>
      </c>
      <c r="N1483" s="53">
        <v>230.0</v>
      </c>
      <c r="O1483" s="53">
        <v>15.53</v>
      </c>
      <c r="P1483" s="55">
        <f t="shared" ref="P1483:P1492" si="106">N1483*O1483</f>
        <v>3571.9</v>
      </c>
      <c r="Q1483" s="53"/>
      <c r="R1483" s="105">
        <f t="shared" ref="R1483:R1492" si="107">P1483+Q1483</f>
        <v>3571.9</v>
      </c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</row>
    <row r="1484">
      <c r="A1484" s="2"/>
      <c r="B1484" s="52">
        <v>2.0</v>
      </c>
      <c r="C1484" s="53">
        <v>1.004685276E9</v>
      </c>
      <c r="D1484" s="53" t="s">
        <v>157</v>
      </c>
      <c r="E1484" s="53" t="s">
        <v>51</v>
      </c>
      <c r="F1484" s="53" t="s">
        <v>44</v>
      </c>
      <c r="G1484" s="53"/>
      <c r="H1484" s="53"/>
      <c r="I1484" s="55"/>
      <c r="J1484" s="55"/>
      <c r="K1484" s="53" t="s">
        <v>45</v>
      </c>
      <c r="L1484" s="53" t="s">
        <v>112</v>
      </c>
      <c r="M1484" s="53">
        <v>1546.0</v>
      </c>
      <c r="N1484" s="53">
        <v>230.0</v>
      </c>
      <c r="O1484" s="53">
        <v>15.53</v>
      </c>
      <c r="P1484" s="55">
        <f t="shared" si="106"/>
        <v>3571.9</v>
      </c>
      <c r="Q1484" s="55"/>
      <c r="R1484" s="105">
        <f t="shared" si="107"/>
        <v>3571.9</v>
      </c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</row>
    <row r="1485">
      <c r="A1485" s="2"/>
      <c r="B1485" s="52">
        <v>3.0</v>
      </c>
      <c r="C1485" s="53">
        <v>1.004685981E9</v>
      </c>
      <c r="D1485" s="53" t="s">
        <v>157</v>
      </c>
      <c r="E1485" s="53" t="s">
        <v>90</v>
      </c>
      <c r="F1485" s="53" t="s">
        <v>83</v>
      </c>
      <c r="G1485" s="53" t="s">
        <v>91</v>
      </c>
      <c r="H1485" s="55"/>
      <c r="I1485" s="55"/>
      <c r="J1485" s="55"/>
      <c r="K1485" s="53" t="s">
        <v>80</v>
      </c>
      <c r="L1485" s="53" t="s">
        <v>76</v>
      </c>
      <c r="M1485" s="53">
        <v>2859.0</v>
      </c>
      <c r="N1485" s="53">
        <v>216.0</v>
      </c>
      <c r="O1485" s="53">
        <v>18.28</v>
      </c>
      <c r="P1485" s="55">
        <f t="shared" si="106"/>
        <v>3948.48</v>
      </c>
      <c r="Q1485" s="55"/>
      <c r="R1485" s="105">
        <f t="shared" si="107"/>
        <v>3948.48</v>
      </c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</row>
    <row r="1486">
      <c r="A1486" s="2"/>
      <c r="B1486" s="52">
        <v>4.0</v>
      </c>
      <c r="C1486" s="53">
        <v>1.004685682E9</v>
      </c>
      <c r="D1486" s="53" t="s">
        <v>157</v>
      </c>
      <c r="E1486" s="53" t="s">
        <v>61</v>
      </c>
      <c r="F1486" s="53" t="s">
        <v>73</v>
      </c>
      <c r="G1486" s="53" t="s">
        <v>74</v>
      </c>
      <c r="H1486" s="53" t="s">
        <v>62</v>
      </c>
      <c r="I1486" s="55"/>
      <c r="J1486" s="55"/>
      <c r="K1486" s="53" t="s">
        <v>38</v>
      </c>
      <c r="L1486" s="53" t="s">
        <v>110</v>
      </c>
      <c r="M1486" s="53">
        <v>2930.0</v>
      </c>
      <c r="N1486" s="53">
        <v>562.0</v>
      </c>
      <c r="O1486" s="53">
        <v>19.28</v>
      </c>
      <c r="P1486" s="55">
        <f t="shared" si="106"/>
        <v>10835.36</v>
      </c>
      <c r="Q1486" s="53">
        <v>1055.0</v>
      </c>
      <c r="R1486" s="105">
        <f t="shared" si="107"/>
        <v>11890.36</v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</row>
    <row r="1487">
      <c r="A1487" s="2"/>
      <c r="B1487" s="52">
        <v>5.0</v>
      </c>
      <c r="C1487" s="53">
        <v>1.004686048E9</v>
      </c>
      <c r="D1487" s="53" t="s">
        <v>157</v>
      </c>
      <c r="E1487" s="53" t="s">
        <v>77</v>
      </c>
      <c r="F1487" s="53" t="s">
        <v>78</v>
      </c>
      <c r="G1487" s="53" t="s">
        <v>79</v>
      </c>
      <c r="H1487" s="55"/>
      <c r="I1487" s="55"/>
      <c r="J1487" s="55"/>
      <c r="K1487" s="53" t="s">
        <v>38</v>
      </c>
      <c r="L1487" s="53" t="s">
        <v>81</v>
      </c>
      <c r="M1487" s="53">
        <v>3446.0</v>
      </c>
      <c r="N1487" s="53">
        <v>416.0</v>
      </c>
      <c r="O1487" s="53">
        <v>19.28</v>
      </c>
      <c r="P1487" s="55">
        <f t="shared" si="106"/>
        <v>8020.48</v>
      </c>
      <c r="Q1487" s="53">
        <v>505.0</v>
      </c>
      <c r="R1487" s="105">
        <f t="shared" si="107"/>
        <v>8525.48</v>
      </c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</row>
    <row r="1488">
      <c r="A1488" s="2"/>
      <c r="B1488" s="52">
        <v>6.0</v>
      </c>
      <c r="C1488" s="53">
        <v>1.00468705E9</v>
      </c>
      <c r="D1488" s="53" t="s">
        <v>158</v>
      </c>
      <c r="E1488" s="53" t="s">
        <v>28</v>
      </c>
      <c r="F1488" s="53" t="s">
        <v>29</v>
      </c>
      <c r="G1488" s="53" t="s">
        <v>30</v>
      </c>
      <c r="H1488" s="53" t="s">
        <v>31</v>
      </c>
      <c r="I1488" s="53" t="s">
        <v>32</v>
      </c>
      <c r="J1488" s="55"/>
      <c r="K1488" s="53" t="s">
        <v>33</v>
      </c>
      <c r="L1488" s="53" t="s">
        <v>34</v>
      </c>
      <c r="M1488" s="53">
        <v>1833.0</v>
      </c>
      <c r="N1488" s="53">
        <v>246.0</v>
      </c>
      <c r="O1488" s="53">
        <v>15.53</v>
      </c>
      <c r="P1488" s="55">
        <f t="shared" si="106"/>
        <v>3820.38</v>
      </c>
      <c r="Q1488" s="55"/>
      <c r="R1488" s="105">
        <f t="shared" si="107"/>
        <v>3820.38</v>
      </c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</row>
    <row r="1489">
      <c r="A1489" s="2"/>
      <c r="B1489" s="52">
        <v>7.0</v>
      </c>
      <c r="C1489" s="53">
        <v>1.00468704E9</v>
      </c>
      <c r="D1489" s="53" t="s">
        <v>158</v>
      </c>
      <c r="E1489" s="53" t="s">
        <v>35</v>
      </c>
      <c r="F1489" s="53" t="s">
        <v>36</v>
      </c>
      <c r="G1489" s="53"/>
      <c r="H1489" s="53"/>
      <c r="I1489" s="55"/>
      <c r="J1489" s="55"/>
      <c r="K1489" s="53" t="s">
        <v>33</v>
      </c>
      <c r="L1489" s="53" t="s">
        <v>97</v>
      </c>
      <c r="M1489" s="53">
        <v>1958.0</v>
      </c>
      <c r="N1489" s="53">
        <v>130.0</v>
      </c>
      <c r="O1489" s="53">
        <v>15.53</v>
      </c>
      <c r="P1489" s="55">
        <f t="shared" si="106"/>
        <v>2018.9</v>
      </c>
      <c r="Q1489" s="55"/>
      <c r="R1489" s="105">
        <f t="shared" si="107"/>
        <v>2018.9</v>
      </c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</row>
    <row r="1490">
      <c r="A1490" s="2"/>
      <c r="B1490" s="52">
        <v>8.0</v>
      </c>
      <c r="C1490" s="53">
        <v>1.004687123E9</v>
      </c>
      <c r="D1490" s="53" t="s">
        <v>158</v>
      </c>
      <c r="E1490" s="53" t="s">
        <v>51</v>
      </c>
      <c r="F1490" s="53" t="s">
        <v>44</v>
      </c>
      <c r="G1490" s="53" t="s">
        <v>49</v>
      </c>
      <c r="H1490" s="53"/>
      <c r="I1490" s="55"/>
      <c r="J1490" s="55"/>
      <c r="K1490" s="53" t="s">
        <v>45</v>
      </c>
      <c r="L1490" s="53" t="s">
        <v>98</v>
      </c>
      <c r="M1490" s="53">
        <v>1595.0</v>
      </c>
      <c r="N1490" s="53">
        <v>230.0</v>
      </c>
      <c r="O1490" s="53">
        <v>15.53</v>
      </c>
      <c r="P1490" s="55">
        <f t="shared" si="106"/>
        <v>3571.9</v>
      </c>
      <c r="Q1490" s="55"/>
      <c r="R1490" s="105">
        <f t="shared" si="107"/>
        <v>3571.9</v>
      </c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</row>
    <row r="1491">
      <c r="A1491" s="2"/>
      <c r="B1491" s="52">
        <v>9.0</v>
      </c>
      <c r="C1491" s="53">
        <v>1.004687461E9</v>
      </c>
      <c r="D1491" s="53" t="s">
        <v>158</v>
      </c>
      <c r="E1491" s="53" t="s">
        <v>51</v>
      </c>
      <c r="F1491" s="53" t="s">
        <v>44</v>
      </c>
      <c r="G1491" s="53" t="s">
        <v>49</v>
      </c>
      <c r="H1491" s="53"/>
      <c r="I1491" s="55"/>
      <c r="J1491" s="55"/>
      <c r="K1491" s="53" t="s">
        <v>45</v>
      </c>
      <c r="L1491" s="53" t="s">
        <v>50</v>
      </c>
      <c r="M1491" s="53">
        <v>1617.0</v>
      </c>
      <c r="N1491" s="53">
        <v>230.0</v>
      </c>
      <c r="O1491" s="53">
        <v>15.53</v>
      </c>
      <c r="P1491" s="55">
        <f t="shared" si="106"/>
        <v>3571.9</v>
      </c>
      <c r="Q1491" s="53"/>
      <c r="R1491" s="105">
        <f t="shared" si="107"/>
        <v>3571.9</v>
      </c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</row>
    <row r="1492">
      <c r="A1492" s="2"/>
      <c r="B1492" s="52">
        <v>10.0</v>
      </c>
      <c r="C1492" s="53">
        <v>1.004687695E9</v>
      </c>
      <c r="D1492" s="53" t="s">
        <v>158</v>
      </c>
      <c r="E1492" s="53" t="s">
        <v>51</v>
      </c>
      <c r="F1492" s="53" t="s">
        <v>44</v>
      </c>
      <c r="G1492" s="53" t="s">
        <v>49</v>
      </c>
      <c r="H1492" s="55"/>
      <c r="I1492" s="55"/>
      <c r="J1492" s="55"/>
      <c r="K1492" s="53" t="s">
        <v>45</v>
      </c>
      <c r="L1492" s="53" t="s">
        <v>52</v>
      </c>
      <c r="M1492" s="53">
        <v>1384.0</v>
      </c>
      <c r="N1492" s="53">
        <v>230.0</v>
      </c>
      <c r="O1492" s="53">
        <v>15.53</v>
      </c>
      <c r="P1492" s="55">
        <f t="shared" si="106"/>
        <v>3571.9</v>
      </c>
      <c r="Q1492" s="53"/>
      <c r="R1492" s="105">
        <f t="shared" si="107"/>
        <v>3571.9</v>
      </c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</row>
    <row r="1493">
      <c r="A1493" s="2"/>
      <c r="B1493" s="8"/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5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</row>
    <row r="1494">
      <c r="A1494" s="2"/>
      <c r="B1494" s="67" t="s">
        <v>64</v>
      </c>
      <c r="C1494" s="68"/>
      <c r="D1494" s="69" t="str">
        <f>MONEYTEXT(R1494, "INR")</f>
        <v/>
      </c>
      <c r="E1494" s="68"/>
      <c r="F1494" s="68"/>
      <c r="G1494" s="68"/>
      <c r="H1494" s="68"/>
      <c r="I1494" s="68"/>
      <c r="J1494" s="68"/>
      <c r="K1494" s="68"/>
      <c r="L1494" s="68"/>
      <c r="M1494" s="68"/>
      <c r="N1494" s="70" t="s">
        <v>65</v>
      </c>
      <c r="O1494" s="4"/>
      <c r="P1494" s="96">
        <f t="shared" ref="P1494:R1494" si="108">SUM(P1483:P1492)</f>
        <v>46503.1</v>
      </c>
      <c r="Q1494" s="96">
        <f t="shared" si="108"/>
        <v>1560</v>
      </c>
      <c r="R1494" s="96">
        <f t="shared" si="108"/>
        <v>48063.1</v>
      </c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</row>
    <row r="1495">
      <c r="A1495" s="2"/>
      <c r="B1495" s="67" t="s">
        <v>66</v>
      </c>
      <c r="C1495" s="68"/>
      <c r="D1495" s="68"/>
      <c r="E1495" s="68"/>
      <c r="F1495" s="68"/>
      <c r="G1495" s="68"/>
      <c r="H1495" s="68"/>
      <c r="I1495" s="68"/>
      <c r="J1495" s="68"/>
      <c r="K1495" s="68"/>
      <c r="L1495" s="68"/>
      <c r="M1495" s="68"/>
      <c r="N1495" s="68"/>
      <c r="O1495" s="76"/>
      <c r="P1495" s="97" t="s">
        <v>67</v>
      </c>
      <c r="Q1495" s="31"/>
      <c r="R1495" s="3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</row>
    <row r="1496">
      <c r="A1496" s="2"/>
      <c r="B1496" s="79" t="s">
        <v>68</v>
      </c>
      <c r="P1496" s="27"/>
      <c r="Q1496" s="27"/>
      <c r="R1496" s="83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</row>
    <row r="1497">
      <c r="A1497" s="2"/>
      <c r="B1497" s="79" t="s">
        <v>70</v>
      </c>
      <c r="P1497" s="27"/>
      <c r="Q1497" s="27"/>
      <c r="R1497" s="83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</row>
    <row r="1498">
      <c r="A1498" s="2"/>
      <c r="B1498" s="8"/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5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</row>
    <row r="1499">
      <c r="A1499" s="2"/>
      <c r="B1499" s="8"/>
      <c r="C1499" s="6"/>
      <c r="D1499" s="6"/>
      <c r="E1499" s="6"/>
      <c r="F1499" s="6"/>
      <c r="G1499" s="6"/>
      <c r="H1499" s="6"/>
      <c r="I1499" s="6"/>
      <c r="J1499" s="6"/>
      <c r="K1499" s="19" t="s">
        <v>71</v>
      </c>
      <c r="L1499" s="6"/>
      <c r="M1499" s="6"/>
      <c r="N1499" s="6"/>
      <c r="O1499" s="6"/>
      <c r="P1499" s="9" t="s">
        <v>72</v>
      </c>
      <c r="R1499" s="10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</row>
    <row r="1500">
      <c r="A1500" s="2"/>
      <c r="B1500" s="88"/>
      <c r="C1500" s="34"/>
      <c r="D1500" s="34"/>
      <c r="E1500" s="34"/>
      <c r="F1500" s="34"/>
      <c r="G1500" s="34"/>
      <c r="H1500" s="34"/>
      <c r="I1500" s="34"/>
      <c r="J1500" s="34"/>
      <c r="K1500" s="34"/>
      <c r="L1500" s="34"/>
      <c r="M1500" s="34"/>
      <c r="N1500" s="34"/>
      <c r="O1500" s="34"/>
      <c r="P1500" s="34"/>
      <c r="Q1500" s="34"/>
      <c r="R1500" s="89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</row>
    <row r="1501">
      <c r="A1501" s="2"/>
      <c r="B1501" s="139"/>
      <c r="C1501" s="139"/>
      <c r="D1501" s="139"/>
      <c r="E1501" s="139"/>
      <c r="F1501" s="139"/>
      <c r="G1501" s="139"/>
      <c r="H1501" s="139"/>
      <c r="I1501" s="139"/>
      <c r="J1501" s="139"/>
      <c r="K1501" s="139"/>
      <c r="L1501" s="139"/>
      <c r="M1501" s="139"/>
      <c r="N1501" s="139"/>
      <c r="O1501" s="139"/>
      <c r="P1501" s="139"/>
      <c r="Q1501" s="139"/>
      <c r="R1501" s="139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</row>
    <row r="1502">
      <c r="A1502" s="2"/>
      <c r="B1502" s="139"/>
      <c r="C1502" s="139"/>
      <c r="D1502" s="139"/>
      <c r="E1502" s="139"/>
      <c r="F1502" s="139"/>
      <c r="G1502" s="139"/>
      <c r="H1502" s="139"/>
      <c r="I1502" s="139"/>
      <c r="J1502" s="139"/>
      <c r="K1502" s="139"/>
      <c r="L1502" s="139"/>
      <c r="M1502" s="139"/>
      <c r="N1502" s="139"/>
      <c r="O1502" s="139"/>
      <c r="P1502" s="139"/>
      <c r="Q1502" s="139"/>
      <c r="R1502" s="139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</row>
    <row r="1503">
      <c r="A1503" s="2"/>
      <c r="B1503" s="139"/>
      <c r="C1503" s="139"/>
      <c r="D1503" s="139"/>
      <c r="E1503" s="139"/>
      <c r="F1503" s="139"/>
      <c r="G1503" s="139"/>
      <c r="H1503" s="139"/>
      <c r="I1503" s="139"/>
      <c r="J1503" s="139"/>
      <c r="K1503" s="139"/>
      <c r="L1503" s="139"/>
      <c r="M1503" s="139"/>
      <c r="N1503" s="139"/>
      <c r="O1503" s="139"/>
      <c r="P1503" s="139"/>
      <c r="Q1503" s="139"/>
      <c r="R1503" s="139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</row>
    <row r="1504">
      <c r="A1504" s="2"/>
      <c r="B1504" s="139"/>
      <c r="C1504" s="139"/>
      <c r="D1504" s="139"/>
      <c r="E1504" s="139"/>
      <c r="F1504" s="139"/>
      <c r="G1504" s="139"/>
      <c r="H1504" s="139"/>
      <c r="I1504" s="139"/>
      <c r="J1504" s="139"/>
      <c r="K1504" s="139"/>
      <c r="L1504" s="139"/>
      <c r="M1504" s="139"/>
      <c r="N1504" s="139"/>
      <c r="O1504" s="139"/>
      <c r="P1504" s="139"/>
      <c r="Q1504" s="139"/>
      <c r="R1504" s="139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</row>
    <row r="1505">
      <c r="A1505" s="2"/>
      <c r="B1505" s="139"/>
      <c r="C1505" s="139"/>
      <c r="D1505" s="139"/>
      <c r="E1505" s="139"/>
      <c r="F1505" s="139"/>
      <c r="G1505" s="139"/>
      <c r="H1505" s="139"/>
      <c r="I1505" s="139"/>
      <c r="J1505" s="139"/>
      <c r="K1505" s="139"/>
      <c r="L1505" s="139"/>
      <c r="M1505" s="139"/>
      <c r="N1505" s="139"/>
      <c r="O1505" s="139"/>
      <c r="P1505" s="139"/>
      <c r="Q1505" s="139"/>
      <c r="R1505" s="139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</row>
    <row r="1506">
      <c r="A1506" s="2"/>
      <c r="B1506" s="176" t="s">
        <v>1</v>
      </c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5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</row>
    <row r="1507">
      <c r="A1507" s="2"/>
      <c r="B1507" s="8"/>
      <c r="F1507" s="9"/>
      <c r="G1507" s="9"/>
      <c r="H1507" s="9"/>
      <c r="I1507" s="9"/>
      <c r="J1507" s="9" t="s">
        <v>2</v>
      </c>
      <c r="N1507" s="6"/>
      <c r="R1507" s="10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</row>
    <row r="1508">
      <c r="A1508" s="2"/>
      <c r="B1508" s="13"/>
      <c r="F1508" s="9"/>
      <c r="G1508" s="9"/>
      <c r="H1508" s="9"/>
      <c r="I1508" s="9"/>
      <c r="J1508" s="9" t="s">
        <v>3</v>
      </c>
      <c r="N1508" s="6"/>
      <c r="R1508" s="10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</row>
    <row r="1509">
      <c r="A1509" s="2"/>
      <c r="B1509" s="13" t="s">
        <v>4</v>
      </c>
      <c r="R1509" s="10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</row>
    <row r="1510">
      <c r="A1510" s="2"/>
      <c r="B1510" s="16" t="s">
        <v>5</v>
      </c>
      <c r="C1510" s="17" t="s">
        <v>6</v>
      </c>
      <c r="D1510" s="4"/>
      <c r="E1510" s="4"/>
      <c r="F1510" s="4"/>
      <c r="G1510" s="4"/>
      <c r="H1510" s="4"/>
      <c r="I1510" s="4"/>
      <c r="J1510" s="4"/>
      <c r="K1510" s="5"/>
      <c r="L1510" s="18" t="s">
        <v>7</v>
      </c>
      <c r="M1510" s="19">
        <v>58.0</v>
      </c>
      <c r="N1510" s="20"/>
      <c r="O1510" s="4"/>
      <c r="P1510" s="4"/>
      <c r="Q1510" s="4"/>
      <c r="R1510" s="5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</row>
    <row r="1511">
      <c r="A1511" s="2"/>
      <c r="B1511" s="26"/>
      <c r="C1511" s="27" t="s">
        <v>8</v>
      </c>
      <c r="K1511" s="10"/>
      <c r="L1511" s="18" t="s">
        <v>9</v>
      </c>
      <c r="M1511" s="175">
        <v>46058.0</v>
      </c>
      <c r="N1511" s="6"/>
      <c r="R1511" s="10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</row>
    <row r="1512">
      <c r="A1512" s="2"/>
      <c r="B1512" s="16" t="s">
        <v>11</v>
      </c>
      <c r="C1512" s="30" t="s">
        <v>12</v>
      </c>
      <c r="D1512" s="31"/>
      <c r="E1512" s="31"/>
      <c r="F1512" s="31"/>
      <c r="G1512" s="31"/>
      <c r="H1512" s="31"/>
      <c r="I1512" s="31"/>
      <c r="J1512" s="31"/>
      <c r="K1512" s="32"/>
      <c r="L1512" s="18" t="s">
        <v>13</v>
      </c>
      <c r="M1512" s="33" t="s">
        <v>14</v>
      </c>
      <c r="N1512" s="34"/>
      <c r="O1512" s="31"/>
      <c r="P1512" s="31"/>
      <c r="Q1512" s="31"/>
      <c r="R1512" s="3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</row>
    <row r="1513">
      <c r="A1513" s="2"/>
      <c r="B1513" s="8"/>
      <c r="R1513" s="10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</row>
    <row r="1514">
      <c r="A1514" s="2"/>
      <c r="B1514" s="39" t="s">
        <v>15</v>
      </c>
      <c r="C1514" s="40" t="s">
        <v>16</v>
      </c>
      <c r="D1514" s="41" t="s">
        <v>17</v>
      </c>
      <c r="E1514" s="41" t="s">
        <v>18</v>
      </c>
      <c r="F1514" s="42" t="s">
        <v>19</v>
      </c>
      <c r="G1514" s="43"/>
      <c r="H1514" s="43"/>
      <c r="I1514" s="43"/>
      <c r="J1514" s="44"/>
      <c r="K1514" s="41" t="s">
        <v>20</v>
      </c>
      <c r="L1514" s="41" t="s">
        <v>21</v>
      </c>
      <c r="M1514" s="41" t="s">
        <v>22</v>
      </c>
      <c r="N1514" s="41" t="s">
        <v>23</v>
      </c>
      <c r="O1514" s="41" t="s">
        <v>24</v>
      </c>
      <c r="P1514" s="41" t="s">
        <v>25</v>
      </c>
      <c r="Q1514" s="41" t="s">
        <v>26</v>
      </c>
      <c r="R1514" s="45" t="s">
        <v>27</v>
      </c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</row>
    <row r="1515">
      <c r="A1515" s="2"/>
      <c r="B1515" s="52">
        <v>1.0</v>
      </c>
      <c r="C1515" s="53">
        <v>1.004687646E9</v>
      </c>
      <c r="D1515" s="53" t="s">
        <v>158</v>
      </c>
      <c r="E1515" s="53" t="s">
        <v>51</v>
      </c>
      <c r="F1515" s="53" t="s">
        <v>44</v>
      </c>
      <c r="G1515" s="53"/>
      <c r="H1515" s="53"/>
      <c r="I1515" s="55"/>
      <c r="J1515" s="55"/>
      <c r="K1515" s="53" t="s">
        <v>45</v>
      </c>
      <c r="L1515" s="53" t="s">
        <v>112</v>
      </c>
      <c r="M1515" s="53">
        <v>1572.0</v>
      </c>
      <c r="N1515" s="53">
        <v>230.0</v>
      </c>
      <c r="O1515" s="53">
        <v>15.53</v>
      </c>
      <c r="P1515" s="55">
        <f t="shared" ref="P1515:P1524" si="109">N1515*O1515</f>
        <v>3571.9</v>
      </c>
      <c r="Q1515" s="53"/>
      <c r="R1515" s="105">
        <f t="shared" ref="R1515:R1524" si="110">P1515+Q1515</f>
        <v>3571.9</v>
      </c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</row>
    <row r="1516">
      <c r="A1516" s="2"/>
      <c r="B1516" s="52">
        <v>2.0</v>
      </c>
      <c r="C1516" s="53">
        <v>1.004687823E9</v>
      </c>
      <c r="D1516" s="53" t="s">
        <v>158</v>
      </c>
      <c r="E1516" s="53" t="s">
        <v>106</v>
      </c>
      <c r="F1516" s="53" t="s">
        <v>107</v>
      </c>
      <c r="G1516" s="53" t="s">
        <v>109</v>
      </c>
      <c r="H1516" s="53" t="s">
        <v>108</v>
      </c>
      <c r="I1516" s="55"/>
      <c r="J1516" s="55"/>
      <c r="K1516" s="53" t="s">
        <v>33</v>
      </c>
      <c r="L1516" s="53" t="s">
        <v>118</v>
      </c>
      <c r="M1516" s="53">
        <v>1946.0</v>
      </c>
      <c r="N1516" s="53">
        <v>482.0</v>
      </c>
      <c r="O1516" s="53">
        <v>15.53</v>
      </c>
      <c r="P1516" s="55">
        <f t="shared" si="109"/>
        <v>7485.46</v>
      </c>
      <c r="Q1516" s="55"/>
      <c r="R1516" s="105">
        <f t="shared" si="110"/>
        <v>7485.46</v>
      </c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</row>
    <row r="1517">
      <c r="A1517" s="2"/>
      <c r="B1517" s="52">
        <v>3.0</v>
      </c>
      <c r="C1517" s="53">
        <v>1.004688252E9</v>
      </c>
      <c r="D1517" s="53" t="s">
        <v>158</v>
      </c>
      <c r="E1517" s="53" t="s">
        <v>90</v>
      </c>
      <c r="F1517" s="53" t="s">
        <v>83</v>
      </c>
      <c r="G1517" s="53" t="s">
        <v>92</v>
      </c>
      <c r="H1517" s="53" t="s">
        <v>93</v>
      </c>
      <c r="I1517" s="53" t="s">
        <v>91</v>
      </c>
      <c r="J1517" s="53"/>
      <c r="K1517" s="53" t="s">
        <v>33</v>
      </c>
      <c r="L1517" s="53" t="s">
        <v>102</v>
      </c>
      <c r="M1517" s="53">
        <v>2028.0</v>
      </c>
      <c r="N1517" s="53">
        <v>405.0</v>
      </c>
      <c r="O1517" s="53">
        <v>15.53</v>
      </c>
      <c r="P1517" s="55">
        <f t="shared" si="109"/>
        <v>6289.65</v>
      </c>
      <c r="Q1517" s="55"/>
      <c r="R1517" s="105">
        <f t="shared" si="110"/>
        <v>6289.65</v>
      </c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</row>
    <row r="1518">
      <c r="A1518" s="2"/>
      <c r="B1518" s="52">
        <v>4.0</v>
      </c>
      <c r="C1518" s="53">
        <v>1.004688212E9</v>
      </c>
      <c r="D1518" s="53" t="s">
        <v>158</v>
      </c>
      <c r="E1518" s="53" t="s">
        <v>77</v>
      </c>
      <c r="F1518" s="53" t="s">
        <v>78</v>
      </c>
      <c r="G1518" s="53" t="s">
        <v>79</v>
      </c>
      <c r="H1518" s="55"/>
      <c r="I1518" s="55"/>
      <c r="J1518" s="55"/>
      <c r="K1518" s="53" t="s">
        <v>33</v>
      </c>
      <c r="L1518" s="53" t="s">
        <v>124</v>
      </c>
      <c r="M1518" s="53">
        <v>1837.0</v>
      </c>
      <c r="N1518" s="53">
        <v>416.0</v>
      </c>
      <c r="O1518" s="53">
        <v>15.53</v>
      </c>
      <c r="P1518" s="55">
        <f t="shared" si="109"/>
        <v>6460.48</v>
      </c>
      <c r="Q1518" s="55"/>
      <c r="R1518" s="105">
        <f t="shared" si="110"/>
        <v>6460.48</v>
      </c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</row>
    <row r="1519">
      <c r="A1519" s="2"/>
      <c r="B1519" s="52">
        <v>5.0</v>
      </c>
      <c r="C1519" s="53">
        <v>1.004688272E9</v>
      </c>
      <c r="D1519" s="53" t="s">
        <v>158</v>
      </c>
      <c r="E1519" s="53" t="s">
        <v>82</v>
      </c>
      <c r="F1519" s="53" t="s">
        <v>86</v>
      </c>
      <c r="G1519" s="53" t="s">
        <v>87</v>
      </c>
      <c r="H1519" s="53" t="s">
        <v>88</v>
      </c>
      <c r="I1519" s="55"/>
      <c r="J1519" s="55"/>
      <c r="K1519" s="53" t="s">
        <v>80</v>
      </c>
      <c r="L1519" s="53" t="s">
        <v>89</v>
      </c>
      <c r="M1519" s="53">
        <v>2322.0</v>
      </c>
      <c r="N1519" s="53">
        <v>484.0</v>
      </c>
      <c r="O1519" s="53">
        <v>18.28</v>
      </c>
      <c r="P1519" s="55">
        <f t="shared" si="109"/>
        <v>8847.52</v>
      </c>
      <c r="Q1519" s="53">
        <v>930.0</v>
      </c>
      <c r="R1519" s="105">
        <f t="shared" si="110"/>
        <v>9777.52</v>
      </c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</row>
    <row r="1520">
      <c r="A1520" s="2"/>
      <c r="B1520" s="52">
        <v>6.0</v>
      </c>
      <c r="C1520" s="53">
        <v>1.004687938E9</v>
      </c>
      <c r="D1520" s="53" t="s">
        <v>158</v>
      </c>
      <c r="E1520" s="53" t="s">
        <v>55</v>
      </c>
      <c r="F1520" s="53" t="s">
        <v>56</v>
      </c>
      <c r="G1520" s="53" t="s">
        <v>57</v>
      </c>
      <c r="H1520" s="53" t="s">
        <v>58</v>
      </c>
      <c r="I1520" s="53" t="s">
        <v>59</v>
      </c>
      <c r="J1520" s="55"/>
      <c r="K1520" s="53" t="s">
        <v>38</v>
      </c>
      <c r="L1520" s="53" t="s">
        <v>105</v>
      </c>
      <c r="M1520" s="53">
        <v>3644.0</v>
      </c>
      <c r="N1520" s="53">
        <v>572.0</v>
      </c>
      <c r="O1520" s="53">
        <v>19.28</v>
      </c>
      <c r="P1520" s="55">
        <f t="shared" si="109"/>
        <v>11028.16</v>
      </c>
      <c r="Q1520" s="53">
        <v>330.0</v>
      </c>
      <c r="R1520" s="105">
        <f t="shared" si="110"/>
        <v>11358.16</v>
      </c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</row>
    <row r="1521">
      <c r="A1521" s="2"/>
      <c r="B1521" s="52">
        <v>7.0</v>
      </c>
      <c r="C1521" s="53">
        <v>1.004688908E9</v>
      </c>
      <c r="D1521" s="53" t="s">
        <v>159</v>
      </c>
      <c r="E1521" s="53" t="s">
        <v>35</v>
      </c>
      <c r="F1521" s="53" t="s">
        <v>36</v>
      </c>
      <c r="G1521" s="53" t="s">
        <v>40</v>
      </c>
      <c r="H1521" s="53"/>
      <c r="I1521" s="55"/>
      <c r="J1521" s="55"/>
      <c r="K1521" s="53" t="s">
        <v>33</v>
      </c>
      <c r="L1521" s="53" t="s">
        <v>96</v>
      </c>
      <c r="M1521" s="53">
        <v>1981.0</v>
      </c>
      <c r="N1521" s="53">
        <v>150.0</v>
      </c>
      <c r="O1521" s="53">
        <v>15.53</v>
      </c>
      <c r="P1521" s="55">
        <f t="shared" si="109"/>
        <v>2329.5</v>
      </c>
      <c r="Q1521" s="55"/>
      <c r="R1521" s="105">
        <f t="shared" si="110"/>
        <v>2329.5</v>
      </c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</row>
    <row r="1522">
      <c r="A1522" s="2"/>
      <c r="B1522" s="52">
        <v>8.0</v>
      </c>
      <c r="C1522" s="53">
        <v>1.004688601E9</v>
      </c>
      <c r="D1522" s="53" t="s">
        <v>159</v>
      </c>
      <c r="E1522" s="53" t="s">
        <v>51</v>
      </c>
      <c r="F1522" s="53" t="s">
        <v>44</v>
      </c>
      <c r="G1522" s="53"/>
      <c r="H1522" s="53"/>
      <c r="I1522" s="55"/>
      <c r="J1522" s="55"/>
      <c r="K1522" s="53" t="s">
        <v>45</v>
      </c>
      <c r="L1522" s="53" t="s">
        <v>98</v>
      </c>
      <c r="M1522" s="53">
        <v>1494.0</v>
      </c>
      <c r="N1522" s="53">
        <v>230.0</v>
      </c>
      <c r="O1522" s="53">
        <v>15.53</v>
      </c>
      <c r="P1522" s="55">
        <f t="shared" si="109"/>
        <v>3571.9</v>
      </c>
      <c r="Q1522" s="55"/>
      <c r="R1522" s="105">
        <f t="shared" si="110"/>
        <v>3571.9</v>
      </c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</row>
    <row r="1523">
      <c r="A1523" s="2"/>
      <c r="B1523" s="52">
        <v>9.0</v>
      </c>
      <c r="C1523" s="53">
        <v>1.004688941E9</v>
      </c>
      <c r="D1523" s="53" t="s">
        <v>159</v>
      </c>
      <c r="E1523" s="53" t="s">
        <v>42</v>
      </c>
      <c r="F1523" s="53" t="s">
        <v>43</v>
      </c>
      <c r="G1523" s="53" t="s">
        <v>44</v>
      </c>
      <c r="H1523" s="53"/>
      <c r="I1523" s="55"/>
      <c r="J1523" s="55"/>
      <c r="K1523" s="53" t="s">
        <v>45</v>
      </c>
      <c r="L1523" s="53" t="s">
        <v>50</v>
      </c>
      <c r="M1523" s="53">
        <v>1590.0</v>
      </c>
      <c r="N1523" s="53">
        <v>299.0</v>
      </c>
      <c r="O1523" s="53">
        <v>15.53</v>
      </c>
      <c r="P1523" s="55">
        <f t="shared" si="109"/>
        <v>4643.47</v>
      </c>
      <c r="Q1523" s="53"/>
      <c r="R1523" s="105">
        <f t="shared" si="110"/>
        <v>4643.47</v>
      </c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</row>
    <row r="1524">
      <c r="A1524" s="2"/>
      <c r="B1524" s="52">
        <v>10.0</v>
      </c>
      <c r="C1524" s="53">
        <v>1.004689556E9</v>
      </c>
      <c r="D1524" s="53" t="s">
        <v>159</v>
      </c>
      <c r="E1524" s="53" t="s">
        <v>51</v>
      </c>
      <c r="F1524" s="53" t="s">
        <v>44</v>
      </c>
      <c r="G1524" s="55"/>
      <c r="H1524" s="55"/>
      <c r="I1524" s="55"/>
      <c r="J1524" s="55"/>
      <c r="K1524" s="53" t="s">
        <v>45</v>
      </c>
      <c r="L1524" s="53" t="s">
        <v>52</v>
      </c>
      <c r="M1524" s="53">
        <v>1721.0</v>
      </c>
      <c r="N1524" s="53">
        <v>230.0</v>
      </c>
      <c r="O1524" s="53">
        <v>15.53</v>
      </c>
      <c r="P1524" s="55">
        <f t="shared" si="109"/>
        <v>3571.9</v>
      </c>
      <c r="Q1524" s="53"/>
      <c r="R1524" s="105">
        <f t="shared" si="110"/>
        <v>3571.9</v>
      </c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</row>
    <row r="1525">
      <c r="A1525" s="2"/>
      <c r="B1525" s="8"/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5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</row>
    <row r="1526">
      <c r="A1526" s="2"/>
      <c r="B1526" s="67" t="s">
        <v>64</v>
      </c>
      <c r="C1526" s="68"/>
      <c r="D1526" s="69" t="str">
        <f>MONEYTEXT(R1526, "INR")</f>
        <v>Fifty-nine thousand and fifty-nine Indian rupees and ninety-four paise</v>
      </c>
      <c r="E1526" s="68"/>
      <c r="F1526" s="68"/>
      <c r="G1526" s="68"/>
      <c r="H1526" s="68"/>
      <c r="I1526" s="68"/>
      <c r="J1526" s="68"/>
      <c r="K1526" s="68"/>
      <c r="L1526" s="68"/>
      <c r="M1526" s="68"/>
      <c r="N1526" s="70" t="s">
        <v>65</v>
      </c>
      <c r="O1526" s="4"/>
      <c r="P1526" s="96">
        <f t="shared" ref="P1526:R1526" si="111">SUM(P1515:P1524)</f>
        <v>57799.94</v>
      </c>
      <c r="Q1526" s="96">
        <f t="shared" si="111"/>
        <v>1260</v>
      </c>
      <c r="R1526" s="96">
        <f t="shared" si="111"/>
        <v>59059.94</v>
      </c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</row>
    <row r="1527">
      <c r="A1527" s="2"/>
      <c r="B1527" s="67" t="s">
        <v>66</v>
      </c>
      <c r="C1527" s="68"/>
      <c r="D1527" s="68"/>
      <c r="E1527" s="68"/>
      <c r="F1527" s="68"/>
      <c r="G1527" s="68"/>
      <c r="H1527" s="68"/>
      <c r="I1527" s="68"/>
      <c r="J1527" s="68"/>
      <c r="K1527" s="68"/>
      <c r="L1527" s="68"/>
      <c r="M1527" s="68"/>
      <c r="N1527" s="68"/>
      <c r="O1527" s="76"/>
      <c r="P1527" s="97" t="s">
        <v>67</v>
      </c>
      <c r="Q1527" s="31"/>
      <c r="R1527" s="3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</row>
    <row r="1528">
      <c r="A1528" s="2"/>
      <c r="B1528" s="79" t="s">
        <v>68</v>
      </c>
      <c r="P1528" s="27"/>
      <c r="Q1528" s="27"/>
      <c r="R1528" s="83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</row>
    <row r="1529">
      <c r="A1529" s="2"/>
      <c r="B1529" s="79" t="s">
        <v>70</v>
      </c>
      <c r="P1529" s="27"/>
      <c r="Q1529" s="27"/>
      <c r="R1529" s="83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</row>
    <row r="1530">
      <c r="A1530" s="2"/>
      <c r="B1530" s="8"/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5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</row>
    <row r="1531">
      <c r="A1531" s="2"/>
      <c r="B1531" s="8"/>
      <c r="C1531" s="6"/>
      <c r="D1531" s="6"/>
      <c r="E1531" s="6"/>
      <c r="F1531" s="6"/>
      <c r="G1531" s="6"/>
      <c r="H1531" s="6"/>
      <c r="I1531" s="6"/>
      <c r="J1531" s="6"/>
      <c r="K1531" s="19" t="s">
        <v>71</v>
      </c>
      <c r="L1531" s="6"/>
      <c r="M1531" s="6"/>
      <c r="N1531" s="6"/>
      <c r="O1531" s="6"/>
      <c r="P1531" s="9" t="s">
        <v>72</v>
      </c>
      <c r="R1531" s="10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</row>
    <row r="1532">
      <c r="A1532" s="2"/>
      <c r="B1532" s="88"/>
      <c r="C1532" s="34"/>
      <c r="D1532" s="34"/>
      <c r="E1532" s="34"/>
      <c r="F1532" s="34"/>
      <c r="G1532" s="34"/>
      <c r="H1532" s="34"/>
      <c r="I1532" s="34"/>
      <c r="J1532" s="34"/>
      <c r="K1532" s="34"/>
      <c r="L1532" s="34"/>
      <c r="M1532" s="34"/>
      <c r="N1532" s="34"/>
      <c r="O1532" s="34"/>
      <c r="P1532" s="34"/>
      <c r="Q1532" s="34"/>
      <c r="R1532" s="89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</row>
    <row r="1533">
      <c r="A1533" s="2"/>
      <c r="B1533" s="177"/>
      <c r="C1533" s="177"/>
      <c r="D1533" s="177"/>
      <c r="E1533" s="177"/>
      <c r="F1533" s="177"/>
      <c r="G1533" s="177"/>
      <c r="H1533" s="177"/>
      <c r="I1533" s="177"/>
      <c r="J1533" s="177"/>
      <c r="K1533" s="177"/>
      <c r="L1533" s="177"/>
      <c r="M1533" s="177"/>
      <c r="N1533" s="177"/>
      <c r="O1533" s="177"/>
      <c r="P1533" s="177"/>
      <c r="Q1533" s="177"/>
      <c r="R1533" s="177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</row>
    <row r="1534">
      <c r="A1534" s="2"/>
      <c r="B1534" s="177"/>
      <c r="C1534" s="177"/>
      <c r="D1534" s="177"/>
      <c r="E1534" s="177"/>
      <c r="F1534" s="177"/>
      <c r="G1534" s="177"/>
      <c r="H1534" s="177"/>
      <c r="I1534" s="177"/>
      <c r="J1534" s="177"/>
      <c r="K1534" s="177"/>
      <c r="L1534" s="177"/>
      <c r="M1534" s="177"/>
      <c r="N1534" s="177"/>
      <c r="O1534" s="177"/>
      <c r="P1534" s="177"/>
      <c r="Q1534" s="177"/>
      <c r="R1534" s="177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</row>
    <row r="1535">
      <c r="A1535" s="2"/>
      <c r="B1535" s="177"/>
      <c r="C1535" s="177"/>
      <c r="D1535" s="177"/>
      <c r="E1535" s="177"/>
      <c r="F1535" s="177"/>
      <c r="G1535" s="177"/>
      <c r="H1535" s="177"/>
      <c r="I1535" s="177"/>
      <c r="J1535" s="177"/>
      <c r="K1535" s="177"/>
      <c r="L1535" s="177"/>
      <c r="M1535" s="177"/>
      <c r="N1535" s="177"/>
      <c r="O1535" s="177"/>
      <c r="P1535" s="177"/>
      <c r="Q1535" s="177"/>
      <c r="R1535" s="177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</row>
    <row r="1536">
      <c r="A1536" s="2"/>
      <c r="B1536" s="176" t="s">
        <v>1</v>
      </c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5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</row>
    <row r="1537">
      <c r="A1537" s="2"/>
      <c r="B1537" s="8"/>
      <c r="F1537" s="9"/>
      <c r="G1537" s="9"/>
      <c r="H1537" s="9"/>
      <c r="I1537" s="9"/>
      <c r="J1537" s="9" t="s">
        <v>2</v>
      </c>
      <c r="N1537" s="6"/>
      <c r="R1537" s="10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</row>
    <row r="1538">
      <c r="A1538" s="2"/>
      <c r="B1538" s="13"/>
      <c r="F1538" s="9"/>
      <c r="G1538" s="9"/>
      <c r="H1538" s="9"/>
      <c r="I1538" s="9"/>
      <c r="J1538" s="9" t="s">
        <v>3</v>
      </c>
      <c r="N1538" s="6"/>
      <c r="R1538" s="10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</row>
    <row r="1539">
      <c r="A1539" s="2"/>
      <c r="B1539" s="13" t="s">
        <v>4</v>
      </c>
      <c r="R1539" s="10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</row>
    <row r="1540">
      <c r="A1540" s="2"/>
      <c r="B1540" s="16" t="s">
        <v>5</v>
      </c>
      <c r="C1540" s="17" t="s">
        <v>6</v>
      </c>
      <c r="D1540" s="4"/>
      <c r="E1540" s="4"/>
      <c r="F1540" s="4"/>
      <c r="G1540" s="4"/>
      <c r="H1540" s="4"/>
      <c r="I1540" s="4"/>
      <c r="J1540" s="4"/>
      <c r="K1540" s="5"/>
      <c r="L1540" s="18" t="s">
        <v>7</v>
      </c>
      <c r="M1540" s="19">
        <v>59.0</v>
      </c>
      <c r="N1540" s="20"/>
      <c r="O1540" s="4"/>
      <c r="P1540" s="4"/>
      <c r="Q1540" s="4"/>
      <c r="R1540" s="5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</row>
    <row r="1541">
      <c r="A1541" s="2"/>
      <c r="B1541" s="26"/>
      <c r="C1541" s="27" t="s">
        <v>8</v>
      </c>
      <c r="K1541" s="10"/>
      <c r="L1541" s="18" t="s">
        <v>9</v>
      </c>
      <c r="M1541" s="175">
        <v>46058.0</v>
      </c>
      <c r="N1541" s="6"/>
      <c r="R1541" s="10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</row>
    <row r="1542">
      <c r="A1542" s="2"/>
      <c r="B1542" s="16" t="s">
        <v>11</v>
      </c>
      <c r="C1542" s="30" t="s">
        <v>12</v>
      </c>
      <c r="D1542" s="31"/>
      <c r="E1542" s="31"/>
      <c r="F1542" s="31"/>
      <c r="G1542" s="31"/>
      <c r="H1542" s="31"/>
      <c r="I1542" s="31"/>
      <c r="J1542" s="31"/>
      <c r="K1542" s="32"/>
      <c r="L1542" s="18" t="s">
        <v>13</v>
      </c>
      <c r="M1542" s="33" t="s">
        <v>14</v>
      </c>
      <c r="N1542" s="34"/>
      <c r="O1542" s="31"/>
      <c r="P1542" s="31"/>
      <c r="Q1542" s="31"/>
      <c r="R1542" s="3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</row>
    <row r="1543">
      <c r="A1543" s="2"/>
      <c r="B1543" s="8"/>
      <c r="R1543" s="10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</row>
    <row r="1544">
      <c r="A1544" s="2"/>
      <c r="B1544" s="39" t="s">
        <v>15</v>
      </c>
      <c r="C1544" s="40" t="s">
        <v>16</v>
      </c>
      <c r="D1544" s="41" t="s">
        <v>17</v>
      </c>
      <c r="E1544" s="41" t="s">
        <v>18</v>
      </c>
      <c r="F1544" s="42" t="s">
        <v>19</v>
      </c>
      <c r="G1544" s="43"/>
      <c r="H1544" s="43"/>
      <c r="I1544" s="43"/>
      <c r="J1544" s="44"/>
      <c r="K1544" s="41" t="s">
        <v>20</v>
      </c>
      <c r="L1544" s="41" t="s">
        <v>21</v>
      </c>
      <c r="M1544" s="41" t="s">
        <v>22</v>
      </c>
      <c r="N1544" s="41" t="s">
        <v>23</v>
      </c>
      <c r="O1544" s="41" t="s">
        <v>24</v>
      </c>
      <c r="P1544" s="41" t="s">
        <v>25</v>
      </c>
      <c r="Q1544" s="41" t="s">
        <v>26</v>
      </c>
      <c r="R1544" s="45" t="s">
        <v>27</v>
      </c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</row>
    <row r="1545">
      <c r="A1545" s="2"/>
      <c r="B1545" s="52">
        <v>1.0</v>
      </c>
      <c r="C1545" s="53">
        <v>1.004690766E9</v>
      </c>
      <c r="D1545" s="53" t="s">
        <v>159</v>
      </c>
      <c r="E1545" s="53" t="s">
        <v>51</v>
      </c>
      <c r="F1545" s="53" t="s">
        <v>44</v>
      </c>
      <c r="G1545" s="53"/>
      <c r="H1545" s="53"/>
      <c r="I1545" s="55"/>
      <c r="J1545" s="55"/>
      <c r="K1545" s="53" t="s">
        <v>45</v>
      </c>
      <c r="L1545" s="53" t="s">
        <v>123</v>
      </c>
      <c r="M1545" s="53">
        <v>1572.0</v>
      </c>
      <c r="N1545" s="53">
        <v>230.0</v>
      </c>
      <c r="O1545" s="53">
        <v>15.53</v>
      </c>
      <c r="P1545" s="55">
        <f t="shared" ref="P1545:P1554" si="112">N1545*O1545</f>
        <v>3571.9</v>
      </c>
      <c r="Q1545" s="53"/>
      <c r="R1545" s="105">
        <f t="shared" ref="R1545:R1554" si="113">P1545+Q1545</f>
        <v>3571.9</v>
      </c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</row>
    <row r="1546">
      <c r="A1546" s="2"/>
      <c r="B1546" s="52">
        <v>2.0</v>
      </c>
      <c r="C1546" s="53">
        <v>1.004689502E9</v>
      </c>
      <c r="D1546" s="53" t="s">
        <v>159</v>
      </c>
      <c r="E1546" s="53" t="s">
        <v>51</v>
      </c>
      <c r="F1546" s="53" t="s">
        <v>44</v>
      </c>
      <c r="G1546" s="53"/>
      <c r="H1546" s="53"/>
      <c r="I1546" s="55"/>
      <c r="J1546" s="55"/>
      <c r="K1546" s="53" t="s">
        <v>45</v>
      </c>
      <c r="L1546" s="53" t="s">
        <v>112</v>
      </c>
      <c r="M1546" s="53">
        <v>1668.0</v>
      </c>
      <c r="N1546" s="53">
        <v>230.0</v>
      </c>
      <c r="O1546" s="53">
        <v>15.53</v>
      </c>
      <c r="P1546" s="55">
        <f t="shared" si="112"/>
        <v>3571.9</v>
      </c>
      <c r="Q1546" s="55"/>
      <c r="R1546" s="105">
        <f t="shared" si="113"/>
        <v>3571.9</v>
      </c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</row>
    <row r="1547">
      <c r="A1547" s="2"/>
      <c r="B1547" s="52">
        <v>3.0</v>
      </c>
      <c r="C1547" s="53">
        <v>1.004689548E9</v>
      </c>
      <c r="D1547" s="53" t="s">
        <v>159</v>
      </c>
      <c r="E1547" s="53" t="s">
        <v>51</v>
      </c>
      <c r="F1547" s="53" t="s">
        <v>44</v>
      </c>
      <c r="G1547" s="53"/>
      <c r="H1547" s="55"/>
      <c r="I1547" s="55"/>
      <c r="J1547" s="55"/>
      <c r="K1547" s="53" t="s">
        <v>45</v>
      </c>
      <c r="L1547" s="53" t="s">
        <v>150</v>
      </c>
      <c r="M1547" s="53">
        <v>1530.0</v>
      </c>
      <c r="N1547" s="53">
        <v>230.0</v>
      </c>
      <c r="O1547" s="53">
        <v>15.53</v>
      </c>
      <c r="P1547" s="55">
        <f t="shared" si="112"/>
        <v>3571.9</v>
      </c>
      <c r="Q1547" s="55"/>
      <c r="R1547" s="105">
        <f t="shared" si="113"/>
        <v>3571.9</v>
      </c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</row>
    <row r="1548">
      <c r="A1548" s="2"/>
      <c r="B1548" s="52">
        <v>4.0</v>
      </c>
      <c r="C1548" s="53">
        <v>1.004690681E9</v>
      </c>
      <c r="D1548" s="53" t="s">
        <v>159</v>
      </c>
      <c r="E1548" s="53" t="s">
        <v>90</v>
      </c>
      <c r="F1548" s="53" t="s">
        <v>91</v>
      </c>
      <c r="G1548" s="53" t="s">
        <v>83</v>
      </c>
      <c r="H1548" s="55"/>
      <c r="I1548" s="55"/>
      <c r="J1548" s="55"/>
      <c r="K1548" s="53" t="s">
        <v>38</v>
      </c>
      <c r="L1548" s="53" t="s">
        <v>63</v>
      </c>
      <c r="M1548" s="53">
        <v>3329.0</v>
      </c>
      <c r="N1548" s="53">
        <v>216.0</v>
      </c>
      <c r="O1548" s="53">
        <v>19.28</v>
      </c>
      <c r="P1548" s="55">
        <f t="shared" si="112"/>
        <v>4164.48</v>
      </c>
      <c r="Q1548" s="55"/>
      <c r="R1548" s="105">
        <f t="shared" si="113"/>
        <v>4164.48</v>
      </c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</row>
    <row r="1549">
      <c r="A1549" s="2"/>
      <c r="B1549" s="52">
        <v>5.0</v>
      </c>
      <c r="C1549" s="53">
        <v>1.004690424E9</v>
      </c>
      <c r="D1549" s="53" t="s">
        <v>159</v>
      </c>
      <c r="E1549" s="53" t="s">
        <v>55</v>
      </c>
      <c r="F1549" s="53" t="s">
        <v>57</v>
      </c>
      <c r="G1549" s="53" t="s">
        <v>59</v>
      </c>
      <c r="H1549" s="53" t="s">
        <v>58</v>
      </c>
      <c r="I1549" s="55"/>
      <c r="J1549" s="55"/>
      <c r="K1549" s="53" t="s">
        <v>33</v>
      </c>
      <c r="L1549" s="53" t="s">
        <v>104</v>
      </c>
      <c r="M1549" s="53">
        <v>2004.0</v>
      </c>
      <c r="N1549" s="53">
        <v>518.0</v>
      </c>
      <c r="O1549" s="53">
        <v>15.53</v>
      </c>
      <c r="P1549" s="55">
        <f t="shared" si="112"/>
        <v>8044.54</v>
      </c>
      <c r="Q1549" s="55"/>
      <c r="R1549" s="105">
        <f t="shared" si="113"/>
        <v>8044.54</v>
      </c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</row>
    <row r="1550">
      <c r="A1550" s="2"/>
      <c r="B1550" s="52">
        <v>6.0</v>
      </c>
      <c r="C1550" s="53">
        <v>1.004690416E9</v>
      </c>
      <c r="D1550" s="53" t="s">
        <v>159</v>
      </c>
      <c r="E1550" s="53" t="s">
        <v>55</v>
      </c>
      <c r="F1550" s="53" t="s">
        <v>58</v>
      </c>
      <c r="G1550" s="53" t="s">
        <v>103</v>
      </c>
      <c r="H1550" s="53" t="s">
        <v>56</v>
      </c>
      <c r="I1550" s="55"/>
      <c r="J1550" s="55"/>
      <c r="K1550" s="53" t="s">
        <v>38</v>
      </c>
      <c r="L1550" s="53" t="s">
        <v>105</v>
      </c>
      <c r="M1550" s="53">
        <v>3601.0</v>
      </c>
      <c r="N1550" s="53">
        <v>572.0</v>
      </c>
      <c r="O1550" s="53">
        <v>19.28</v>
      </c>
      <c r="P1550" s="55">
        <f t="shared" si="112"/>
        <v>11028.16</v>
      </c>
      <c r="Q1550" s="53">
        <v>330.0</v>
      </c>
      <c r="R1550" s="105">
        <f t="shared" si="113"/>
        <v>11358.16</v>
      </c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</row>
    <row r="1551">
      <c r="A1551" s="2"/>
      <c r="B1551" s="52">
        <v>7.0</v>
      </c>
      <c r="C1551" s="53">
        <v>1.004690218E9</v>
      </c>
      <c r="D1551" s="53" t="s">
        <v>159</v>
      </c>
      <c r="E1551" s="53" t="s">
        <v>61</v>
      </c>
      <c r="F1551" s="53" t="s">
        <v>73</v>
      </c>
      <c r="G1551" s="53" t="s">
        <v>62</v>
      </c>
      <c r="H1551" s="53" t="s">
        <v>75</v>
      </c>
      <c r="I1551" s="55"/>
      <c r="J1551" s="55"/>
      <c r="K1551" s="53" t="s">
        <v>38</v>
      </c>
      <c r="L1551" s="53" t="s">
        <v>110</v>
      </c>
      <c r="M1551" s="53">
        <v>3516.0</v>
      </c>
      <c r="N1551" s="53">
        <v>560.0</v>
      </c>
      <c r="O1551" s="53">
        <v>19.28</v>
      </c>
      <c r="P1551" s="55">
        <f t="shared" si="112"/>
        <v>10796.8</v>
      </c>
      <c r="Q1551" s="53">
        <v>1075.0</v>
      </c>
      <c r="R1551" s="105">
        <f t="shared" si="113"/>
        <v>11871.8</v>
      </c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</row>
    <row r="1552">
      <c r="A1552" s="2"/>
      <c r="B1552" s="52">
        <v>8.0</v>
      </c>
      <c r="C1552" s="53">
        <v>1.004690671E9</v>
      </c>
      <c r="D1552" s="53" t="s">
        <v>159</v>
      </c>
      <c r="E1552" s="53" t="s">
        <v>100</v>
      </c>
      <c r="F1552" s="53" t="s">
        <v>87</v>
      </c>
      <c r="G1552" s="53" t="s">
        <v>84</v>
      </c>
      <c r="H1552" s="53"/>
      <c r="I1552" s="55"/>
      <c r="J1552" s="55"/>
      <c r="K1552" s="53" t="s">
        <v>38</v>
      </c>
      <c r="L1552" s="53" t="s">
        <v>95</v>
      </c>
      <c r="M1552" s="53">
        <v>3320.0</v>
      </c>
      <c r="N1552" s="53">
        <v>428.0</v>
      </c>
      <c r="O1552" s="53">
        <v>19.28</v>
      </c>
      <c r="P1552" s="55">
        <f t="shared" si="112"/>
        <v>8251.84</v>
      </c>
      <c r="Q1552" s="55"/>
      <c r="R1552" s="105">
        <f t="shared" si="113"/>
        <v>8251.84</v>
      </c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</row>
    <row r="1553">
      <c r="A1553" s="2"/>
      <c r="B1553" s="52">
        <v>9.0</v>
      </c>
      <c r="C1553" s="53">
        <v>1.004690552E9</v>
      </c>
      <c r="D1553" s="53" t="s">
        <v>159</v>
      </c>
      <c r="E1553" s="53" t="s">
        <v>82</v>
      </c>
      <c r="F1553" s="53" t="s">
        <v>86</v>
      </c>
      <c r="G1553" s="53" t="s">
        <v>88</v>
      </c>
      <c r="H1553" s="53"/>
      <c r="I1553" s="55"/>
      <c r="J1553" s="55"/>
      <c r="K1553" s="53" t="s">
        <v>38</v>
      </c>
      <c r="L1553" s="53" t="s">
        <v>101</v>
      </c>
      <c r="M1553" s="53">
        <v>3483.0</v>
      </c>
      <c r="N1553" s="53">
        <v>484.0</v>
      </c>
      <c r="O1553" s="53">
        <v>19.28</v>
      </c>
      <c r="P1553" s="55">
        <f t="shared" si="112"/>
        <v>9331.52</v>
      </c>
      <c r="Q1553" s="53">
        <v>930.0</v>
      </c>
      <c r="R1553" s="105">
        <f t="shared" si="113"/>
        <v>10261.52</v>
      </c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</row>
    <row r="1554">
      <c r="A1554" s="2"/>
      <c r="B1554" s="52">
        <v>10.0</v>
      </c>
      <c r="C1554" s="53"/>
      <c r="D1554" s="54"/>
      <c r="E1554" s="53"/>
      <c r="F1554" s="53"/>
      <c r="G1554" s="55"/>
      <c r="H1554" s="55"/>
      <c r="I1554" s="55"/>
      <c r="J1554" s="55"/>
      <c r="K1554" s="53"/>
      <c r="L1554" s="53"/>
      <c r="M1554" s="53"/>
      <c r="N1554" s="53"/>
      <c r="O1554" s="53"/>
      <c r="P1554" s="55">
        <f t="shared" si="112"/>
        <v>0</v>
      </c>
      <c r="Q1554" s="53"/>
      <c r="R1554" s="105">
        <f t="shared" si="113"/>
        <v>0</v>
      </c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</row>
    <row r="1555">
      <c r="A1555" s="2"/>
      <c r="B1555" s="8"/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5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</row>
    <row r="1556">
      <c r="A1556" s="2"/>
      <c r="B1556" s="67" t="s">
        <v>64</v>
      </c>
      <c r="C1556" s="68"/>
      <c r="D1556" s="69" t="str">
        <f>MONEYTEXT(R1556, "INR")</f>
        <v/>
      </c>
      <c r="E1556" s="68"/>
      <c r="F1556" s="68"/>
      <c r="G1556" s="68"/>
      <c r="H1556" s="68"/>
      <c r="I1556" s="68"/>
      <c r="J1556" s="68"/>
      <c r="K1556" s="68"/>
      <c r="L1556" s="68"/>
      <c r="M1556" s="68"/>
      <c r="N1556" s="70" t="s">
        <v>65</v>
      </c>
      <c r="O1556" s="4"/>
      <c r="P1556" s="96">
        <f t="shared" ref="P1556:R1556" si="114">SUM(P1545:P1554)</f>
        <v>62333.04</v>
      </c>
      <c r="Q1556" s="96">
        <f t="shared" si="114"/>
        <v>2335</v>
      </c>
      <c r="R1556" s="96">
        <f t="shared" si="114"/>
        <v>64668.04</v>
      </c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</row>
    <row r="1557">
      <c r="A1557" s="2"/>
      <c r="B1557" s="67" t="s">
        <v>66</v>
      </c>
      <c r="C1557" s="68"/>
      <c r="D1557" s="68"/>
      <c r="E1557" s="68"/>
      <c r="F1557" s="68"/>
      <c r="G1557" s="68"/>
      <c r="H1557" s="68"/>
      <c r="I1557" s="68"/>
      <c r="J1557" s="68"/>
      <c r="K1557" s="68"/>
      <c r="L1557" s="68"/>
      <c r="M1557" s="68"/>
      <c r="N1557" s="68"/>
      <c r="O1557" s="76"/>
      <c r="P1557" s="97" t="s">
        <v>67</v>
      </c>
      <c r="Q1557" s="31"/>
      <c r="R1557" s="3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</row>
    <row r="1558">
      <c r="A1558" s="2"/>
      <c r="B1558" s="79" t="s">
        <v>68</v>
      </c>
      <c r="P1558" s="27"/>
      <c r="Q1558" s="27"/>
      <c r="R1558" s="83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</row>
    <row r="1559">
      <c r="A1559" s="2"/>
      <c r="B1559" s="79" t="s">
        <v>70</v>
      </c>
      <c r="P1559" s="27"/>
      <c r="Q1559" s="27"/>
      <c r="R1559" s="83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</row>
    <row r="1560">
      <c r="A1560" s="2"/>
      <c r="B1560" s="8"/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5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</row>
    <row r="1561">
      <c r="A1561" s="2"/>
      <c r="B1561" s="8"/>
      <c r="C1561" s="6"/>
      <c r="D1561" s="6"/>
      <c r="E1561" s="6"/>
      <c r="F1561" s="6"/>
      <c r="G1561" s="6"/>
      <c r="H1561" s="6"/>
      <c r="I1561" s="6"/>
      <c r="J1561" s="6"/>
      <c r="K1561" s="19" t="s">
        <v>71</v>
      </c>
      <c r="L1561" s="6"/>
      <c r="M1561" s="6"/>
      <c r="N1561" s="6"/>
      <c r="O1561" s="6"/>
      <c r="P1561" s="9" t="s">
        <v>72</v>
      </c>
      <c r="R1561" s="10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</row>
    <row r="1562">
      <c r="A1562" s="2"/>
      <c r="B1562" s="88"/>
      <c r="C1562" s="34"/>
      <c r="D1562" s="34"/>
      <c r="E1562" s="34"/>
      <c r="F1562" s="34"/>
      <c r="G1562" s="34"/>
      <c r="H1562" s="34"/>
      <c r="I1562" s="34"/>
      <c r="J1562" s="34"/>
      <c r="K1562" s="34"/>
      <c r="L1562" s="34"/>
      <c r="M1562" s="34"/>
      <c r="N1562" s="34"/>
      <c r="O1562" s="34"/>
      <c r="P1562" s="34"/>
      <c r="Q1562" s="34"/>
      <c r="R1562" s="89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</row>
    <row r="1563">
      <c r="A1563" s="2"/>
      <c r="B1563" s="177"/>
      <c r="C1563" s="177"/>
      <c r="D1563" s="177"/>
      <c r="E1563" s="177"/>
      <c r="F1563" s="177"/>
      <c r="G1563" s="177"/>
      <c r="H1563" s="177"/>
      <c r="I1563" s="177"/>
      <c r="J1563" s="177"/>
      <c r="K1563" s="177"/>
      <c r="L1563" s="177"/>
      <c r="M1563" s="177"/>
      <c r="N1563" s="177"/>
      <c r="O1563" s="177"/>
      <c r="P1563" s="177"/>
      <c r="Q1563" s="177"/>
      <c r="R1563" s="177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</row>
    <row r="1564">
      <c r="A1564" s="2"/>
      <c r="B1564" s="177"/>
      <c r="C1564" s="177"/>
      <c r="D1564" s="177"/>
      <c r="E1564" s="177"/>
      <c r="F1564" s="177"/>
      <c r="G1564" s="177"/>
      <c r="H1564" s="177"/>
      <c r="I1564" s="177"/>
      <c r="J1564" s="177"/>
      <c r="K1564" s="177"/>
      <c r="L1564" s="177"/>
      <c r="M1564" s="177"/>
      <c r="N1564" s="177"/>
      <c r="O1564" s="177"/>
      <c r="P1564" s="177"/>
      <c r="Q1564" s="177"/>
      <c r="R1564" s="177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</row>
    <row r="1565">
      <c r="A1565" s="2"/>
      <c r="B1565" s="177"/>
      <c r="C1565" s="177"/>
      <c r="D1565" s="177"/>
      <c r="E1565" s="177"/>
      <c r="F1565" s="177"/>
      <c r="G1565" s="177"/>
      <c r="H1565" s="177"/>
      <c r="I1565" s="177"/>
      <c r="J1565" s="177"/>
      <c r="K1565" s="177"/>
      <c r="L1565" s="177"/>
      <c r="M1565" s="177"/>
      <c r="N1565" s="177"/>
      <c r="O1565" s="177"/>
      <c r="P1565" s="177"/>
      <c r="Q1565" s="177"/>
      <c r="R1565" s="177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</row>
    <row r="1566">
      <c r="A1566" s="2"/>
      <c r="B1566" s="176" t="s">
        <v>1</v>
      </c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5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</row>
    <row r="1567">
      <c r="A1567" s="2"/>
      <c r="B1567" s="8"/>
      <c r="F1567" s="9"/>
      <c r="G1567" s="9"/>
      <c r="H1567" s="9"/>
      <c r="I1567" s="9"/>
      <c r="J1567" s="9" t="s">
        <v>2</v>
      </c>
      <c r="N1567" s="6"/>
      <c r="R1567" s="10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</row>
    <row r="1568">
      <c r="A1568" s="2"/>
      <c r="B1568" s="13"/>
      <c r="F1568" s="9"/>
      <c r="G1568" s="9"/>
      <c r="H1568" s="9"/>
      <c r="I1568" s="9"/>
      <c r="J1568" s="9" t="s">
        <v>3</v>
      </c>
      <c r="N1568" s="6"/>
      <c r="R1568" s="10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</row>
    <row r="1569">
      <c r="A1569" s="2"/>
      <c r="B1569" s="13" t="s">
        <v>4</v>
      </c>
      <c r="R1569" s="10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</row>
    <row r="1570">
      <c r="A1570" s="2"/>
      <c r="B1570" s="16" t="s">
        <v>5</v>
      </c>
      <c r="C1570" s="17" t="s">
        <v>6</v>
      </c>
      <c r="D1570" s="4"/>
      <c r="E1570" s="4"/>
      <c r="F1570" s="4"/>
      <c r="G1570" s="4"/>
      <c r="H1570" s="4"/>
      <c r="I1570" s="4"/>
      <c r="J1570" s="4"/>
      <c r="K1570" s="5"/>
      <c r="L1570" s="18" t="s">
        <v>7</v>
      </c>
      <c r="M1570" s="19">
        <v>60.0</v>
      </c>
      <c r="N1570" s="20"/>
      <c r="O1570" s="4"/>
      <c r="P1570" s="4"/>
      <c r="Q1570" s="4"/>
      <c r="R1570" s="5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</row>
    <row r="1571">
      <c r="A1571" s="2"/>
      <c r="B1571" s="26"/>
      <c r="C1571" s="27" t="s">
        <v>8</v>
      </c>
      <c r="K1571" s="10"/>
      <c r="L1571" s="18" t="s">
        <v>9</v>
      </c>
      <c r="M1571" s="175">
        <v>46058.0</v>
      </c>
      <c r="N1571" s="6"/>
      <c r="R1571" s="10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</row>
    <row r="1572">
      <c r="A1572" s="2"/>
      <c r="B1572" s="16" t="s">
        <v>11</v>
      </c>
      <c r="C1572" s="30" t="s">
        <v>12</v>
      </c>
      <c r="D1572" s="31"/>
      <c r="E1572" s="31"/>
      <c r="F1572" s="31"/>
      <c r="G1572" s="31"/>
      <c r="H1572" s="31"/>
      <c r="I1572" s="31"/>
      <c r="J1572" s="31"/>
      <c r="K1572" s="32"/>
      <c r="L1572" s="18" t="s">
        <v>13</v>
      </c>
      <c r="M1572" s="33" t="s">
        <v>14</v>
      </c>
      <c r="N1572" s="34"/>
      <c r="O1572" s="31"/>
      <c r="P1572" s="31"/>
      <c r="Q1572" s="31"/>
      <c r="R1572" s="3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</row>
    <row r="1573">
      <c r="A1573" s="2"/>
      <c r="B1573" s="8"/>
      <c r="R1573" s="10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</row>
    <row r="1574">
      <c r="A1574" s="2"/>
      <c r="B1574" s="39" t="s">
        <v>15</v>
      </c>
      <c r="C1574" s="40" t="s">
        <v>16</v>
      </c>
      <c r="D1574" s="41" t="s">
        <v>17</v>
      </c>
      <c r="E1574" s="41" t="s">
        <v>18</v>
      </c>
      <c r="F1574" s="42" t="s">
        <v>19</v>
      </c>
      <c r="G1574" s="43"/>
      <c r="H1574" s="43"/>
      <c r="I1574" s="43"/>
      <c r="J1574" s="44"/>
      <c r="K1574" s="41" t="s">
        <v>20</v>
      </c>
      <c r="L1574" s="41" t="s">
        <v>21</v>
      </c>
      <c r="M1574" s="41" t="s">
        <v>22</v>
      </c>
      <c r="N1574" s="41" t="s">
        <v>23</v>
      </c>
      <c r="O1574" s="41" t="s">
        <v>24</v>
      </c>
      <c r="P1574" s="41" t="s">
        <v>25</v>
      </c>
      <c r="Q1574" s="41" t="s">
        <v>26</v>
      </c>
      <c r="R1574" s="45" t="s">
        <v>27</v>
      </c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</row>
    <row r="1575">
      <c r="A1575" s="2"/>
      <c r="B1575" s="52">
        <v>1.0</v>
      </c>
      <c r="C1575" s="53">
        <v>1.004691253E9</v>
      </c>
      <c r="D1575" s="53" t="s">
        <v>160</v>
      </c>
      <c r="E1575" s="53" t="s">
        <v>28</v>
      </c>
      <c r="F1575" s="53" t="s">
        <v>29</v>
      </c>
      <c r="G1575" s="53" t="s">
        <v>30</v>
      </c>
      <c r="H1575" s="53" t="s">
        <v>32</v>
      </c>
      <c r="I1575" s="53" t="s">
        <v>31</v>
      </c>
      <c r="J1575" s="55"/>
      <c r="K1575" s="53" t="s">
        <v>80</v>
      </c>
      <c r="L1575" s="53" t="s">
        <v>34</v>
      </c>
      <c r="M1575" s="53">
        <v>2884.0</v>
      </c>
      <c r="N1575" s="53">
        <v>246.0</v>
      </c>
      <c r="O1575" s="53">
        <v>18.29</v>
      </c>
      <c r="P1575" s="55">
        <f t="shared" ref="P1575:P1584" si="115">N1575*O1575</f>
        <v>4499.34</v>
      </c>
      <c r="Q1575" s="53"/>
      <c r="R1575" s="105">
        <f t="shared" ref="R1575:R1584" si="116">P1575+Q1575</f>
        <v>4499.34</v>
      </c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</row>
    <row r="1576">
      <c r="A1576" s="2"/>
      <c r="B1576" s="52">
        <v>2.0</v>
      </c>
      <c r="C1576" s="53">
        <v>1.004691247E9</v>
      </c>
      <c r="D1576" s="53" t="s">
        <v>160</v>
      </c>
      <c r="E1576" s="53" t="s">
        <v>35</v>
      </c>
      <c r="F1576" s="53" t="s">
        <v>40</v>
      </c>
      <c r="G1576" s="53" t="s">
        <v>36</v>
      </c>
      <c r="H1576" s="53" t="s">
        <v>37</v>
      </c>
      <c r="I1576" s="55"/>
      <c r="J1576" s="55"/>
      <c r="K1576" s="53" t="s">
        <v>38</v>
      </c>
      <c r="L1576" s="53" t="s">
        <v>97</v>
      </c>
      <c r="M1576" s="53">
        <v>3546.0</v>
      </c>
      <c r="N1576" s="53">
        <v>200.0</v>
      </c>
      <c r="O1576" s="53">
        <v>19.28</v>
      </c>
      <c r="P1576" s="55">
        <f t="shared" si="115"/>
        <v>3856</v>
      </c>
      <c r="Q1576" s="55"/>
      <c r="R1576" s="105">
        <f t="shared" si="116"/>
        <v>3856</v>
      </c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</row>
    <row r="1577">
      <c r="A1577" s="2"/>
      <c r="B1577" s="52">
        <v>3.0</v>
      </c>
      <c r="C1577" s="53">
        <v>1.004691881E9</v>
      </c>
      <c r="D1577" s="53" t="s">
        <v>160</v>
      </c>
      <c r="E1577" s="53" t="s">
        <v>47</v>
      </c>
      <c r="F1577" s="53" t="s">
        <v>48</v>
      </c>
      <c r="G1577" s="53" t="s">
        <v>44</v>
      </c>
      <c r="H1577" s="55"/>
      <c r="I1577" s="55"/>
      <c r="J1577" s="55"/>
      <c r="K1577" s="53" t="s">
        <v>45</v>
      </c>
      <c r="L1577" s="53" t="s">
        <v>98</v>
      </c>
      <c r="M1577" s="53">
        <v>1587.0</v>
      </c>
      <c r="N1577" s="53">
        <v>250.0</v>
      </c>
      <c r="O1577" s="53">
        <v>15.53</v>
      </c>
      <c r="P1577" s="55">
        <f t="shared" si="115"/>
        <v>3882.5</v>
      </c>
      <c r="Q1577" s="55"/>
      <c r="R1577" s="105">
        <f t="shared" si="116"/>
        <v>3882.5</v>
      </c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</row>
    <row r="1578">
      <c r="A1578" s="2"/>
      <c r="B1578" s="52">
        <v>4.0</v>
      </c>
      <c r="C1578" s="53">
        <v>1.004691898E9</v>
      </c>
      <c r="D1578" s="53" t="s">
        <v>160</v>
      </c>
      <c r="E1578" s="53" t="s">
        <v>51</v>
      </c>
      <c r="F1578" s="53" t="s">
        <v>44</v>
      </c>
      <c r="G1578" s="53" t="s">
        <v>49</v>
      </c>
      <c r="H1578" s="55"/>
      <c r="I1578" s="55"/>
      <c r="J1578" s="55"/>
      <c r="K1578" s="53" t="s">
        <v>45</v>
      </c>
      <c r="L1578" s="53" t="s">
        <v>50</v>
      </c>
      <c r="M1578" s="53">
        <v>1591.0</v>
      </c>
      <c r="N1578" s="53">
        <v>230.0</v>
      </c>
      <c r="O1578" s="53">
        <v>15.53</v>
      </c>
      <c r="P1578" s="55">
        <f t="shared" si="115"/>
        <v>3571.9</v>
      </c>
      <c r="Q1578" s="55"/>
      <c r="R1578" s="105">
        <f t="shared" si="116"/>
        <v>3571.9</v>
      </c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</row>
    <row r="1579">
      <c r="A1579" s="2"/>
      <c r="B1579" s="52">
        <v>5.0</v>
      </c>
      <c r="C1579" s="53">
        <v>1.004692254E9</v>
      </c>
      <c r="D1579" s="53" t="s">
        <v>160</v>
      </c>
      <c r="E1579" s="53" t="s">
        <v>51</v>
      </c>
      <c r="F1579" s="53" t="s">
        <v>44</v>
      </c>
      <c r="G1579" s="53" t="s">
        <v>49</v>
      </c>
      <c r="H1579" s="55"/>
      <c r="I1579" s="55"/>
      <c r="J1579" s="55"/>
      <c r="K1579" s="53" t="s">
        <v>45</v>
      </c>
      <c r="L1579" s="53" t="s">
        <v>52</v>
      </c>
      <c r="M1579" s="53">
        <v>1647.0</v>
      </c>
      <c r="N1579" s="53">
        <v>230.0</v>
      </c>
      <c r="O1579" s="53">
        <v>15.53</v>
      </c>
      <c r="P1579" s="55">
        <f t="shared" si="115"/>
        <v>3571.9</v>
      </c>
      <c r="Q1579" s="55"/>
      <c r="R1579" s="105">
        <f t="shared" si="116"/>
        <v>3571.9</v>
      </c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</row>
    <row r="1580">
      <c r="A1580" s="2"/>
      <c r="B1580" s="52">
        <v>6.0</v>
      </c>
      <c r="C1580" s="53">
        <v>1.004692907E9</v>
      </c>
      <c r="D1580" s="53" t="s">
        <v>160</v>
      </c>
      <c r="E1580" s="53" t="s">
        <v>51</v>
      </c>
      <c r="F1580" s="53" t="s">
        <v>44</v>
      </c>
      <c r="G1580" s="55"/>
      <c r="H1580" s="55"/>
      <c r="I1580" s="55"/>
      <c r="J1580" s="55"/>
      <c r="K1580" s="53" t="s">
        <v>45</v>
      </c>
      <c r="L1580" s="53" t="s">
        <v>53</v>
      </c>
      <c r="M1580" s="53">
        <v>1884.0</v>
      </c>
      <c r="N1580" s="53">
        <v>230.0</v>
      </c>
      <c r="O1580" s="53">
        <v>15.53</v>
      </c>
      <c r="P1580" s="55">
        <f t="shared" si="115"/>
        <v>3571.9</v>
      </c>
      <c r="Q1580" s="55"/>
      <c r="R1580" s="105">
        <f t="shared" si="116"/>
        <v>3571.9</v>
      </c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</row>
    <row r="1581">
      <c r="A1581" s="2"/>
      <c r="B1581" s="52">
        <v>7.0</v>
      </c>
      <c r="C1581" s="53">
        <v>1.00469225E9</v>
      </c>
      <c r="D1581" s="53" t="s">
        <v>160</v>
      </c>
      <c r="E1581" s="53" t="s">
        <v>51</v>
      </c>
      <c r="F1581" s="53" t="s">
        <v>44</v>
      </c>
      <c r="G1581" s="53"/>
      <c r="H1581" s="53"/>
      <c r="I1581" s="55"/>
      <c r="J1581" s="55"/>
      <c r="K1581" s="53" t="s">
        <v>45</v>
      </c>
      <c r="L1581" s="53" t="s">
        <v>150</v>
      </c>
      <c r="M1581" s="53">
        <v>1721.0</v>
      </c>
      <c r="N1581" s="53">
        <v>230.0</v>
      </c>
      <c r="O1581" s="53">
        <v>15.53</v>
      </c>
      <c r="P1581" s="55">
        <f t="shared" si="115"/>
        <v>3571.9</v>
      </c>
      <c r="Q1581" s="55"/>
      <c r="R1581" s="105">
        <f t="shared" si="116"/>
        <v>3571.9</v>
      </c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</row>
    <row r="1582">
      <c r="A1582" s="2"/>
      <c r="B1582" s="52">
        <v>8.0</v>
      </c>
      <c r="C1582" s="53">
        <v>1.004692745E9</v>
      </c>
      <c r="D1582" s="53" t="s">
        <v>160</v>
      </c>
      <c r="E1582" s="53" t="s">
        <v>106</v>
      </c>
      <c r="F1582" s="53" t="s">
        <v>107</v>
      </c>
      <c r="G1582" s="53" t="s">
        <v>108</v>
      </c>
      <c r="H1582" s="53" t="s">
        <v>109</v>
      </c>
      <c r="I1582" s="55"/>
      <c r="J1582" s="55"/>
      <c r="K1582" s="53" t="s">
        <v>80</v>
      </c>
      <c r="L1582" s="53" t="s">
        <v>118</v>
      </c>
      <c r="M1582" s="53">
        <v>2703.0</v>
      </c>
      <c r="N1582" s="53">
        <v>482.0</v>
      </c>
      <c r="O1582" s="53">
        <v>18.28</v>
      </c>
      <c r="P1582" s="55">
        <f t="shared" si="115"/>
        <v>8810.96</v>
      </c>
      <c r="Q1582" s="53">
        <v>1025.0</v>
      </c>
      <c r="R1582" s="105">
        <f t="shared" si="116"/>
        <v>9835.96</v>
      </c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</row>
    <row r="1583">
      <c r="A1583" s="2"/>
      <c r="B1583" s="52">
        <v>9.0</v>
      </c>
      <c r="C1583" s="53">
        <v>1.004692759E9</v>
      </c>
      <c r="D1583" s="53" t="s">
        <v>160</v>
      </c>
      <c r="E1583" s="53" t="s">
        <v>61</v>
      </c>
      <c r="F1583" s="53" t="s">
        <v>74</v>
      </c>
      <c r="G1583" s="53" t="s">
        <v>73</v>
      </c>
      <c r="H1583" s="53" t="s">
        <v>75</v>
      </c>
      <c r="I1583" s="53" t="s">
        <v>62</v>
      </c>
      <c r="J1583" s="55"/>
      <c r="K1583" s="53" t="s">
        <v>80</v>
      </c>
      <c r="L1583" s="53" t="s">
        <v>76</v>
      </c>
      <c r="M1583" s="53">
        <v>2531.0</v>
      </c>
      <c r="N1583" s="53">
        <v>560.0</v>
      </c>
      <c r="O1583" s="53">
        <v>18.28</v>
      </c>
      <c r="P1583" s="55">
        <f t="shared" si="115"/>
        <v>10236.8</v>
      </c>
      <c r="Q1583" s="53">
        <v>1085.0</v>
      </c>
      <c r="R1583" s="105">
        <f t="shared" si="116"/>
        <v>11321.8</v>
      </c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</row>
    <row r="1584">
      <c r="A1584" s="2"/>
      <c r="B1584" s="52">
        <v>10.0</v>
      </c>
      <c r="C1584" s="53">
        <v>1.004693158E9</v>
      </c>
      <c r="D1584" s="53" t="s">
        <v>160</v>
      </c>
      <c r="E1584" s="53" t="s">
        <v>82</v>
      </c>
      <c r="F1584" s="53" t="s">
        <v>87</v>
      </c>
      <c r="G1584" s="53" t="s">
        <v>83</v>
      </c>
      <c r="H1584" s="53" t="s">
        <v>88</v>
      </c>
      <c r="I1584" s="55"/>
      <c r="J1584" s="55"/>
      <c r="K1584" s="53" t="s">
        <v>80</v>
      </c>
      <c r="L1584" s="53" t="s">
        <v>89</v>
      </c>
      <c r="M1584" s="53">
        <v>2600.0</v>
      </c>
      <c r="N1584" s="53">
        <v>484.0</v>
      </c>
      <c r="O1584" s="53">
        <v>18.28</v>
      </c>
      <c r="P1584" s="55">
        <f t="shared" si="115"/>
        <v>8847.52</v>
      </c>
      <c r="Q1584" s="53">
        <v>930.0</v>
      </c>
      <c r="R1584" s="105">
        <f t="shared" si="116"/>
        <v>9777.52</v>
      </c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</row>
    <row r="1585">
      <c r="A1585" s="2"/>
      <c r="B1585" s="8"/>
      <c r="C1585" s="6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5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</row>
    <row r="1586">
      <c r="A1586" s="2"/>
      <c r="B1586" s="67" t="s">
        <v>64</v>
      </c>
      <c r="C1586" s="68"/>
      <c r="D1586" s="69" t="str">
        <f>MONEYTEXT(R1586, "INR")</f>
        <v>Fifty-seven thousand four hundred sixty Indian rupees and seventy-two paise</v>
      </c>
      <c r="E1586" s="68"/>
      <c r="F1586" s="68"/>
      <c r="G1586" s="68"/>
      <c r="H1586" s="68"/>
      <c r="I1586" s="68"/>
      <c r="J1586" s="68"/>
      <c r="K1586" s="68"/>
      <c r="L1586" s="68"/>
      <c r="M1586" s="68"/>
      <c r="N1586" s="70" t="s">
        <v>65</v>
      </c>
      <c r="O1586" s="4"/>
      <c r="P1586" s="96">
        <f t="shared" ref="P1586:R1586" si="117">SUM(P1575:P1584)</f>
        <v>54420.72</v>
      </c>
      <c r="Q1586" s="96">
        <f t="shared" si="117"/>
        <v>3040</v>
      </c>
      <c r="R1586" s="96">
        <f t="shared" si="117"/>
        <v>57460.72</v>
      </c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</row>
    <row r="1587">
      <c r="A1587" s="2"/>
      <c r="B1587" s="67" t="s">
        <v>66</v>
      </c>
      <c r="C1587" s="68"/>
      <c r="D1587" s="68"/>
      <c r="E1587" s="68"/>
      <c r="F1587" s="68"/>
      <c r="G1587" s="68"/>
      <c r="H1587" s="68"/>
      <c r="I1587" s="68"/>
      <c r="J1587" s="68"/>
      <c r="K1587" s="68"/>
      <c r="L1587" s="68"/>
      <c r="M1587" s="68"/>
      <c r="N1587" s="68"/>
      <c r="O1587" s="76"/>
      <c r="P1587" s="97" t="s">
        <v>67</v>
      </c>
      <c r="Q1587" s="31"/>
      <c r="R1587" s="3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</row>
    <row r="1588">
      <c r="A1588" s="2"/>
      <c r="B1588" s="79" t="s">
        <v>68</v>
      </c>
      <c r="P1588" s="27"/>
      <c r="Q1588" s="27"/>
      <c r="R1588" s="83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</row>
    <row r="1589">
      <c r="A1589" s="2"/>
      <c r="B1589" s="79" t="s">
        <v>70</v>
      </c>
      <c r="P1589" s="27"/>
      <c r="Q1589" s="27"/>
      <c r="R1589" s="83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</row>
    <row r="1590">
      <c r="A1590" s="2"/>
      <c r="B1590" s="8"/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5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</row>
    <row r="1591">
      <c r="A1591" s="2"/>
      <c r="B1591" s="8"/>
      <c r="C1591" s="6"/>
      <c r="D1591" s="6"/>
      <c r="E1591" s="6"/>
      <c r="F1591" s="6"/>
      <c r="G1591" s="6"/>
      <c r="H1591" s="6"/>
      <c r="I1591" s="6"/>
      <c r="J1591" s="6"/>
      <c r="K1591" s="19" t="s">
        <v>71</v>
      </c>
      <c r="L1591" s="6"/>
      <c r="M1591" s="6"/>
      <c r="N1591" s="6"/>
      <c r="O1591" s="6"/>
      <c r="P1591" s="9" t="s">
        <v>72</v>
      </c>
      <c r="R1591" s="10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</row>
    <row r="1592">
      <c r="A1592" s="2"/>
      <c r="B1592" s="88"/>
      <c r="C1592" s="34"/>
      <c r="D1592" s="34"/>
      <c r="E1592" s="34"/>
      <c r="F1592" s="34"/>
      <c r="G1592" s="34"/>
      <c r="H1592" s="34"/>
      <c r="I1592" s="34"/>
      <c r="J1592" s="34"/>
      <c r="K1592" s="34"/>
      <c r="L1592" s="34"/>
      <c r="M1592" s="34"/>
      <c r="N1592" s="34"/>
      <c r="O1592" s="34"/>
      <c r="P1592" s="34"/>
      <c r="Q1592" s="34"/>
      <c r="R1592" s="89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</row>
    <row r="1593">
      <c r="A1593" s="2"/>
      <c r="B1593" s="177"/>
      <c r="C1593" s="177"/>
      <c r="D1593" s="177"/>
      <c r="E1593" s="177"/>
      <c r="F1593" s="177"/>
      <c r="G1593" s="177"/>
      <c r="H1593" s="177"/>
      <c r="I1593" s="177"/>
      <c r="J1593" s="177"/>
      <c r="K1593" s="177"/>
      <c r="L1593" s="177"/>
      <c r="M1593" s="177"/>
      <c r="N1593" s="177"/>
      <c r="O1593" s="177"/>
      <c r="P1593" s="177"/>
      <c r="Q1593" s="177"/>
      <c r="R1593" s="177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</row>
    <row r="1594">
      <c r="A1594" s="2"/>
      <c r="B1594" s="177"/>
      <c r="C1594" s="177"/>
      <c r="D1594" s="177"/>
      <c r="E1594" s="177"/>
      <c r="F1594" s="177"/>
      <c r="G1594" s="177"/>
      <c r="H1594" s="177"/>
      <c r="I1594" s="177"/>
      <c r="J1594" s="177"/>
      <c r="K1594" s="177"/>
      <c r="L1594" s="177"/>
      <c r="M1594" s="177"/>
      <c r="N1594" s="177"/>
      <c r="O1594" s="177"/>
      <c r="P1594" s="177"/>
      <c r="Q1594" s="177"/>
      <c r="R1594" s="177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</row>
    <row r="1595">
      <c r="A1595" s="2"/>
      <c r="B1595" s="177"/>
      <c r="C1595" s="177"/>
      <c r="D1595" s="177"/>
      <c r="E1595" s="177"/>
      <c r="F1595" s="177"/>
      <c r="G1595" s="177"/>
      <c r="H1595" s="177"/>
      <c r="I1595" s="177"/>
      <c r="J1595" s="177"/>
      <c r="K1595" s="177"/>
      <c r="L1595" s="177"/>
      <c r="M1595" s="177"/>
      <c r="N1595" s="177"/>
      <c r="O1595" s="177"/>
      <c r="P1595" s="177"/>
      <c r="Q1595" s="177"/>
      <c r="R1595" s="177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</row>
    <row r="1596">
      <c r="A1596" s="2"/>
      <c r="B1596" s="176" t="s">
        <v>1</v>
      </c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5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</row>
    <row r="1597">
      <c r="A1597" s="2"/>
      <c r="B1597" s="8"/>
      <c r="F1597" s="9"/>
      <c r="G1597" s="9"/>
      <c r="H1597" s="9"/>
      <c r="I1597" s="9"/>
      <c r="J1597" s="9" t="s">
        <v>2</v>
      </c>
      <c r="N1597" s="6"/>
      <c r="R1597" s="10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</row>
    <row r="1598">
      <c r="A1598" s="2"/>
      <c r="B1598" s="13"/>
      <c r="F1598" s="9"/>
      <c r="G1598" s="9"/>
      <c r="H1598" s="9"/>
      <c r="I1598" s="9"/>
      <c r="J1598" s="9" t="s">
        <v>3</v>
      </c>
      <c r="N1598" s="6"/>
      <c r="R1598" s="10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</row>
    <row r="1599">
      <c r="A1599" s="2"/>
      <c r="B1599" s="13"/>
      <c r="R1599" s="10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</row>
    <row r="1600">
      <c r="A1600" s="2"/>
      <c r="B1600" s="16" t="s">
        <v>5</v>
      </c>
      <c r="C1600" s="17" t="s">
        <v>6</v>
      </c>
      <c r="D1600" s="4"/>
      <c r="E1600" s="4"/>
      <c r="F1600" s="4"/>
      <c r="G1600" s="4"/>
      <c r="H1600" s="4"/>
      <c r="I1600" s="4"/>
      <c r="J1600" s="4"/>
      <c r="K1600" s="5"/>
      <c r="L1600" s="18" t="s">
        <v>7</v>
      </c>
      <c r="M1600" s="19">
        <v>61.0</v>
      </c>
      <c r="N1600" s="20"/>
      <c r="O1600" s="4"/>
      <c r="P1600" s="4"/>
      <c r="Q1600" s="4"/>
      <c r="R1600" s="5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</row>
    <row r="1601">
      <c r="A1601" s="2"/>
      <c r="B1601" s="26"/>
      <c r="C1601" s="27" t="s">
        <v>8</v>
      </c>
      <c r="K1601" s="10"/>
      <c r="L1601" s="18" t="s">
        <v>9</v>
      </c>
      <c r="M1601" s="175">
        <v>46058.0</v>
      </c>
      <c r="N1601" s="6"/>
      <c r="R1601" s="10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</row>
    <row r="1602">
      <c r="A1602" s="2"/>
      <c r="B1602" s="16" t="s">
        <v>11</v>
      </c>
      <c r="C1602" s="30" t="s">
        <v>12</v>
      </c>
      <c r="D1602" s="31"/>
      <c r="E1602" s="31"/>
      <c r="F1602" s="31"/>
      <c r="G1602" s="31"/>
      <c r="H1602" s="31"/>
      <c r="I1602" s="31"/>
      <c r="J1602" s="31"/>
      <c r="K1602" s="32"/>
      <c r="L1602" s="18" t="s">
        <v>13</v>
      </c>
      <c r="M1602" s="33" t="s">
        <v>14</v>
      </c>
      <c r="N1602" s="34"/>
      <c r="O1602" s="31"/>
      <c r="P1602" s="31"/>
      <c r="Q1602" s="31"/>
      <c r="R1602" s="3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</row>
    <row r="1603">
      <c r="A1603" s="2"/>
      <c r="B1603" s="8"/>
      <c r="R1603" s="10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</row>
    <row r="1604">
      <c r="A1604" s="2"/>
      <c r="B1604" s="39" t="s">
        <v>15</v>
      </c>
      <c r="C1604" s="40" t="s">
        <v>16</v>
      </c>
      <c r="D1604" s="41" t="s">
        <v>17</v>
      </c>
      <c r="E1604" s="41" t="s">
        <v>18</v>
      </c>
      <c r="F1604" s="42" t="s">
        <v>19</v>
      </c>
      <c r="G1604" s="43"/>
      <c r="H1604" s="43"/>
      <c r="I1604" s="43"/>
      <c r="J1604" s="44"/>
      <c r="K1604" s="41" t="s">
        <v>20</v>
      </c>
      <c r="L1604" s="41" t="s">
        <v>21</v>
      </c>
      <c r="M1604" s="41" t="s">
        <v>22</v>
      </c>
      <c r="N1604" s="41" t="s">
        <v>23</v>
      </c>
      <c r="O1604" s="41" t="s">
        <v>24</v>
      </c>
      <c r="P1604" s="41" t="s">
        <v>25</v>
      </c>
      <c r="Q1604" s="41" t="s">
        <v>26</v>
      </c>
      <c r="R1604" s="45" t="s">
        <v>27</v>
      </c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</row>
    <row r="1605">
      <c r="A1605" s="2"/>
      <c r="B1605" s="52">
        <v>1.0</v>
      </c>
      <c r="C1605" s="53">
        <v>1.004693097E9</v>
      </c>
      <c r="D1605" s="53" t="s">
        <v>160</v>
      </c>
      <c r="E1605" s="53" t="s">
        <v>77</v>
      </c>
      <c r="F1605" s="53" t="s">
        <v>78</v>
      </c>
      <c r="G1605" s="53" t="s">
        <v>116</v>
      </c>
      <c r="H1605" s="53"/>
      <c r="I1605" s="55"/>
      <c r="J1605" s="55"/>
      <c r="K1605" s="53" t="s">
        <v>80</v>
      </c>
      <c r="L1605" s="53" t="s">
        <v>124</v>
      </c>
      <c r="M1605" s="53">
        <v>2700.0</v>
      </c>
      <c r="N1605" s="53">
        <v>266.0</v>
      </c>
      <c r="O1605" s="53">
        <v>18.28</v>
      </c>
      <c r="P1605" s="55">
        <f t="shared" ref="P1605:P1614" si="118">N1605*O1605</f>
        <v>4862.48</v>
      </c>
      <c r="Q1605" s="53"/>
      <c r="R1605" s="105">
        <f t="shared" ref="R1605:R1614" si="119">P1605+Q1605</f>
        <v>4862.48</v>
      </c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</row>
    <row r="1606">
      <c r="A1606" s="2"/>
      <c r="B1606" s="52">
        <v>2.0</v>
      </c>
      <c r="C1606" s="53">
        <v>1.004693087E9</v>
      </c>
      <c r="D1606" s="53" t="s">
        <v>160</v>
      </c>
      <c r="E1606" s="53" t="s">
        <v>77</v>
      </c>
      <c r="F1606" s="53" t="s">
        <v>78</v>
      </c>
      <c r="G1606" s="53" t="s">
        <v>128</v>
      </c>
      <c r="H1606" s="53" t="s">
        <v>79</v>
      </c>
      <c r="I1606" s="55"/>
      <c r="J1606" s="55"/>
      <c r="K1606" s="53" t="s">
        <v>38</v>
      </c>
      <c r="L1606" s="53" t="s">
        <v>81</v>
      </c>
      <c r="M1606" s="53">
        <v>3175.0</v>
      </c>
      <c r="N1606" s="53">
        <v>462.0</v>
      </c>
      <c r="O1606" s="53">
        <v>19.28</v>
      </c>
      <c r="P1606" s="55">
        <f t="shared" si="118"/>
        <v>8907.36</v>
      </c>
      <c r="Q1606" s="53">
        <v>540.0</v>
      </c>
      <c r="R1606" s="105">
        <f t="shared" si="119"/>
        <v>9447.36</v>
      </c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</row>
    <row r="1607">
      <c r="A1607" s="2"/>
      <c r="B1607" s="52">
        <v>3.0</v>
      </c>
      <c r="C1607" s="53">
        <v>1.00469295E9</v>
      </c>
      <c r="D1607" s="53" t="s">
        <v>160</v>
      </c>
      <c r="E1607" s="53" t="s">
        <v>90</v>
      </c>
      <c r="F1607" s="53" t="s">
        <v>93</v>
      </c>
      <c r="G1607" s="53" t="s">
        <v>92</v>
      </c>
      <c r="H1607" s="53" t="s">
        <v>94</v>
      </c>
      <c r="I1607" s="53" t="s">
        <v>83</v>
      </c>
      <c r="J1607" s="55"/>
      <c r="K1607" s="53" t="s">
        <v>38</v>
      </c>
      <c r="L1607" s="53" t="s">
        <v>102</v>
      </c>
      <c r="M1607" s="53">
        <v>3630.0</v>
      </c>
      <c r="N1607" s="53">
        <v>500.0</v>
      </c>
      <c r="O1607" s="53">
        <v>19.28</v>
      </c>
      <c r="P1607" s="55">
        <f t="shared" si="118"/>
        <v>9640</v>
      </c>
      <c r="Q1607" s="53">
        <v>500.0</v>
      </c>
      <c r="R1607" s="105">
        <f t="shared" si="119"/>
        <v>10140</v>
      </c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</row>
    <row r="1608">
      <c r="A1608" s="2"/>
      <c r="B1608" s="52">
        <v>4.0</v>
      </c>
      <c r="C1608" s="53">
        <v>1.004695758E9</v>
      </c>
      <c r="D1608" s="53" t="s">
        <v>161</v>
      </c>
      <c r="E1608" s="53" t="s">
        <v>28</v>
      </c>
      <c r="F1608" s="53" t="s">
        <v>29</v>
      </c>
      <c r="G1608" s="53" t="s">
        <v>30</v>
      </c>
      <c r="H1608" s="53" t="s">
        <v>31</v>
      </c>
      <c r="I1608" s="53" t="s">
        <v>32</v>
      </c>
      <c r="J1608" s="55"/>
      <c r="K1608" s="53" t="s">
        <v>33</v>
      </c>
      <c r="L1608" s="53" t="s">
        <v>34</v>
      </c>
      <c r="M1608" s="53">
        <v>2004.0</v>
      </c>
      <c r="N1608" s="53">
        <v>246.0</v>
      </c>
      <c r="O1608" s="53">
        <v>15.53</v>
      </c>
      <c r="P1608" s="55">
        <f t="shared" si="118"/>
        <v>3820.38</v>
      </c>
      <c r="Q1608" s="55"/>
      <c r="R1608" s="105">
        <f t="shared" si="119"/>
        <v>3820.38</v>
      </c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</row>
    <row r="1609">
      <c r="A1609" s="2"/>
      <c r="B1609" s="52">
        <v>5.0</v>
      </c>
      <c r="C1609" s="53">
        <v>1.004694227E9</v>
      </c>
      <c r="D1609" s="53" t="s">
        <v>161</v>
      </c>
      <c r="E1609" s="53" t="s">
        <v>35</v>
      </c>
      <c r="F1609" s="53" t="s">
        <v>36</v>
      </c>
      <c r="G1609" s="53"/>
      <c r="H1609" s="55"/>
      <c r="I1609" s="55"/>
      <c r="J1609" s="55"/>
      <c r="K1609" s="53" t="s">
        <v>38</v>
      </c>
      <c r="L1609" s="53" t="s">
        <v>96</v>
      </c>
      <c r="M1609" s="53">
        <v>3135.0</v>
      </c>
      <c r="N1609" s="53">
        <v>130.0</v>
      </c>
      <c r="O1609" s="53">
        <v>19.28</v>
      </c>
      <c r="P1609" s="55">
        <f t="shared" si="118"/>
        <v>2506.4</v>
      </c>
      <c r="Q1609" s="55"/>
      <c r="R1609" s="105">
        <f t="shared" si="119"/>
        <v>2506.4</v>
      </c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</row>
    <row r="1610">
      <c r="A1610" s="2"/>
      <c r="B1610" s="52">
        <v>6.0</v>
      </c>
      <c r="C1610" s="53">
        <v>1.0046938E9</v>
      </c>
      <c r="D1610" s="53" t="s">
        <v>161</v>
      </c>
      <c r="E1610" s="53" t="s">
        <v>35</v>
      </c>
      <c r="F1610" s="53" t="s">
        <v>36</v>
      </c>
      <c r="G1610" s="53" t="s">
        <v>37</v>
      </c>
      <c r="H1610" s="55"/>
      <c r="I1610" s="55"/>
      <c r="J1610" s="55"/>
      <c r="K1610" s="53" t="s">
        <v>38</v>
      </c>
      <c r="L1610" s="53" t="s">
        <v>97</v>
      </c>
      <c r="M1610" s="53">
        <v>3523.0</v>
      </c>
      <c r="N1610" s="53">
        <v>200.0</v>
      </c>
      <c r="O1610" s="53">
        <v>19.28</v>
      </c>
      <c r="P1610" s="55">
        <f t="shared" si="118"/>
        <v>3856</v>
      </c>
      <c r="Q1610" s="55"/>
      <c r="R1610" s="105">
        <f t="shared" si="119"/>
        <v>3856</v>
      </c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</row>
    <row r="1611">
      <c r="A1611" s="2"/>
      <c r="B1611" s="52">
        <v>7.0</v>
      </c>
      <c r="C1611" s="53">
        <v>1.004694258E9</v>
      </c>
      <c r="D1611" s="53" t="s">
        <v>161</v>
      </c>
      <c r="E1611" s="53" t="s">
        <v>35</v>
      </c>
      <c r="F1611" s="53" t="s">
        <v>36</v>
      </c>
      <c r="G1611" s="53" t="s">
        <v>40</v>
      </c>
      <c r="H1611" s="53"/>
      <c r="I1611" s="55"/>
      <c r="J1611" s="55"/>
      <c r="K1611" s="53" t="s">
        <v>80</v>
      </c>
      <c r="L1611" s="53" t="s">
        <v>41</v>
      </c>
      <c r="M1611" s="53">
        <v>2773.0</v>
      </c>
      <c r="N1611" s="53">
        <v>150.0</v>
      </c>
      <c r="O1611" s="53">
        <v>18.28</v>
      </c>
      <c r="P1611" s="55">
        <f t="shared" si="118"/>
        <v>2742</v>
      </c>
      <c r="Q1611" s="55"/>
      <c r="R1611" s="105">
        <f t="shared" si="119"/>
        <v>2742</v>
      </c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</row>
    <row r="1612">
      <c r="A1612" s="2"/>
      <c r="B1612" s="52">
        <v>8.0</v>
      </c>
      <c r="C1612" s="53">
        <v>1.004695025E9</v>
      </c>
      <c r="D1612" s="53" t="s">
        <v>161</v>
      </c>
      <c r="E1612" s="53" t="s">
        <v>51</v>
      </c>
      <c r="F1612" s="53" t="s">
        <v>44</v>
      </c>
      <c r="G1612" s="53"/>
      <c r="H1612" s="53"/>
      <c r="I1612" s="55"/>
      <c r="J1612" s="55"/>
      <c r="K1612" s="53" t="s">
        <v>45</v>
      </c>
      <c r="L1612" s="53" t="s">
        <v>112</v>
      </c>
      <c r="M1612" s="53">
        <v>1425.0</v>
      </c>
      <c r="N1612" s="53">
        <v>230.0</v>
      </c>
      <c r="O1612" s="53">
        <v>15.53</v>
      </c>
      <c r="P1612" s="55">
        <f t="shared" si="118"/>
        <v>3571.9</v>
      </c>
      <c r="Q1612" s="55"/>
      <c r="R1612" s="105">
        <f t="shared" si="119"/>
        <v>3571.9</v>
      </c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</row>
    <row r="1613">
      <c r="A1613" s="2"/>
      <c r="B1613" s="52">
        <v>9.0</v>
      </c>
      <c r="C1613" s="53">
        <v>1.004694712E9</v>
      </c>
      <c r="D1613" s="53" t="s">
        <v>161</v>
      </c>
      <c r="E1613" s="53" t="s">
        <v>51</v>
      </c>
      <c r="F1613" s="53" t="s">
        <v>44</v>
      </c>
      <c r="G1613" s="55"/>
      <c r="H1613" s="53"/>
      <c r="I1613" s="55"/>
      <c r="J1613" s="55"/>
      <c r="K1613" s="53" t="s">
        <v>45</v>
      </c>
      <c r="L1613" s="53" t="s">
        <v>54</v>
      </c>
      <c r="M1613" s="53">
        <v>1726.0</v>
      </c>
      <c r="N1613" s="53">
        <v>230.0</v>
      </c>
      <c r="O1613" s="53">
        <v>15.53</v>
      </c>
      <c r="P1613" s="55">
        <f t="shared" si="118"/>
        <v>3571.9</v>
      </c>
      <c r="Q1613" s="53"/>
      <c r="R1613" s="105">
        <f t="shared" si="119"/>
        <v>3571.9</v>
      </c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</row>
    <row r="1614">
      <c r="A1614" s="2"/>
      <c r="B1614" s="52">
        <v>10.0</v>
      </c>
      <c r="C1614" s="53">
        <v>1.004694618E9</v>
      </c>
      <c r="D1614" s="53" t="s">
        <v>161</v>
      </c>
      <c r="E1614" s="53" t="s">
        <v>42</v>
      </c>
      <c r="F1614" s="53" t="s">
        <v>44</v>
      </c>
      <c r="G1614" s="53" t="s">
        <v>43</v>
      </c>
      <c r="H1614" s="55"/>
      <c r="I1614" s="55"/>
      <c r="J1614" s="55"/>
      <c r="K1614" s="53" t="s">
        <v>45</v>
      </c>
      <c r="L1614" s="53" t="s">
        <v>98</v>
      </c>
      <c r="M1614" s="53">
        <v>1862.0</v>
      </c>
      <c r="N1614" s="53">
        <v>299.0</v>
      </c>
      <c r="O1614" s="53">
        <v>15.53</v>
      </c>
      <c r="P1614" s="55">
        <f t="shared" si="118"/>
        <v>4643.47</v>
      </c>
      <c r="Q1614" s="53"/>
      <c r="R1614" s="105">
        <f t="shared" si="119"/>
        <v>4643.47</v>
      </c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</row>
    <row r="1615">
      <c r="A1615" s="2"/>
      <c r="B1615" s="8"/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5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</row>
    <row r="1616">
      <c r="A1616" s="2"/>
      <c r="B1616" s="67" t="s">
        <v>64</v>
      </c>
      <c r="C1616" s="68"/>
      <c r="D1616" s="69" t="str">
        <f>MONEYTEXT(R1616, "INR")</f>
        <v/>
      </c>
      <c r="E1616" s="68"/>
      <c r="F1616" s="68"/>
      <c r="G1616" s="68"/>
      <c r="H1616" s="68"/>
      <c r="I1616" s="68"/>
      <c r="J1616" s="68"/>
      <c r="K1616" s="68"/>
      <c r="L1616" s="68"/>
      <c r="M1616" s="68"/>
      <c r="N1616" s="70" t="s">
        <v>65</v>
      </c>
      <c r="O1616" s="4"/>
      <c r="P1616" s="96">
        <f t="shared" ref="P1616:R1616" si="120">SUM(P1605:P1614)</f>
        <v>48121.89</v>
      </c>
      <c r="Q1616" s="96">
        <f t="shared" si="120"/>
        <v>1040</v>
      </c>
      <c r="R1616" s="96">
        <f t="shared" si="120"/>
        <v>49161.89</v>
      </c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</row>
    <row r="1617">
      <c r="A1617" s="2"/>
      <c r="B1617" s="67" t="s">
        <v>66</v>
      </c>
      <c r="C1617" s="68"/>
      <c r="D1617" s="68"/>
      <c r="E1617" s="68"/>
      <c r="F1617" s="68"/>
      <c r="G1617" s="68"/>
      <c r="H1617" s="68"/>
      <c r="I1617" s="68"/>
      <c r="J1617" s="68"/>
      <c r="K1617" s="68"/>
      <c r="L1617" s="68"/>
      <c r="M1617" s="68"/>
      <c r="N1617" s="68"/>
      <c r="O1617" s="76"/>
      <c r="P1617" s="97" t="s">
        <v>67</v>
      </c>
      <c r="Q1617" s="31"/>
      <c r="R1617" s="3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</row>
    <row r="1618">
      <c r="A1618" s="2"/>
      <c r="B1618" s="79" t="s">
        <v>68</v>
      </c>
      <c r="P1618" s="27"/>
      <c r="Q1618" s="27"/>
      <c r="R1618" s="83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</row>
    <row r="1619">
      <c r="A1619" s="2"/>
      <c r="B1619" s="79" t="s">
        <v>70</v>
      </c>
      <c r="P1619" s="27"/>
      <c r="Q1619" s="27"/>
      <c r="R1619" s="83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</row>
    <row r="1620">
      <c r="A1620" s="2"/>
      <c r="B1620" s="8"/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5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</row>
    <row r="1621">
      <c r="A1621" s="2"/>
      <c r="B1621" s="8"/>
      <c r="C1621" s="6"/>
      <c r="D1621" s="6"/>
      <c r="E1621" s="6"/>
      <c r="F1621" s="6"/>
      <c r="G1621" s="6"/>
      <c r="H1621" s="6"/>
      <c r="I1621" s="6"/>
      <c r="J1621" s="6"/>
      <c r="K1621" s="19" t="s">
        <v>71</v>
      </c>
      <c r="L1621" s="6"/>
      <c r="M1621" s="6"/>
      <c r="N1621" s="6"/>
      <c r="O1621" s="6"/>
      <c r="P1621" s="9" t="s">
        <v>72</v>
      </c>
      <c r="R1621" s="10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</row>
    <row r="1622">
      <c r="A1622" s="2"/>
      <c r="B1622" s="88"/>
      <c r="C1622" s="34"/>
      <c r="D1622" s="34"/>
      <c r="E1622" s="34"/>
      <c r="F1622" s="34"/>
      <c r="G1622" s="34"/>
      <c r="H1622" s="34"/>
      <c r="I1622" s="34"/>
      <c r="J1622" s="34"/>
      <c r="K1622" s="34"/>
      <c r="L1622" s="34"/>
      <c r="M1622" s="34"/>
      <c r="N1622" s="34"/>
      <c r="O1622" s="34"/>
      <c r="P1622" s="34"/>
      <c r="Q1622" s="34"/>
      <c r="R1622" s="89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</row>
    <row r="1623">
      <c r="A1623" s="2"/>
      <c r="B1623" s="177"/>
      <c r="C1623" s="177"/>
      <c r="D1623" s="177"/>
      <c r="E1623" s="177"/>
      <c r="F1623" s="177"/>
      <c r="G1623" s="177"/>
      <c r="H1623" s="177"/>
      <c r="I1623" s="177"/>
      <c r="J1623" s="177"/>
      <c r="K1623" s="177"/>
      <c r="L1623" s="177"/>
      <c r="M1623" s="177"/>
      <c r="N1623" s="177"/>
      <c r="O1623" s="177"/>
      <c r="P1623" s="177"/>
      <c r="Q1623" s="177"/>
      <c r="R1623" s="177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</row>
    <row r="1624">
      <c r="A1624" s="2"/>
      <c r="B1624" s="177"/>
      <c r="C1624" s="177"/>
      <c r="D1624" s="177"/>
      <c r="E1624" s="177"/>
      <c r="F1624" s="177"/>
      <c r="G1624" s="177"/>
      <c r="H1624" s="177"/>
      <c r="I1624" s="177"/>
      <c r="J1624" s="177"/>
      <c r="K1624" s="177"/>
      <c r="L1624" s="177"/>
      <c r="M1624" s="177"/>
      <c r="N1624" s="177"/>
      <c r="O1624" s="177"/>
      <c r="P1624" s="177"/>
      <c r="Q1624" s="177"/>
      <c r="R1624" s="177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</row>
    <row r="1625">
      <c r="A1625" s="2"/>
      <c r="B1625" s="177"/>
      <c r="C1625" s="177"/>
      <c r="D1625" s="177"/>
      <c r="E1625" s="177"/>
      <c r="F1625" s="177"/>
      <c r="G1625" s="177"/>
      <c r="H1625" s="177"/>
      <c r="I1625" s="177"/>
      <c r="J1625" s="177"/>
      <c r="K1625" s="177"/>
      <c r="L1625" s="177"/>
      <c r="M1625" s="177"/>
      <c r="N1625" s="177"/>
      <c r="O1625" s="177"/>
      <c r="P1625" s="177"/>
      <c r="Q1625" s="177"/>
      <c r="R1625" s="177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</row>
    <row r="1626">
      <c r="A1626" s="2"/>
      <c r="B1626" s="177"/>
      <c r="C1626" s="177"/>
      <c r="D1626" s="177"/>
      <c r="E1626" s="177"/>
      <c r="F1626" s="177"/>
      <c r="G1626" s="177"/>
      <c r="H1626" s="177"/>
      <c r="I1626" s="177"/>
      <c r="J1626" s="177"/>
      <c r="K1626" s="177"/>
      <c r="L1626" s="177"/>
      <c r="M1626" s="177"/>
      <c r="N1626" s="177"/>
      <c r="O1626" s="177"/>
      <c r="P1626" s="177"/>
      <c r="Q1626" s="177"/>
      <c r="R1626" s="177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</row>
    <row r="1627">
      <c r="A1627" s="2"/>
      <c r="B1627" s="176" t="s">
        <v>1</v>
      </c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5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</row>
    <row r="1628">
      <c r="A1628" s="2"/>
      <c r="B1628" s="8"/>
      <c r="F1628" s="9"/>
      <c r="G1628" s="9"/>
      <c r="H1628" s="9"/>
      <c r="I1628" s="9"/>
      <c r="J1628" s="9" t="s">
        <v>2</v>
      </c>
      <c r="N1628" s="6"/>
      <c r="R1628" s="10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</row>
    <row r="1629">
      <c r="A1629" s="2"/>
      <c r="B1629" s="13"/>
      <c r="F1629" s="9"/>
      <c r="G1629" s="9"/>
      <c r="H1629" s="9"/>
      <c r="I1629" s="9"/>
      <c r="J1629" s="9" t="s">
        <v>3</v>
      </c>
      <c r="N1629" s="6"/>
      <c r="R1629" s="10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</row>
    <row r="1630">
      <c r="A1630" s="2"/>
      <c r="B1630" s="13" t="s">
        <v>4</v>
      </c>
      <c r="R1630" s="10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</row>
    <row r="1631">
      <c r="A1631" s="2"/>
      <c r="B1631" s="16" t="s">
        <v>5</v>
      </c>
      <c r="C1631" s="17" t="s">
        <v>6</v>
      </c>
      <c r="D1631" s="4"/>
      <c r="E1631" s="4"/>
      <c r="F1631" s="4"/>
      <c r="G1631" s="4"/>
      <c r="H1631" s="4"/>
      <c r="I1631" s="4"/>
      <c r="J1631" s="4"/>
      <c r="K1631" s="5"/>
      <c r="L1631" s="18" t="s">
        <v>7</v>
      </c>
      <c r="M1631" s="19">
        <v>62.0</v>
      </c>
      <c r="N1631" s="20"/>
      <c r="O1631" s="4"/>
      <c r="P1631" s="4"/>
      <c r="Q1631" s="4"/>
      <c r="R1631" s="5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</row>
    <row r="1632">
      <c r="A1632" s="2"/>
      <c r="B1632" s="26"/>
      <c r="C1632" s="27" t="s">
        <v>8</v>
      </c>
      <c r="K1632" s="10"/>
      <c r="L1632" s="18" t="s">
        <v>9</v>
      </c>
      <c r="M1632" s="175">
        <v>46058.0</v>
      </c>
      <c r="N1632" s="6"/>
      <c r="R1632" s="10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</row>
    <row r="1633">
      <c r="A1633" s="2"/>
      <c r="B1633" s="16" t="s">
        <v>11</v>
      </c>
      <c r="C1633" s="30" t="s">
        <v>12</v>
      </c>
      <c r="D1633" s="31"/>
      <c r="E1633" s="31"/>
      <c r="F1633" s="31"/>
      <c r="G1633" s="31"/>
      <c r="H1633" s="31"/>
      <c r="I1633" s="31"/>
      <c r="J1633" s="31"/>
      <c r="K1633" s="32"/>
      <c r="L1633" s="18" t="s">
        <v>13</v>
      </c>
      <c r="M1633" s="33" t="s">
        <v>14</v>
      </c>
      <c r="N1633" s="34"/>
      <c r="O1633" s="31"/>
      <c r="P1633" s="31"/>
      <c r="Q1633" s="31"/>
      <c r="R1633" s="3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</row>
    <row r="1634">
      <c r="A1634" s="2"/>
      <c r="B1634" s="8"/>
      <c r="R1634" s="10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</row>
    <row r="1635">
      <c r="A1635" s="2"/>
      <c r="B1635" s="39" t="s">
        <v>15</v>
      </c>
      <c r="C1635" s="40" t="s">
        <v>16</v>
      </c>
      <c r="D1635" s="41" t="s">
        <v>17</v>
      </c>
      <c r="E1635" s="41" t="s">
        <v>18</v>
      </c>
      <c r="F1635" s="42" t="s">
        <v>19</v>
      </c>
      <c r="G1635" s="43"/>
      <c r="H1635" s="43"/>
      <c r="I1635" s="43"/>
      <c r="J1635" s="44"/>
      <c r="K1635" s="41" t="s">
        <v>20</v>
      </c>
      <c r="L1635" s="41" t="s">
        <v>21</v>
      </c>
      <c r="M1635" s="41" t="s">
        <v>22</v>
      </c>
      <c r="N1635" s="41" t="s">
        <v>23</v>
      </c>
      <c r="O1635" s="41" t="s">
        <v>24</v>
      </c>
      <c r="P1635" s="41" t="s">
        <v>25</v>
      </c>
      <c r="Q1635" s="41" t="s">
        <v>26</v>
      </c>
      <c r="R1635" s="45" t="s">
        <v>27</v>
      </c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</row>
    <row r="1636">
      <c r="A1636" s="2"/>
      <c r="B1636" s="52">
        <v>1.0</v>
      </c>
      <c r="C1636" s="53">
        <v>1.004695028E9</v>
      </c>
      <c r="D1636" s="53" t="s">
        <v>161</v>
      </c>
      <c r="E1636" s="53" t="s">
        <v>51</v>
      </c>
      <c r="F1636" s="53" t="s">
        <v>49</v>
      </c>
      <c r="G1636" s="53" t="s">
        <v>44</v>
      </c>
      <c r="H1636" s="53"/>
      <c r="I1636" s="55"/>
      <c r="J1636" s="55"/>
      <c r="K1636" s="53" t="s">
        <v>45</v>
      </c>
      <c r="L1636" s="53" t="s">
        <v>50</v>
      </c>
      <c r="M1636" s="53">
        <v>1725.0</v>
      </c>
      <c r="N1636" s="53">
        <v>230.0</v>
      </c>
      <c r="O1636" s="53">
        <v>15.53</v>
      </c>
      <c r="P1636" s="55">
        <f t="shared" ref="P1636:P1645" si="121">N1636*O1636</f>
        <v>3571.9</v>
      </c>
      <c r="Q1636" s="53"/>
      <c r="R1636" s="105">
        <f t="shared" ref="R1636:R1645" si="122">P1636+Q1636</f>
        <v>3571.9</v>
      </c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</row>
    <row r="1637">
      <c r="A1637" s="2"/>
      <c r="B1637" s="52">
        <v>2.0</v>
      </c>
      <c r="C1637" s="53">
        <v>1.004695035E9</v>
      </c>
      <c r="D1637" s="53" t="s">
        <v>161</v>
      </c>
      <c r="E1637" s="53" t="s">
        <v>51</v>
      </c>
      <c r="F1637" s="53" t="s">
        <v>44</v>
      </c>
      <c r="G1637" s="53"/>
      <c r="H1637" s="53"/>
      <c r="I1637" s="55"/>
      <c r="J1637" s="55"/>
      <c r="K1637" s="180" t="s">
        <v>45</v>
      </c>
      <c r="L1637" s="53" t="s">
        <v>52</v>
      </c>
      <c r="M1637" s="53">
        <v>1643.0</v>
      </c>
      <c r="N1637" s="53">
        <v>230.0</v>
      </c>
      <c r="O1637" s="53">
        <v>15.53</v>
      </c>
      <c r="P1637" s="55">
        <f t="shared" si="121"/>
        <v>3571.9</v>
      </c>
      <c r="Q1637" s="55"/>
      <c r="R1637" s="105">
        <f t="shared" si="122"/>
        <v>3571.9</v>
      </c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</row>
    <row r="1638">
      <c r="A1638" s="2"/>
      <c r="B1638" s="52">
        <v>3.0</v>
      </c>
      <c r="C1638" s="53">
        <v>1.004695537E9</v>
      </c>
      <c r="D1638" s="53" t="s">
        <v>161</v>
      </c>
      <c r="E1638" s="53" t="s">
        <v>55</v>
      </c>
      <c r="F1638" s="53" t="s">
        <v>57</v>
      </c>
      <c r="G1638" s="53" t="s">
        <v>59</v>
      </c>
      <c r="H1638" s="53" t="s">
        <v>58</v>
      </c>
      <c r="I1638" s="55"/>
      <c r="J1638" s="55"/>
      <c r="K1638" s="53" t="s">
        <v>80</v>
      </c>
      <c r="L1638" s="53" t="s">
        <v>85</v>
      </c>
      <c r="M1638" s="53">
        <v>2807.0</v>
      </c>
      <c r="N1638" s="53">
        <v>518.0</v>
      </c>
      <c r="O1638" s="53">
        <v>18.28</v>
      </c>
      <c r="P1638" s="55">
        <f t="shared" si="121"/>
        <v>9469.04</v>
      </c>
      <c r="Q1638" s="55"/>
      <c r="R1638" s="105">
        <f t="shared" si="122"/>
        <v>9469.04</v>
      </c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</row>
    <row r="1639">
      <c r="A1639" s="2"/>
      <c r="B1639" s="52">
        <v>4.0</v>
      </c>
      <c r="C1639" s="53">
        <v>1.004695532E9</v>
      </c>
      <c r="D1639" s="53" t="s">
        <v>161</v>
      </c>
      <c r="E1639" s="53" t="s">
        <v>55</v>
      </c>
      <c r="F1639" s="53" t="s">
        <v>103</v>
      </c>
      <c r="G1639" s="53" t="s">
        <v>56</v>
      </c>
      <c r="H1639" s="53" t="s">
        <v>58</v>
      </c>
      <c r="I1639" s="55"/>
      <c r="J1639" s="55"/>
      <c r="K1639" s="53" t="s">
        <v>38</v>
      </c>
      <c r="L1639" s="53" t="s">
        <v>60</v>
      </c>
      <c r="M1639" s="53">
        <v>3267.0</v>
      </c>
      <c r="N1639" s="53">
        <v>572.0</v>
      </c>
      <c r="O1639" s="53">
        <v>19.28</v>
      </c>
      <c r="P1639" s="55">
        <f t="shared" si="121"/>
        <v>11028.16</v>
      </c>
      <c r="Q1639" s="53">
        <v>330.0</v>
      </c>
      <c r="R1639" s="105">
        <f t="shared" si="122"/>
        <v>11358.16</v>
      </c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</row>
    <row r="1640">
      <c r="A1640" s="2"/>
      <c r="B1640" s="52">
        <v>5.0</v>
      </c>
      <c r="C1640" s="53">
        <v>1.004695344E9</v>
      </c>
      <c r="D1640" s="53" t="s">
        <v>161</v>
      </c>
      <c r="E1640" s="53" t="s">
        <v>61</v>
      </c>
      <c r="F1640" s="53" t="s">
        <v>73</v>
      </c>
      <c r="G1640" s="53" t="s">
        <v>62</v>
      </c>
      <c r="H1640" s="53" t="s">
        <v>75</v>
      </c>
      <c r="I1640" s="53" t="s">
        <v>74</v>
      </c>
      <c r="J1640" s="55"/>
      <c r="K1640" s="53" t="s">
        <v>80</v>
      </c>
      <c r="L1640" s="53" t="s">
        <v>76</v>
      </c>
      <c r="M1640" s="53">
        <v>2789.0</v>
      </c>
      <c r="N1640" s="53">
        <v>560.0</v>
      </c>
      <c r="O1640" s="53">
        <v>18.28</v>
      </c>
      <c r="P1640" s="55">
        <f t="shared" si="121"/>
        <v>10236.8</v>
      </c>
      <c r="Q1640" s="53">
        <v>1085.0</v>
      </c>
      <c r="R1640" s="105">
        <f t="shared" si="122"/>
        <v>11321.8</v>
      </c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</row>
    <row r="1641">
      <c r="A1641" s="2"/>
      <c r="B1641" s="52">
        <v>6.0</v>
      </c>
      <c r="C1641" s="53">
        <v>1.004695798E9</v>
      </c>
      <c r="D1641" s="53" t="s">
        <v>161</v>
      </c>
      <c r="E1641" s="53" t="s">
        <v>100</v>
      </c>
      <c r="F1641" s="53" t="s">
        <v>83</v>
      </c>
      <c r="G1641" s="53" t="s">
        <v>87</v>
      </c>
      <c r="H1641" s="53" t="s">
        <v>84</v>
      </c>
      <c r="I1641" s="55"/>
      <c r="J1641" s="55"/>
      <c r="K1641" s="53" t="s">
        <v>38</v>
      </c>
      <c r="L1641" s="53" t="s">
        <v>101</v>
      </c>
      <c r="M1641" s="53">
        <v>3175.0</v>
      </c>
      <c r="N1641" s="53">
        <v>428.0</v>
      </c>
      <c r="O1641" s="53">
        <v>19.28</v>
      </c>
      <c r="P1641" s="55">
        <f t="shared" si="121"/>
        <v>8251.84</v>
      </c>
      <c r="Q1641" s="55"/>
      <c r="R1641" s="105">
        <f t="shared" si="122"/>
        <v>8251.84</v>
      </c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</row>
    <row r="1642">
      <c r="A1642" s="2"/>
      <c r="B1642" s="52">
        <v>7.0</v>
      </c>
      <c r="C1642" s="53">
        <v>1.004695392E9</v>
      </c>
      <c r="D1642" s="53" t="s">
        <v>161</v>
      </c>
      <c r="E1642" s="53" t="s">
        <v>100</v>
      </c>
      <c r="F1642" s="53" t="s">
        <v>83</v>
      </c>
      <c r="G1642" s="53" t="s">
        <v>87</v>
      </c>
      <c r="H1642" s="53" t="s">
        <v>86</v>
      </c>
      <c r="I1642" s="55"/>
      <c r="J1642" s="55"/>
      <c r="K1642" s="53" t="s">
        <v>38</v>
      </c>
      <c r="L1642" s="53" t="s">
        <v>89</v>
      </c>
      <c r="M1642" s="53">
        <v>3746.0</v>
      </c>
      <c r="N1642" s="53">
        <v>428.0</v>
      </c>
      <c r="O1642" s="53">
        <v>19.28</v>
      </c>
      <c r="P1642" s="55">
        <f t="shared" si="121"/>
        <v>8251.84</v>
      </c>
      <c r="Q1642" s="53">
        <v>755.0</v>
      </c>
      <c r="R1642" s="105">
        <f t="shared" si="122"/>
        <v>9006.84</v>
      </c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</row>
    <row r="1643">
      <c r="A1643" s="2"/>
      <c r="B1643" s="52">
        <v>8.0</v>
      </c>
      <c r="C1643" s="53">
        <v>1.004695663E9</v>
      </c>
      <c r="D1643" s="53" t="s">
        <v>161</v>
      </c>
      <c r="E1643" s="53" t="s">
        <v>77</v>
      </c>
      <c r="F1643" s="53" t="s">
        <v>78</v>
      </c>
      <c r="G1643" s="53" t="s">
        <v>79</v>
      </c>
      <c r="H1643" s="53"/>
      <c r="I1643" s="55"/>
      <c r="J1643" s="55"/>
      <c r="K1643" s="53" t="s">
        <v>38</v>
      </c>
      <c r="L1643" s="53" t="s">
        <v>81</v>
      </c>
      <c r="M1643" s="53">
        <v>3516.0</v>
      </c>
      <c r="N1643" s="53">
        <v>416.0</v>
      </c>
      <c r="O1643" s="53">
        <v>19.28</v>
      </c>
      <c r="P1643" s="55">
        <f t="shared" si="121"/>
        <v>8020.48</v>
      </c>
      <c r="Q1643" s="53">
        <v>505.0</v>
      </c>
      <c r="R1643" s="105">
        <f t="shared" si="122"/>
        <v>8525.48</v>
      </c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</row>
    <row r="1644">
      <c r="A1644" s="2"/>
      <c r="B1644" s="52">
        <v>9.0</v>
      </c>
      <c r="C1644" s="53">
        <v>1.004696143E9</v>
      </c>
      <c r="D1644" s="53" t="s">
        <v>162</v>
      </c>
      <c r="E1644" s="53" t="s">
        <v>35</v>
      </c>
      <c r="F1644" s="53" t="s">
        <v>36</v>
      </c>
      <c r="G1644" s="53" t="s">
        <v>40</v>
      </c>
      <c r="H1644" s="53"/>
      <c r="I1644" s="55"/>
      <c r="J1644" s="55"/>
      <c r="K1644" s="53" t="s">
        <v>38</v>
      </c>
      <c r="L1644" s="53" t="s">
        <v>97</v>
      </c>
      <c r="M1644" s="53">
        <v>3455.0</v>
      </c>
      <c r="N1644" s="53">
        <v>150.0</v>
      </c>
      <c r="O1644" s="53">
        <v>19.28</v>
      </c>
      <c r="P1644" s="55">
        <f t="shared" si="121"/>
        <v>2892</v>
      </c>
      <c r="Q1644" s="53"/>
      <c r="R1644" s="105">
        <f t="shared" si="122"/>
        <v>2892</v>
      </c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</row>
    <row r="1645">
      <c r="A1645" s="2"/>
      <c r="B1645" s="52">
        <v>10.0</v>
      </c>
      <c r="C1645" s="53">
        <v>1.004696148E9</v>
      </c>
      <c r="D1645" s="53" t="s">
        <v>162</v>
      </c>
      <c r="E1645" s="53" t="s">
        <v>35</v>
      </c>
      <c r="F1645" s="53" t="s">
        <v>36</v>
      </c>
      <c r="G1645" s="55"/>
      <c r="H1645" s="55"/>
      <c r="I1645" s="55"/>
      <c r="J1645" s="55"/>
      <c r="K1645" s="53" t="s">
        <v>33</v>
      </c>
      <c r="L1645" s="53" t="s">
        <v>41</v>
      </c>
      <c r="M1645" s="53">
        <v>2140.0</v>
      </c>
      <c r="N1645" s="53">
        <v>130.0</v>
      </c>
      <c r="O1645" s="53">
        <v>15.53</v>
      </c>
      <c r="P1645" s="55">
        <f t="shared" si="121"/>
        <v>2018.9</v>
      </c>
      <c r="Q1645" s="53"/>
      <c r="R1645" s="105">
        <f t="shared" si="122"/>
        <v>2018.9</v>
      </c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</row>
    <row r="1646">
      <c r="A1646" s="2"/>
      <c r="B1646" s="8"/>
      <c r="C1646" s="6"/>
      <c r="D1646" s="6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5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</row>
    <row r="1647">
      <c r="A1647" s="2"/>
      <c r="B1647" s="67" t="s">
        <v>64</v>
      </c>
      <c r="C1647" s="68"/>
      <c r="D1647" s="69" t="str">
        <f>MONEYTEXT(R1647, "INR")</f>
        <v/>
      </c>
      <c r="E1647" s="68"/>
      <c r="F1647" s="68"/>
      <c r="G1647" s="68"/>
      <c r="H1647" s="68"/>
      <c r="I1647" s="68"/>
      <c r="J1647" s="68"/>
      <c r="K1647" s="68"/>
      <c r="L1647" s="68"/>
      <c r="M1647" s="68"/>
      <c r="N1647" s="70" t="s">
        <v>65</v>
      </c>
      <c r="O1647" s="4"/>
      <c r="P1647" s="96">
        <f t="shared" ref="P1647:R1647" si="123">SUM(P1636:P1645)</f>
        <v>67312.86</v>
      </c>
      <c r="Q1647" s="96">
        <f t="shared" si="123"/>
        <v>2675</v>
      </c>
      <c r="R1647" s="96">
        <f t="shared" si="123"/>
        <v>69987.86</v>
      </c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</row>
    <row r="1648">
      <c r="A1648" s="2"/>
      <c r="B1648" s="67" t="s">
        <v>66</v>
      </c>
      <c r="C1648" s="68"/>
      <c r="D1648" s="68"/>
      <c r="E1648" s="68"/>
      <c r="F1648" s="68"/>
      <c r="G1648" s="68"/>
      <c r="H1648" s="68"/>
      <c r="I1648" s="68"/>
      <c r="J1648" s="68"/>
      <c r="K1648" s="68"/>
      <c r="L1648" s="68"/>
      <c r="M1648" s="68"/>
      <c r="N1648" s="68"/>
      <c r="O1648" s="76"/>
      <c r="P1648" s="97" t="s">
        <v>67</v>
      </c>
      <c r="Q1648" s="31"/>
      <c r="R1648" s="3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</row>
    <row r="1649">
      <c r="A1649" s="2"/>
      <c r="B1649" s="79" t="s">
        <v>68</v>
      </c>
      <c r="P1649" s="27"/>
      <c r="Q1649" s="27"/>
      <c r="R1649" s="83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</row>
    <row r="1650">
      <c r="A1650" s="2"/>
      <c r="B1650" s="79" t="s">
        <v>70</v>
      </c>
      <c r="P1650" s="27"/>
      <c r="Q1650" s="27"/>
      <c r="R1650" s="83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</row>
    <row r="1651">
      <c r="A1651" s="2"/>
      <c r="B1651" s="8"/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5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</row>
    <row r="1652">
      <c r="A1652" s="2"/>
      <c r="B1652" s="8"/>
      <c r="C1652" s="6"/>
      <c r="D1652" s="6"/>
      <c r="E1652" s="6"/>
      <c r="F1652" s="6"/>
      <c r="G1652" s="6"/>
      <c r="H1652" s="6"/>
      <c r="I1652" s="6"/>
      <c r="J1652" s="6"/>
      <c r="K1652" s="19" t="s">
        <v>71</v>
      </c>
      <c r="L1652" s="6"/>
      <c r="M1652" s="6"/>
      <c r="N1652" s="6"/>
      <c r="O1652" s="6"/>
      <c r="P1652" s="9" t="s">
        <v>72</v>
      </c>
      <c r="R1652" s="10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</row>
    <row r="1653">
      <c r="A1653" s="2"/>
      <c r="B1653" s="88"/>
      <c r="C1653" s="34"/>
      <c r="D1653" s="34"/>
      <c r="E1653" s="34"/>
      <c r="F1653" s="34"/>
      <c r="G1653" s="34"/>
      <c r="H1653" s="34"/>
      <c r="I1653" s="34"/>
      <c r="J1653" s="34"/>
      <c r="K1653" s="34"/>
      <c r="L1653" s="34"/>
      <c r="M1653" s="34"/>
      <c r="N1653" s="34"/>
      <c r="O1653" s="34"/>
      <c r="P1653" s="34"/>
      <c r="Q1653" s="34"/>
      <c r="R1653" s="89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</row>
    <row r="1654">
      <c r="A1654" s="2"/>
      <c r="B1654" s="177"/>
      <c r="C1654" s="177"/>
      <c r="D1654" s="177"/>
      <c r="E1654" s="177"/>
      <c r="F1654" s="177"/>
      <c r="G1654" s="177"/>
      <c r="H1654" s="177"/>
      <c r="I1654" s="177"/>
      <c r="J1654" s="177"/>
      <c r="K1654" s="177"/>
      <c r="L1654" s="177"/>
      <c r="M1654" s="177"/>
      <c r="N1654" s="177"/>
      <c r="O1654" s="177"/>
      <c r="P1654" s="177"/>
      <c r="Q1654" s="177"/>
      <c r="R1654" s="177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</row>
    <row r="1655">
      <c r="A1655" s="2"/>
      <c r="B1655" s="177"/>
      <c r="C1655" s="177"/>
      <c r="D1655" s="177"/>
      <c r="E1655" s="177"/>
      <c r="F1655" s="177"/>
      <c r="G1655" s="177"/>
      <c r="H1655" s="177"/>
      <c r="I1655" s="177"/>
      <c r="J1655" s="177"/>
      <c r="K1655" s="177"/>
      <c r="L1655" s="177"/>
      <c r="M1655" s="177"/>
      <c r="N1655" s="177"/>
      <c r="O1655" s="177"/>
      <c r="P1655" s="177"/>
      <c r="Q1655" s="177"/>
      <c r="R1655" s="177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</row>
    <row r="1656">
      <c r="A1656" s="2"/>
      <c r="B1656" s="177"/>
      <c r="C1656" s="177"/>
      <c r="D1656" s="177"/>
      <c r="E1656" s="177"/>
      <c r="F1656" s="177"/>
      <c r="G1656" s="177"/>
      <c r="H1656" s="177"/>
      <c r="I1656" s="177"/>
      <c r="J1656" s="177"/>
      <c r="K1656" s="177"/>
      <c r="L1656" s="177"/>
      <c r="M1656" s="177"/>
      <c r="N1656" s="177"/>
      <c r="O1656" s="177"/>
      <c r="P1656" s="177"/>
      <c r="Q1656" s="177"/>
      <c r="R1656" s="177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</row>
    <row r="1657">
      <c r="A1657" s="2"/>
      <c r="B1657" s="177"/>
      <c r="C1657" s="177"/>
      <c r="D1657" s="177"/>
      <c r="E1657" s="177"/>
      <c r="F1657" s="177"/>
      <c r="G1657" s="177"/>
      <c r="H1657" s="177"/>
      <c r="I1657" s="177"/>
      <c r="J1657" s="177"/>
      <c r="K1657" s="177"/>
      <c r="L1657" s="177"/>
      <c r="M1657" s="177"/>
      <c r="N1657" s="177"/>
      <c r="O1657" s="177"/>
      <c r="P1657" s="177"/>
      <c r="Q1657" s="177"/>
      <c r="R1657" s="177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</row>
    <row r="1658">
      <c r="A1658" s="2"/>
      <c r="B1658" s="176" t="s">
        <v>1</v>
      </c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5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</row>
    <row r="1659">
      <c r="A1659" s="2"/>
      <c r="B1659" s="8"/>
      <c r="F1659" s="9"/>
      <c r="G1659" s="9"/>
      <c r="H1659" s="9"/>
      <c r="I1659" s="9"/>
      <c r="J1659" s="9" t="s">
        <v>2</v>
      </c>
      <c r="N1659" s="6"/>
      <c r="R1659" s="10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</row>
    <row r="1660">
      <c r="A1660" s="2"/>
      <c r="B1660" s="13"/>
      <c r="F1660" s="9"/>
      <c r="G1660" s="9"/>
      <c r="H1660" s="9"/>
      <c r="I1660" s="9"/>
      <c r="J1660" s="9" t="s">
        <v>3</v>
      </c>
      <c r="N1660" s="6"/>
      <c r="R1660" s="10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</row>
    <row r="1661">
      <c r="A1661" s="2"/>
      <c r="B1661" s="13" t="s">
        <v>4</v>
      </c>
      <c r="R1661" s="10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</row>
    <row r="1662">
      <c r="A1662" s="2"/>
      <c r="B1662" s="16" t="s">
        <v>5</v>
      </c>
      <c r="C1662" s="17" t="s">
        <v>6</v>
      </c>
      <c r="D1662" s="4"/>
      <c r="E1662" s="4"/>
      <c r="F1662" s="4"/>
      <c r="G1662" s="4"/>
      <c r="H1662" s="4"/>
      <c r="I1662" s="4"/>
      <c r="J1662" s="4"/>
      <c r="K1662" s="5"/>
      <c r="L1662" s="18" t="s">
        <v>7</v>
      </c>
      <c r="M1662" s="19">
        <v>63.0</v>
      </c>
      <c r="N1662" s="20"/>
      <c r="O1662" s="4"/>
      <c r="P1662" s="4"/>
      <c r="Q1662" s="4"/>
      <c r="R1662" s="5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</row>
    <row r="1663">
      <c r="A1663" s="2"/>
      <c r="B1663" s="26"/>
      <c r="C1663" s="27" t="s">
        <v>8</v>
      </c>
      <c r="K1663" s="10"/>
      <c r="L1663" s="18" t="s">
        <v>9</v>
      </c>
      <c r="M1663" s="175">
        <v>46058.0</v>
      </c>
      <c r="N1663" s="6"/>
      <c r="R1663" s="10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</row>
    <row r="1664">
      <c r="A1664" s="2"/>
      <c r="B1664" s="16" t="s">
        <v>11</v>
      </c>
      <c r="C1664" s="30" t="s">
        <v>12</v>
      </c>
      <c r="D1664" s="31"/>
      <c r="E1664" s="31"/>
      <c r="F1664" s="31"/>
      <c r="G1664" s="31"/>
      <c r="H1664" s="31"/>
      <c r="I1664" s="31"/>
      <c r="J1664" s="31"/>
      <c r="K1664" s="32"/>
      <c r="L1664" s="18" t="s">
        <v>13</v>
      </c>
      <c r="M1664" s="33" t="s">
        <v>14</v>
      </c>
      <c r="N1664" s="34"/>
      <c r="O1664" s="31"/>
      <c r="P1664" s="31"/>
      <c r="Q1664" s="31"/>
      <c r="R1664" s="3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</row>
    <row r="1665">
      <c r="A1665" s="2"/>
      <c r="B1665" s="8"/>
      <c r="R1665" s="10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</row>
    <row r="1666">
      <c r="A1666" s="2"/>
      <c r="B1666" s="39" t="s">
        <v>15</v>
      </c>
      <c r="C1666" s="40" t="s">
        <v>16</v>
      </c>
      <c r="D1666" s="41" t="s">
        <v>17</v>
      </c>
      <c r="E1666" s="41" t="s">
        <v>18</v>
      </c>
      <c r="F1666" s="42" t="s">
        <v>19</v>
      </c>
      <c r="G1666" s="43"/>
      <c r="H1666" s="43"/>
      <c r="I1666" s="43"/>
      <c r="J1666" s="44"/>
      <c r="K1666" s="41" t="s">
        <v>20</v>
      </c>
      <c r="L1666" s="41" t="s">
        <v>21</v>
      </c>
      <c r="M1666" s="41" t="s">
        <v>22</v>
      </c>
      <c r="N1666" s="41" t="s">
        <v>23</v>
      </c>
      <c r="O1666" s="41" t="s">
        <v>24</v>
      </c>
      <c r="P1666" s="41" t="s">
        <v>25</v>
      </c>
      <c r="Q1666" s="41" t="s">
        <v>26</v>
      </c>
      <c r="R1666" s="45" t="s">
        <v>27</v>
      </c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</row>
    <row r="1667">
      <c r="A1667" s="2"/>
      <c r="B1667" s="52">
        <v>1.0</v>
      </c>
      <c r="C1667" s="53">
        <v>1.004696861E9</v>
      </c>
      <c r="D1667" s="53" t="s">
        <v>162</v>
      </c>
      <c r="E1667" s="53" t="s">
        <v>47</v>
      </c>
      <c r="F1667" s="53" t="s">
        <v>44</v>
      </c>
      <c r="G1667" s="53" t="s">
        <v>48</v>
      </c>
      <c r="H1667" s="53" t="s">
        <v>49</v>
      </c>
      <c r="I1667" s="55"/>
      <c r="J1667" s="55"/>
      <c r="K1667" s="53" t="s">
        <v>45</v>
      </c>
      <c r="L1667" s="53" t="s">
        <v>98</v>
      </c>
      <c r="M1667" s="53">
        <v>1506.0</v>
      </c>
      <c r="N1667" s="53">
        <v>250.0</v>
      </c>
      <c r="O1667" s="53">
        <v>15.53</v>
      </c>
      <c r="P1667" s="55">
        <f t="shared" ref="P1667:P1668" si="124">N1667*O1667</f>
        <v>3882.5</v>
      </c>
      <c r="Q1667" s="53"/>
      <c r="R1667" s="105">
        <f t="shared" ref="R1667:R1676" si="125">P1667+Q1667</f>
        <v>3882.5</v>
      </c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</row>
    <row r="1668">
      <c r="A1668" s="2"/>
      <c r="B1668" s="52">
        <v>2.0</v>
      </c>
      <c r="C1668" s="53">
        <v>1.004696951E9</v>
      </c>
      <c r="D1668" s="53" t="s">
        <v>162</v>
      </c>
      <c r="E1668" s="53" t="s">
        <v>51</v>
      </c>
      <c r="F1668" s="53" t="s">
        <v>44</v>
      </c>
      <c r="G1668" s="53" t="s">
        <v>49</v>
      </c>
      <c r="H1668" s="53"/>
      <c r="I1668" s="55"/>
      <c r="J1668" s="55"/>
      <c r="K1668" s="53" t="s">
        <v>45</v>
      </c>
      <c r="L1668" s="53" t="s">
        <v>50</v>
      </c>
      <c r="M1668" s="53">
        <v>1653.0</v>
      </c>
      <c r="N1668" s="53">
        <v>230.0</v>
      </c>
      <c r="O1668" s="53">
        <v>15.53</v>
      </c>
      <c r="P1668" s="55">
        <f t="shared" si="124"/>
        <v>3571.9</v>
      </c>
      <c r="Q1668" s="55"/>
      <c r="R1668" s="105">
        <f t="shared" si="125"/>
        <v>3571.9</v>
      </c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</row>
    <row r="1669">
      <c r="A1669" s="2"/>
      <c r="B1669" s="52">
        <v>3.0</v>
      </c>
      <c r="C1669" s="53">
        <v>1.004697415E9</v>
      </c>
      <c r="D1669" s="53" t="s">
        <v>162</v>
      </c>
      <c r="E1669" s="53" t="s">
        <v>51</v>
      </c>
      <c r="F1669" s="53" t="s">
        <v>44</v>
      </c>
      <c r="G1669" s="53"/>
      <c r="H1669" s="55"/>
      <c r="I1669" s="55"/>
      <c r="J1669" s="55"/>
      <c r="K1669" s="53" t="s">
        <v>45</v>
      </c>
      <c r="L1669" s="53" t="s">
        <v>52</v>
      </c>
      <c r="M1669" s="53">
        <v>1470.0</v>
      </c>
      <c r="N1669" s="53">
        <v>230.0</v>
      </c>
      <c r="O1669" s="53">
        <v>15.53</v>
      </c>
      <c r="P1669" s="55"/>
      <c r="Q1669" s="55"/>
      <c r="R1669" s="105">
        <f t="shared" si="125"/>
        <v>0</v>
      </c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</row>
    <row r="1670">
      <c r="A1670" s="2"/>
      <c r="B1670" s="52">
        <v>4.0</v>
      </c>
      <c r="C1670" s="53">
        <v>1.004697381E9</v>
      </c>
      <c r="D1670" s="53" t="s">
        <v>162</v>
      </c>
      <c r="E1670" s="53" t="s">
        <v>51</v>
      </c>
      <c r="F1670" s="53" t="s">
        <v>44</v>
      </c>
      <c r="G1670" s="53"/>
      <c r="H1670" s="55"/>
      <c r="I1670" s="55"/>
      <c r="J1670" s="55"/>
      <c r="K1670" s="53" t="s">
        <v>45</v>
      </c>
      <c r="L1670" s="53" t="s">
        <v>54</v>
      </c>
      <c r="M1670" s="53">
        <v>1731.0</v>
      </c>
      <c r="N1670" s="53">
        <v>230.0</v>
      </c>
      <c r="O1670" s="53">
        <v>15.53</v>
      </c>
      <c r="P1670" s="55">
        <f t="shared" ref="P1670:P1676" si="126">N1670*O1670</f>
        <v>3571.9</v>
      </c>
      <c r="Q1670" s="55"/>
      <c r="R1670" s="105">
        <f t="shared" si="125"/>
        <v>3571.9</v>
      </c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</row>
    <row r="1671">
      <c r="A1671" s="2"/>
      <c r="B1671" s="52">
        <v>5.0</v>
      </c>
      <c r="C1671" s="53">
        <v>1.004697494E9</v>
      </c>
      <c r="D1671" s="53" t="s">
        <v>162</v>
      </c>
      <c r="E1671" s="53" t="s">
        <v>106</v>
      </c>
      <c r="F1671" s="53" t="s">
        <v>107</v>
      </c>
      <c r="G1671" s="53" t="s">
        <v>108</v>
      </c>
      <c r="H1671" s="53" t="s">
        <v>109</v>
      </c>
      <c r="I1671" s="55"/>
      <c r="J1671" s="55"/>
      <c r="K1671" s="53" t="s">
        <v>80</v>
      </c>
      <c r="L1671" s="53" t="s">
        <v>118</v>
      </c>
      <c r="M1671" s="53">
        <v>2593.0</v>
      </c>
      <c r="N1671" s="53">
        <v>482.0</v>
      </c>
      <c r="O1671" s="53">
        <v>18.28</v>
      </c>
      <c r="P1671" s="55">
        <f t="shared" si="126"/>
        <v>8810.96</v>
      </c>
      <c r="Q1671" s="53">
        <v>1025.0</v>
      </c>
      <c r="R1671" s="105">
        <f t="shared" si="125"/>
        <v>9835.96</v>
      </c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</row>
    <row r="1672">
      <c r="A1672" s="2"/>
      <c r="B1672" s="52">
        <v>6.0</v>
      </c>
      <c r="C1672" s="53">
        <v>1.00469756E9</v>
      </c>
      <c r="D1672" s="53" t="s">
        <v>162</v>
      </c>
      <c r="E1672" s="53" t="s">
        <v>90</v>
      </c>
      <c r="F1672" s="53" t="s">
        <v>91</v>
      </c>
      <c r="G1672" s="53" t="s">
        <v>92</v>
      </c>
      <c r="H1672" s="53" t="s">
        <v>83</v>
      </c>
      <c r="I1672" s="53" t="s">
        <v>94</v>
      </c>
      <c r="J1672" s="55"/>
      <c r="K1672" s="53" t="s">
        <v>38</v>
      </c>
      <c r="L1672" s="53" t="s">
        <v>163</v>
      </c>
      <c r="M1672" s="53">
        <v>3160.0</v>
      </c>
      <c r="N1672" s="53">
        <v>346.0</v>
      </c>
      <c r="O1672" s="53">
        <v>19.28</v>
      </c>
      <c r="P1672" s="55">
        <f t="shared" si="126"/>
        <v>6670.88</v>
      </c>
      <c r="Q1672" s="53">
        <v>500.0</v>
      </c>
      <c r="R1672" s="105">
        <f t="shared" si="125"/>
        <v>7170.88</v>
      </c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</row>
    <row r="1673">
      <c r="A1673" s="2"/>
      <c r="B1673" s="52">
        <v>7.0</v>
      </c>
      <c r="C1673" s="53">
        <v>1.004697728E9</v>
      </c>
      <c r="D1673" s="53" t="s">
        <v>162</v>
      </c>
      <c r="E1673" s="53" t="s">
        <v>82</v>
      </c>
      <c r="F1673" s="53" t="s">
        <v>87</v>
      </c>
      <c r="G1673" s="53" t="s">
        <v>88</v>
      </c>
      <c r="H1673" s="53" t="s">
        <v>83</v>
      </c>
      <c r="I1673" s="53" t="s">
        <v>84</v>
      </c>
      <c r="J1673" s="55"/>
      <c r="K1673" s="53" t="s">
        <v>38</v>
      </c>
      <c r="L1673" s="53" t="s">
        <v>89</v>
      </c>
      <c r="M1673" s="53">
        <v>3225.0</v>
      </c>
      <c r="N1673" s="53">
        <v>484.0</v>
      </c>
      <c r="O1673" s="53">
        <v>19.28</v>
      </c>
      <c r="P1673" s="55">
        <f t="shared" si="126"/>
        <v>9331.52</v>
      </c>
      <c r="Q1673" s="55"/>
      <c r="R1673" s="105">
        <f t="shared" si="125"/>
        <v>9331.52</v>
      </c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</row>
    <row r="1674">
      <c r="A1674" s="2"/>
      <c r="B1674" s="52">
        <v>8.0</v>
      </c>
      <c r="C1674" s="53">
        <v>1.004697726E9</v>
      </c>
      <c r="D1674" s="53" t="s">
        <v>162</v>
      </c>
      <c r="E1674" s="53" t="s">
        <v>55</v>
      </c>
      <c r="F1674" s="53" t="s">
        <v>56</v>
      </c>
      <c r="G1674" s="53" t="s">
        <v>57</v>
      </c>
      <c r="H1674" s="53" t="s">
        <v>103</v>
      </c>
      <c r="I1674" s="53" t="s">
        <v>58</v>
      </c>
      <c r="J1674" s="55"/>
      <c r="K1674" s="53" t="s">
        <v>38</v>
      </c>
      <c r="L1674" s="53" t="s">
        <v>105</v>
      </c>
      <c r="M1674" s="53">
        <v>3104.0</v>
      </c>
      <c r="N1674" s="53">
        <v>572.0</v>
      </c>
      <c r="O1674" s="53">
        <v>19.28</v>
      </c>
      <c r="P1674" s="55">
        <f t="shared" si="126"/>
        <v>11028.16</v>
      </c>
      <c r="Q1674" s="53">
        <v>330.0</v>
      </c>
      <c r="R1674" s="105">
        <f t="shared" si="125"/>
        <v>11358.16</v>
      </c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</row>
    <row r="1675">
      <c r="A1675" s="2"/>
      <c r="B1675" s="52">
        <v>9.0</v>
      </c>
      <c r="C1675" s="53">
        <v>1.004698231E9</v>
      </c>
      <c r="D1675" s="53" t="s">
        <v>164</v>
      </c>
      <c r="E1675" s="53" t="s">
        <v>28</v>
      </c>
      <c r="F1675" s="53" t="s">
        <v>29</v>
      </c>
      <c r="G1675" s="53" t="s">
        <v>30</v>
      </c>
      <c r="H1675" s="53" t="s">
        <v>31</v>
      </c>
      <c r="I1675" s="55"/>
      <c r="J1675" s="55"/>
      <c r="K1675" s="53" t="s">
        <v>33</v>
      </c>
      <c r="L1675" s="53" t="s">
        <v>34</v>
      </c>
      <c r="M1675" s="53">
        <v>235.0</v>
      </c>
      <c r="N1675" s="53">
        <v>246.0</v>
      </c>
      <c r="O1675" s="53">
        <v>15.53</v>
      </c>
      <c r="P1675" s="55">
        <f t="shared" si="126"/>
        <v>3820.38</v>
      </c>
      <c r="Q1675" s="53"/>
      <c r="R1675" s="105">
        <f t="shared" si="125"/>
        <v>3820.38</v>
      </c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</row>
    <row r="1676">
      <c r="A1676" s="2"/>
      <c r="B1676" s="52">
        <v>10.0</v>
      </c>
      <c r="C1676" s="53">
        <v>1.004698228E9</v>
      </c>
      <c r="D1676" s="53" t="s">
        <v>164</v>
      </c>
      <c r="E1676" s="53" t="s">
        <v>35</v>
      </c>
      <c r="F1676" s="53" t="s">
        <v>37</v>
      </c>
      <c r="G1676" s="53" t="s">
        <v>36</v>
      </c>
      <c r="H1676" s="55"/>
      <c r="I1676" s="55"/>
      <c r="J1676" s="55"/>
      <c r="K1676" s="53" t="s">
        <v>33</v>
      </c>
      <c r="L1676" s="53" t="s">
        <v>41</v>
      </c>
      <c r="M1676" s="53">
        <v>1987.0</v>
      </c>
      <c r="N1676" s="53">
        <v>200.0</v>
      </c>
      <c r="O1676" s="53">
        <v>15.53</v>
      </c>
      <c r="P1676" s="55">
        <f t="shared" si="126"/>
        <v>3106</v>
      </c>
      <c r="Q1676" s="53"/>
      <c r="R1676" s="105">
        <f t="shared" si="125"/>
        <v>3106</v>
      </c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</row>
    <row r="1677">
      <c r="A1677" s="2"/>
      <c r="B1677" s="8"/>
      <c r="C1677" s="6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5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</row>
    <row r="1678">
      <c r="A1678" s="2"/>
      <c r="B1678" s="67" t="s">
        <v>64</v>
      </c>
      <c r="C1678" s="68"/>
      <c r="D1678" s="69" t="str">
        <f>MONEYTEXT(R1678, "INR")</f>
        <v/>
      </c>
      <c r="E1678" s="68"/>
      <c r="F1678" s="68"/>
      <c r="G1678" s="68"/>
      <c r="H1678" s="68"/>
      <c r="I1678" s="68"/>
      <c r="J1678" s="68"/>
      <c r="K1678" s="68"/>
      <c r="L1678" s="68"/>
      <c r="M1678" s="68"/>
      <c r="N1678" s="70" t="s">
        <v>65</v>
      </c>
      <c r="O1678" s="4"/>
      <c r="P1678" s="96">
        <f t="shared" ref="P1678:R1678" si="127">SUM(P1667:P1676)</f>
        <v>53794.2</v>
      </c>
      <c r="Q1678" s="96">
        <f t="shared" si="127"/>
        <v>1855</v>
      </c>
      <c r="R1678" s="96">
        <f t="shared" si="127"/>
        <v>55649.2</v>
      </c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</row>
    <row r="1679">
      <c r="A1679" s="2"/>
      <c r="B1679" s="67" t="s">
        <v>66</v>
      </c>
      <c r="C1679" s="68"/>
      <c r="D1679" s="68"/>
      <c r="E1679" s="68"/>
      <c r="F1679" s="68"/>
      <c r="G1679" s="68"/>
      <c r="H1679" s="68"/>
      <c r="I1679" s="68"/>
      <c r="J1679" s="68"/>
      <c r="K1679" s="68"/>
      <c r="L1679" s="68"/>
      <c r="M1679" s="68"/>
      <c r="N1679" s="68"/>
      <c r="O1679" s="76"/>
      <c r="P1679" s="97" t="s">
        <v>67</v>
      </c>
      <c r="Q1679" s="31"/>
      <c r="R1679" s="3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</row>
    <row r="1680">
      <c r="A1680" s="2"/>
      <c r="B1680" s="79" t="s">
        <v>68</v>
      </c>
      <c r="P1680" s="27"/>
      <c r="Q1680" s="27"/>
      <c r="R1680" s="83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</row>
    <row r="1681">
      <c r="A1681" s="2"/>
      <c r="B1681" s="79" t="s">
        <v>70</v>
      </c>
      <c r="P1681" s="27"/>
      <c r="Q1681" s="27"/>
      <c r="R1681" s="83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</row>
    <row r="1682">
      <c r="A1682" s="2"/>
      <c r="B1682" s="8"/>
      <c r="C1682" s="6"/>
      <c r="D1682" s="6"/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5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</row>
    <row r="1683">
      <c r="A1683" s="2"/>
      <c r="B1683" s="8"/>
      <c r="C1683" s="6"/>
      <c r="D1683" s="6"/>
      <c r="E1683" s="6"/>
      <c r="F1683" s="6"/>
      <c r="G1683" s="6"/>
      <c r="H1683" s="6"/>
      <c r="I1683" s="6"/>
      <c r="J1683" s="6"/>
      <c r="K1683" s="19" t="s">
        <v>71</v>
      </c>
      <c r="L1683" s="6"/>
      <c r="M1683" s="6"/>
      <c r="N1683" s="6"/>
      <c r="O1683" s="6"/>
      <c r="P1683" s="9" t="s">
        <v>72</v>
      </c>
      <c r="R1683" s="10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</row>
    <row r="1684">
      <c r="A1684" s="2"/>
      <c r="B1684" s="88"/>
      <c r="C1684" s="34"/>
      <c r="D1684" s="34"/>
      <c r="E1684" s="34"/>
      <c r="F1684" s="34"/>
      <c r="G1684" s="34"/>
      <c r="H1684" s="34"/>
      <c r="I1684" s="34"/>
      <c r="J1684" s="34"/>
      <c r="K1684" s="34"/>
      <c r="L1684" s="34"/>
      <c r="M1684" s="34"/>
      <c r="N1684" s="34"/>
      <c r="O1684" s="34"/>
      <c r="P1684" s="34"/>
      <c r="Q1684" s="34"/>
      <c r="R1684" s="89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</row>
    <row r="1685">
      <c r="A1685" s="2"/>
      <c r="B1685" s="177"/>
      <c r="C1685" s="177"/>
      <c r="D1685" s="177"/>
      <c r="E1685" s="177"/>
      <c r="F1685" s="177"/>
      <c r="G1685" s="177"/>
      <c r="H1685" s="177"/>
      <c r="I1685" s="177"/>
      <c r="J1685" s="177"/>
      <c r="K1685" s="177"/>
      <c r="L1685" s="177"/>
      <c r="M1685" s="177"/>
      <c r="N1685" s="177"/>
      <c r="O1685" s="177"/>
      <c r="P1685" s="177"/>
      <c r="Q1685" s="177"/>
      <c r="R1685" s="177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</row>
    <row r="1686">
      <c r="A1686" s="2"/>
      <c r="B1686" s="177"/>
      <c r="C1686" s="177"/>
      <c r="D1686" s="177"/>
      <c r="E1686" s="177"/>
      <c r="F1686" s="177"/>
      <c r="G1686" s="177"/>
      <c r="H1686" s="177"/>
      <c r="I1686" s="177"/>
      <c r="J1686" s="177"/>
      <c r="K1686" s="177"/>
      <c r="L1686" s="177"/>
      <c r="M1686" s="177"/>
      <c r="N1686" s="177"/>
      <c r="O1686" s="177"/>
      <c r="P1686" s="177"/>
      <c r="Q1686" s="177"/>
      <c r="R1686" s="177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</row>
    <row r="1687">
      <c r="A1687" s="2"/>
      <c r="B1687" s="177"/>
      <c r="C1687" s="177"/>
      <c r="D1687" s="177"/>
      <c r="E1687" s="177"/>
      <c r="F1687" s="177"/>
      <c r="G1687" s="177"/>
      <c r="H1687" s="177"/>
      <c r="I1687" s="177"/>
      <c r="J1687" s="177"/>
      <c r="K1687" s="177"/>
      <c r="L1687" s="177"/>
      <c r="M1687" s="177"/>
      <c r="N1687" s="177"/>
      <c r="O1687" s="177"/>
      <c r="P1687" s="177"/>
      <c r="Q1687" s="177"/>
      <c r="R1687" s="177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</row>
    <row r="1688">
      <c r="A1688" s="2"/>
      <c r="B1688" s="177"/>
      <c r="C1688" s="177"/>
      <c r="D1688" s="177"/>
      <c r="E1688" s="177"/>
      <c r="F1688" s="177"/>
      <c r="G1688" s="177"/>
      <c r="H1688" s="177"/>
      <c r="I1688" s="177"/>
      <c r="J1688" s="177"/>
      <c r="K1688" s="177"/>
      <c r="L1688" s="177"/>
      <c r="M1688" s="177"/>
      <c r="N1688" s="177"/>
      <c r="O1688" s="177"/>
      <c r="P1688" s="177"/>
      <c r="Q1688" s="177"/>
      <c r="R1688" s="177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</row>
    <row r="1689">
      <c r="A1689" s="2"/>
      <c r="B1689" s="177"/>
      <c r="C1689" s="177"/>
      <c r="D1689" s="177"/>
      <c r="E1689" s="177"/>
      <c r="F1689" s="177"/>
      <c r="G1689" s="177"/>
      <c r="H1689" s="177"/>
      <c r="I1689" s="177"/>
      <c r="J1689" s="177"/>
      <c r="K1689" s="177"/>
      <c r="L1689" s="177"/>
      <c r="M1689" s="177"/>
      <c r="N1689" s="177"/>
      <c r="O1689" s="177"/>
      <c r="P1689" s="177"/>
      <c r="Q1689" s="177"/>
      <c r="R1689" s="177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</row>
    <row r="1690">
      <c r="A1690" s="2"/>
      <c r="B1690" s="177"/>
      <c r="C1690" s="177"/>
      <c r="D1690" s="177"/>
      <c r="E1690" s="177"/>
      <c r="F1690" s="177"/>
      <c r="G1690" s="177"/>
      <c r="H1690" s="177"/>
      <c r="I1690" s="177"/>
      <c r="J1690" s="177"/>
      <c r="K1690" s="177"/>
      <c r="L1690" s="177"/>
      <c r="M1690" s="177"/>
      <c r="N1690" s="177"/>
      <c r="O1690" s="177"/>
      <c r="P1690" s="177"/>
      <c r="Q1690" s="177"/>
      <c r="R1690" s="177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</row>
    <row r="1691">
      <c r="A1691" s="2"/>
      <c r="B1691" s="176" t="s">
        <v>1</v>
      </c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5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</row>
    <row r="1692">
      <c r="A1692" s="2"/>
      <c r="B1692" s="8"/>
      <c r="F1692" s="9"/>
      <c r="G1692" s="9"/>
      <c r="H1692" s="9"/>
      <c r="I1692" s="9"/>
      <c r="J1692" s="9" t="s">
        <v>2</v>
      </c>
      <c r="N1692" s="6"/>
      <c r="R1692" s="10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</row>
    <row r="1693">
      <c r="A1693" s="2"/>
      <c r="B1693" s="13"/>
      <c r="F1693" s="9"/>
      <c r="G1693" s="9"/>
      <c r="H1693" s="9"/>
      <c r="I1693" s="9"/>
      <c r="J1693" s="9" t="s">
        <v>3</v>
      </c>
      <c r="N1693" s="6"/>
      <c r="R1693" s="10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</row>
    <row r="1694">
      <c r="A1694" s="2"/>
      <c r="B1694" s="13" t="s">
        <v>4</v>
      </c>
      <c r="R1694" s="10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</row>
    <row r="1695">
      <c r="A1695" s="2"/>
      <c r="B1695" s="16" t="s">
        <v>5</v>
      </c>
      <c r="C1695" s="17" t="s">
        <v>6</v>
      </c>
      <c r="D1695" s="4"/>
      <c r="E1695" s="4"/>
      <c r="F1695" s="4"/>
      <c r="G1695" s="4"/>
      <c r="H1695" s="4"/>
      <c r="I1695" s="4"/>
      <c r="J1695" s="4"/>
      <c r="K1695" s="5"/>
      <c r="L1695" s="18" t="s">
        <v>7</v>
      </c>
      <c r="M1695" s="19">
        <v>64.0</v>
      </c>
      <c r="N1695" s="20"/>
      <c r="O1695" s="4"/>
      <c r="P1695" s="4"/>
      <c r="Q1695" s="4"/>
      <c r="R1695" s="5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</row>
    <row r="1696">
      <c r="A1696" s="2"/>
      <c r="B1696" s="26"/>
      <c r="C1696" s="27" t="s">
        <v>8</v>
      </c>
      <c r="K1696" s="10"/>
      <c r="L1696" s="18" t="s">
        <v>9</v>
      </c>
      <c r="M1696" s="175">
        <v>46058.0</v>
      </c>
      <c r="N1696" s="6"/>
      <c r="R1696" s="10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</row>
    <row r="1697">
      <c r="A1697" s="2"/>
      <c r="B1697" s="16" t="s">
        <v>11</v>
      </c>
      <c r="C1697" s="30" t="s">
        <v>12</v>
      </c>
      <c r="D1697" s="31"/>
      <c r="E1697" s="31"/>
      <c r="F1697" s="31"/>
      <c r="G1697" s="31"/>
      <c r="H1697" s="31"/>
      <c r="I1697" s="31"/>
      <c r="J1697" s="31"/>
      <c r="K1697" s="32"/>
      <c r="L1697" s="18" t="s">
        <v>13</v>
      </c>
      <c r="M1697" s="33" t="s">
        <v>14</v>
      </c>
      <c r="N1697" s="34"/>
      <c r="O1697" s="31"/>
      <c r="P1697" s="31"/>
      <c r="Q1697" s="31"/>
      <c r="R1697" s="3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</row>
    <row r="1698">
      <c r="A1698" s="2"/>
      <c r="B1698" s="8"/>
      <c r="R1698" s="10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</row>
    <row r="1699">
      <c r="A1699" s="2"/>
      <c r="B1699" s="39" t="s">
        <v>15</v>
      </c>
      <c r="C1699" s="40" t="s">
        <v>16</v>
      </c>
      <c r="D1699" s="41" t="s">
        <v>17</v>
      </c>
      <c r="E1699" s="41" t="s">
        <v>18</v>
      </c>
      <c r="F1699" s="42" t="s">
        <v>19</v>
      </c>
      <c r="G1699" s="43"/>
      <c r="H1699" s="43"/>
      <c r="I1699" s="43"/>
      <c r="J1699" s="44"/>
      <c r="K1699" s="41" t="s">
        <v>20</v>
      </c>
      <c r="L1699" s="41" t="s">
        <v>21</v>
      </c>
      <c r="M1699" s="41" t="s">
        <v>22</v>
      </c>
      <c r="N1699" s="41" t="s">
        <v>23</v>
      </c>
      <c r="O1699" s="41" t="s">
        <v>24</v>
      </c>
      <c r="P1699" s="41" t="s">
        <v>25</v>
      </c>
      <c r="Q1699" s="41" t="s">
        <v>26</v>
      </c>
      <c r="R1699" s="45" t="s">
        <v>27</v>
      </c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</row>
    <row r="1700">
      <c r="A1700" s="2"/>
      <c r="B1700" s="52">
        <v>1.0</v>
      </c>
      <c r="C1700" s="53">
        <v>1.004698225E9</v>
      </c>
      <c r="D1700" s="53" t="s">
        <v>164</v>
      </c>
      <c r="E1700" s="53" t="s">
        <v>35</v>
      </c>
      <c r="F1700" s="53" t="s">
        <v>36</v>
      </c>
      <c r="G1700" s="53" t="s">
        <v>40</v>
      </c>
      <c r="H1700" s="53"/>
      <c r="I1700" s="55"/>
      <c r="J1700" s="55"/>
      <c r="K1700" s="53" t="s">
        <v>38</v>
      </c>
      <c r="L1700" s="53" t="s">
        <v>97</v>
      </c>
      <c r="M1700" s="53">
        <v>3461.0</v>
      </c>
      <c r="N1700" s="53">
        <v>150.0</v>
      </c>
      <c r="O1700" s="53">
        <v>19.28</v>
      </c>
      <c r="P1700" s="55">
        <f t="shared" ref="P1700:P1709" si="128">N1700*O1700</f>
        <v>2892</v>
      </c>
      <c r="Q1700" s="53"/>
      <c r="R1700" s="105">
        <f t="shared" ref="R1700:R1709" si="129">P1700+Q1700</f>
        <v>2892</v>
      </c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</row>
    <row r="1701">
      <c r="A1701" s="2"/>
      <c r="B1701" s="52">
        <v>2.0</v>
      </c>
      <c r="C1701" s="53">
        <v>1.004698791E9</v>
      </c>
      <c r="D1701" s="53" t="s">
        <v>164</v>
      </c>
      <c r="E1701" s="53" t="s">
        <v>42</v>
      </c>
      <c r="F1701" s="53" t="s">
        <v>44</v>
      </c>
      <c r="G1701" s="53" t="s">
        <v>43</v>
      </c>
      <c r="H1701" s="53"/>
      <c r="I1701" s="55"/>
      <c r="J1701" s="55"/>
      <c r="K1701" s="53" t="s">
        <v>45</v>
      </c>
      <c r="L1701" s="53" t="s">
        <v>98</v>
      </c>
      <c r="M1701" s="53">
        <v>1572.0</v>
      </c>
      <c r="N1701" s="53">
        <v>299.0</v>
      </c>
      <c r="O1701" s="53">
        <v>15.53</v>
      </c>
      <c r="P1701" s="55">
        <f t="shared" si="128"/>
        <v>4643.47</v>
      </c>
      <c r="Q1701" s="55"/>
      <c r="R1701" s="105">
        <f t="shared" si="129"/>
        <v>4643.47</v>
      </c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</row>
    <row r="1702">
      <c r="A1702" s="2"/>
      <c r="B1702" s="52">
        <v>3.0</v>
      </c>
      <c r="C1702" s="53">
        <v>1.004698801E9</v>
      </c>
      <c r="D1702" s="53" t="s">
        <v>164</v>
      </c>
      <c r="E1702" s="53" t="s">
        <v>51</v>
      </c>
      <c r="F1702" s="53" t="s">
        <v>49</v>
      </c>
      <c r="G1702" s="53" t="s">
        <v>44</v>
      </c>
      <c r="H1702" s="55"/>
      <c r="I1702" s="55"/>
      <c r="J1702" s="55"/>
      <c r="K1702" s="53" t="s">
        <v>45</v>
      </c>
      <c r="L1702" s="53" t="s">
        <v>50</v>
      </c>
      <c r="M1702" s="53">
        <v>1490.0</v>
      </c>
      <c r="N1702" s="53">
        <v>230.0</v>
      </c>
      <c r="O1702" s="53">
        <v>15.53</v>
      </c>
      <c r="P1702" s="55">
        <f t="shared" si="128"/>
        <v>3571.9</v>
      </c>
      <c r="Q1702" s="55"/>
      <c r="R1702" s="105">
        <f t="shared" si="129"/>
        <v>3571.9</v>
      </c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</row>
    <row r="1703">
      <c r="A1703" s="2"/>
      <c r="B1703" s="52">
        <v>4.0</v>
      </c>
      <c r="C1703" s="53">
        <v>1.004699352E9</v>
      </c>
      <c r="D1703" s="53" t="s">
        <v>164</v>
      </c>
      <c r="E1703" s="53" t="s">
        <v>51</v>
      </c>
      <c r="F1703" s="53" t="s">
        <v>44</v>
      </c>
      <c r="G1703" s="53"/>
      <c r="H1703" s="55"/>
      <c r="I1703" s="55"/>
      <c r="J1703" s="55"/>
      <c r="K1703" s="53" t="s">
        <v>45</v>
      </c>
      <c r="L1703" s="53" t="s">
        <v>52</v>
      </c>
      <c r="M1703" s="53">
        <v>1436.0</v>
      </c>
      <c r="N1703" s="53">
        <v>230.0</v>
      </c>
      <c r="O1703" s="53">
        <v>15.53</v>
      </c>
      <c r="P1703" s="55">
        <f t="shared" si="128"/>
        <v>3571.9</v>
      </c>
      <c r="Q1703" s="55"/>
      <c r="R1703" s="105">
        <f t="shared" si="129"/>
        <v>3571.9</v>
      </c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</row>
    <row r="1704">
      <c r="A1704" s="2"/>
      <c r="B1704" s="52">
        <v>5.0</v>
      </c>
      <c r="C1704" s="53">
        <v>1.004699348E9</v>
      </c>
      <c r="D1704" s="53" t="s">
        <v>164</v>
      </c>
      <c r="E1704" s="53" t="s">
        <v>51</v>
      </c>
      <c r="F1704" s="53" t="s">
        <v>44</v>
      </c>
      <c r="G1704" s="53"/>
      <c r="H1704" s="55"/>
      <c r="I1704" s="55"/>
      <c r="J1704" s="55"/>
      <c r="K1704" s="53" t="s">
        <v>45</v>
      </c>
      <c r="L1704" s="53" t="s">
        <v>54</v>
      </c>
      <c r="M1704" s="53">
        <v>1448.0</v>
      </c>
      <c r="N1704" s="53">
        <v>230.0</v>
      </c>
      <c r="O1704" s="53">
        <v>15.53</v>
      </c>
      <c r="P1704" s="55">
        <f t="shared" si="128"/>
        <v>3571.9</v>
      </c>
      <c r="Q1704" s="55"/>
      <c r="R1704" s="105">
        <f t="shared" si="129"/>
        <v>3571.9</v>
      </c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</row>
    <row r="1705">
      <c r="A1705" s="2"/>
      <c r="B1705" s="52">
        <v>6.0</v>
      </c>
      <c r="C1705" s="53">
        <v>1.004698238E9</v>
      </c>
      <c r="D1705" s="53" t="s">
        <v>164</v>
      </c>
      <c r="E1705" s="53" t="s">
        <v>77</v>
      </c>
      <c r="F1705" s="53" t="s">
        <v>78</v>
      </c>
      <c r="G1705" s="53"/>
      <c r="H1705" s="55"/>
      <c r="I1705" s="55"/>
      <c r="J1705" s="55"/>
      <c r="K1705" s="53" t="s">
        <v>38</v>
      </c>
      <c r="L1705" s="53" t="s">
        <v>124</v>
      </c>
      <c r="M1705" s="53">
        <v>3040.0</v>
      </c>
      <c r="N1705" s="53">
        <v>266.0</v>
      </c>
      <c r="O1705" s="53">
        <v>19.28</v>
      </c>
      <c r="P1705" s="55">
        <f t="shared" si="128"/>
        <v>5128.48</v>
      </c>
      <c r="Q1705" s="55"/>
      <c r="R1705" s="105">
        <f t="shared" si="129"/>
        <v>5128.48</v>
      </c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</row>
    <row r="1706">
      <c r="A1706" s="2"/>
      <c r="B1706" s="52">
        <v>7.0</v>
      </c>
      <c r="C1706" s="53">
        <v>1.004699496E9</v>
      </c>
      <c r="D1706" s="53" t="s">
        <v>164</v>
      </c>
      <c r="E1706" s="53" t="s">
        <v>61</v>
      </c>
      <c r="F1706" s="53" t="s">
        <v>73</v>
      </c>
      <c r="G1706" s="53" t="s">
        <v>74</v>
      </c>
      <c r="H1706" s="53" t="s">
        <v>62</v>
      </c>
      <c r="I1706" s="53" t="s">
        <v>75</v>
      </c>
      <c r="J1706" s="55"/>
      <c r="K1706" s="53" t="s">
        <v>38</v>
      </c>
      <c r="L1706" s="53" t="s">
        <v>110</v>
      </c>
      <c r="M1706" s="53">
        <v>3604.0</v>
      </c>
      <c r="N1706" s="53">
        <v>560.0</v>
      </c>
      <c r="O1706" s="53">
        <v>19.28</v>
      </c>
      <c r="P1706" s="55">
        <f t="shared" si="128"/>
        <v>10796.8</v>
      </c>
      <c r="Q1706" s="53">
        <v>1085.0</v>
      </c>
      <c r="R1706" s="105">
        <f t="shared" si="129"/>
        <v>11881.8</v>
      </c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</row>
    <row r="1707">
      <c r="A1707" s="2"/>
      <c r="B1707" s="52">
        <v>8.0</v>
      </c>
      <c r="C1707" s="53">
        <v>1.004699548E9</v>
      </c>
      <c r="D1707" s="53" t="s">
        <v>164</v>
      </c>
      <c r="E1707" s="53" t="s">
        <v>55</v>
      </c>
      <c r="F1707" s="53" t="s">
        <v>57</v>
      </c>
      <c r="G1707" s="53" t="s">
        <v>58</v>
      </c>
      <c r="H1707" s="53" t="s">
        <v>56</v>
      </c>
      <c r="I1707" s="53" t="s">
        <v>59</v>
      </c>
      <c r="J1707" s="55"/>
      <c r="K1707" s="53" t="s">
        <v>38</v>
      </c>
      <c r="L1707" s="53" t="s">
        <v>60</v>
      </c>
      <c r="M1707" s="53">
        <v>3247.0</v>
      </c>
      <c r="N1707" s="53">
        <v>572.0</v>
      </c>
      <c r="O1707" s="53">
        <v>19.28</v>
      </c>
      <c r="P1707" s="55">
        <f t="shared" si="128"/>
        <v>11028.16</v>
      </c>
      <c r="Q1707" s="53">
        <v>330.0</v>
      </c>
      <c r="R1707" s="105">
        <f t="shared" si="129"/>
        <v>11358.16</v>
      </c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</row>
    <row r="1708">
      <c r="A1708" s="2"/>
      <c r="B1708" s="52">
        <v>9.0</v>
      </c>
      <c r="C1708" s="53">
        <v>1.004699649E9</v>
      </c>
      <c r="D1708" s="53" t="s">
        <v>164</v>
      </c>
      <c r="E1708" s="53" t="s">
        <v>100</v>
      </c>
      <c r="F1708" s="53" t="s">
        <v>83</v>
      </c>
      <c r="G1708" s="53" t="s">
        <v>86</v>
      </c>
      <c r="H1708" s="53" t="s">
        <v>84</v>
      </c>
      <c r="I1708" s="55"/>
      <c r="J1708" s="55"/>
      <c r="K1708" s="53" t="s">
        <v>33</v>
      </c>
      <c r="L1708" s="53" t="s">
        <v>89</v>
      </c>
      <c r="M1708" s="53">
        <v>2161.0</v>
      </c>
      <c r="N1708" s="53">
        <v>384.0</v>
      </c>
      <c r="O1708" s="53">
        <v>15.53</v>
      </c>
      <c r="P1708" s="55">
        <f t="shared" si="128"/>
        <v>5963.52</v>
      </c>
      <c r="Q1708" s="53">
        <v>755.0</v>
      </c>
      <c r="R1708" s="105">
        <f t="shared" si="129"/>
        <v>6718.52</v>
      </c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</row>
    <row r="1709">
      <c r="A1709" s="2"/>
      <c r="B1709" s="52">
        <v>10.0</v>
      </c>
      <c r="C1709" s="53">
        <v>1.004699804E9</v>
      </c>
      <c r="D1709" s="53" t="s">
        <v>164</v>
      </c>
      <c r="E1709" s="53" t="s">
        <v>77</v>
      </c>
      <c r="F1709" s="53" t="s">
        <v>78</v>
      </c>
      <c r="G1709" s="55"/>
      <c r="H1709" s="55"/>
      <c r="I1709" s="55"/>
      <c r="J1709" s="55"/>
      <c r="K1709" s="53" t="s">
        <v>33</v>
      </c>
      <c r="L1709" s="53" t="s">
        <v>81</v>
      </c>
      <c r="M1709" s="53">
        <v>2007.0</v>
      </c>
      <c r="N1709" s="53">
        <v>266.0</v>
      </c>
      <c r="O1709" s="53">
        <v>15.53</v>
      </c>
      <c r="P1709" s="55">
        <f t="shared" si="128"/>
        <v>4130.98</v>
      </c>
      <c r="Q1709" s="53"/>
      <c r="R1709" s="105">
        <f t="shared" si="129"/>
        <v>4130.98</v>
      </c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</row>
    <row r="1710">
      <c r="A1710" s="2"/>
      <c r="B1710" s="8"/>
      <c r="C1710" s="6"/>
      <c r="D1710" s="6"/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5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</row>
    <row r="1711">
      <c r="A1711" s="2"/>
      <c r="B1711" s="67" t="s">
        <v>64</v>
      </c>
      <c r="C1711" s="68"/>
      <c r="D1711" s="69" t="str">
        <f>MONEYTEXT(R1711, "INR")</f>
        <v>Fifty-seven thousand four hundred sixty-nine Indian rupees and eleven paise</v>
      </c>
      <c r="E1711" s="68"/>
      <c r="F1711" s="68"/>
      <c r="G1711" s="68"/>
      <c r="H1711" s="68"/>
      <c r="I1711" s="68"/>
      <c r="J1711" s="68"/>
      <c r="K1711" s="68"/>
      <c r="L1711" s="68"/>
      <c r="M1711" s="68"/>
      <c r="N1711" s="70" t="s">
        <v>65</v>
      </c>
      <c r="O1711" s="4"/>
      <c r="P1711" s="96">
        <f t="shared" ref="P1711:R1711" si="130">SUM(P1700:P1709)</f>
        <v>55299.11</v>
      </c>
      <c r="Q1711" s="96">
        <f t="shared" si="130"/>
        <v>2170</v>
      </c>
      <c r="R1711" s="96">
        <f t="shared" si="130"/>
        <v>57469.11</v>
      </c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</row>
    <row r="1712">
      <c r="A1712" s="2"/>
      <c r="B1712" s="67" t="s">
        <v>66</v>
      </c>
      <c r="C1712" s="68"/>
      <c r="D1712" s="68"/>
      <c r="E1712" s="68"/>
      <c r="F1712" s="68"/>
      <c r="G1712" s="68"/>
      <c r="H1712" s="68"/>
      <c r="I1712" s="68"/>
      <c r="J1712" s="68"/>
      <c r="K1712" s="68"/>
      <c r="L1712" s="68"/>
      <c r="M1712" s="68"/>
      <c r="N1712" s="68"/>
      <c r="O1712" s="76"/>
      <c r="P1712" s="97" t="s">
        <v>67</v>
      </c>
      <c r="Q1712" s="31"/>
      <c r="R1712" s="3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</row>
    <row r="1713">
      <c r="A1713" s="2"/>
      <c r="B1713" s="79" t="s">
        <v>68</v>
      </c>
      <c r="P1713" s="27"/>
      <c r="Q1713" s="27"/>
      <c r="R1713" s="83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</row>
    <row r="1714">
      <c r="A1714" s="2"/>
      <c r="B1714" s="79" t="s">
        <v>70</v>
      </c>
      <c r="P1714" s="27"/>
      <c r="Q1714" s="27"/>
      <c r="R1714" s="83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</row>
    <row r="1715">
      <c r="A1715" s="2"/>
      <c r="B1715" s="8"/>
      <c r="C1715" s="6"/>
      <c r="D1715" s="6"/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5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</row>
    <row r="1716">
      <c r="A1716" s="2"/>
      <c r="B1716" s="8"/>
      <c r="C1716" s="6"/>
      <c r="D1716" s="6"/>
      <c r="E1716" s="6"/>
      <c r="F1716" s="6"/>
      <c r="G1716" s="6"/>
      <c r="H1716" s="6"/>
      <c r="I1716" s="6"/>
      <c r="J1716" s="6"/>
      <c r="K1716" s="19" t="s">
        <v>71</v>
      </c>
      <c r="L1716" s="6"/>
      <c r="M1716" s="6"/>
      <c r="N1716" s="6"/>
      <c r="O1716" s="6"/>
      <c r="P1716" s="9" t="s">
        <v>72</v>
      </c>
      <c r="R1716" s="10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</row>
    <row r="1717">
      <c r="A1717" s="2"/>
      <c r="B1717" s="88"/>
      <c r="C1717" s="34"/>
      <c r="D1717" s="34"/>
      <c r="E1717" s="34"/>
      <c r="F1717" s="34"/>
      <c r="G1717" s="34"/>
      <c r="H1717" s="34"/>
      <c r="I1717" s="34"/>
      <c r="J1717" s="34"/>
      <c r="K1717" s="34"/>
      <c r="L1717" s="34"/>
      <c r="M1717" s="34"/>
      <c r="N1717" s="34"/>
      <c r="O1717" s="34"/>
      <c r="P1717" s="34"/>
      <c r="Q1717" s="34"/>
      <c r="R1717" s="89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</row>
    <row r="1718">
      <c r="A1718" s="2"/>
      <c r="B1718" s="177"/>
      <c r="C1718" s="177"/>
      <c r="D1718" s="177"/>
      <c r="E1718" s="177"/>
      <c r="F1718" s="177"/>
      <c r="G1718" s="177"/>
      <c r="H1718" s="177"/>
      <c r="I1718" s="177"/>
      <c r="J1718" s="177"/>
      <c r="K1718" s="177"/>
      <c r="L1718" s="177"/>
      <c r="M1718" s="177"/>
      <c r="N1718" s="177"/>
      <c r="O1718" s="177"/>
      <c r="P1718" s="177"/>
      <c r="Q1718" s="177"/>
      <c r="R1718" s="177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</row>
    <row r="1719">
      <c r="A1719" s="2"/>
      <c r="B1719" s="177"/>
      <c r="C1719" s="177"/>
      <c r="D1719" s="177"/>
      <c r="E1719" s="177"/>
      <c r="F1719" s="177"/>
      <c r="G1719" s="177"/>
      <c r="H1719" s="177"/>
      <c r="I1719" s="177"/>
      <c r="J1719" s="177"/>
      <c r="K1719" s="177"/>
      <c r="L1719" s="177"/>
      <c r="M1719" s="177"/>
      <c r="N1719" s="177"/>
      <c r="O1719" s="177"/>
      <c r="P1719" s="177"/>
      <c r="Q1719" s="177"/>
      <c r="R1719" s="177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</row>
    <row r="1720">
      <c r="A1720" s="2"/>
      <c r="B1720" s="177"/>
      <c r="C1720" s="177"/>
      <c r="D1720" s="177"/>
      <c r="E1720" s="177"/>
      <c r="F1720" s="177"/>
      <c r="G1720" s="177"/>
      <c r="H1720" s="177"/>
      <c r="I1720" s="177"/>
      <c r="J1720" s="177"/>
      <c r="K1720" s="177"/>
      <c r="L1720" s="177"/>
      <c r="M1720" s="177"/>
      <c r="N1720" s="177"/>
      <c r="O1720" s="177"/>
      <c r="P1720" s="177"/>
      <c r="Q1720" s="177"/>
      <c r="R1720" s="177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</row>
    <row r="1721">
      <c r="A1721" s="2"/>
      <c r="B1721" s="177"/>
      <c r="C1721" s="177"/>
      <c r="D1721" s="177"/>
      <c r="E1721" s="177"/>
      <c r="F1721" s="177"/>
      <c r="G1721" s="177"/>
      <c r="H1721" s="177"/>
      <c r="I1721" s="177"/>
      <c r="J1721" s="177"/>
      <c r="K1721" s="177"/>
      <c r="L1721" s="177"/>
      <c r="M1721" s="177"/>
      <c r="N1721" s="177"/>
      <c r="O1721" s="177"/>
      <c r="P1721" s="177"/>
      <c r="Q1721" s="177"/>
      <c r="R1721" s="177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</row>
    <row r="1722">
      <c r="A1722" s="2"/>
      <c r="B1722" s="176" t="s">
        <v>1</v>
      </c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5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</row>
    <row r="1723">
      <c r="A1723" s="2"/>
      <c r="B1723" s="8"/>
      <c r="F1723" s="9"/>
      <c r="G1723" s="9"/>
      <c r="H1723" s="9"/>
      <c r="I1723" s="9"/>
      <c r="J1723" s="9" t="s">
        <v>2</v>
      </c>
      <c r="N1723" s="6"/>
      <c r="R1723" s="10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</row>
    <row r="1724">
      <c r="A1724" s="2"/>
      <c r="B1724" s="13"/>
      <c r="F1724" s="9"/>
      <c r="G1724" s="9"/>
      <c r="H1724" s="9"/>
      <c r="I1724" s="9"/>
      <c r="J1724" s="9" t="s">
        <v>3</v>
      </c>
      <c r="N1724" s="6"/>
      <c r="R1724" s="10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</row>
    <row r="1725">
      <c r="A1725" s="2"/>
      <c r="B1725" s="13" t="s">
        <v>4</v>
      </c>
      <c r="R1725" s="10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</row>
    <row r="1726">
      <c r="A1726" s="2"/>
      <c r="B1726" s="16" t="s">
        <v>5</v>
      </c>
      <c r="C1726" s="17" t="s">
        <v>6</v>
      </c>
      <c r="D1726" s="4"/>
      <c r="E1726" s="4"/>
      <c r="F1726" s="4"/>
      <c r="G1726" s="4"/>
      <c r="H1726" s="4"/>
      <c r="I1726" s="4"/>
      <c r="J1726" s="4"/>
      <c r="K1726" s="5"/>
      <c r="L1726" s="18" t="s">
        <v>7</v>
      </c>
      <c r="M1726" s="19">
        <v>65.0</v>
      </c>
      <c r="N1726" s="20"/>
      <c r="O1726" s="4"/>
      <c r="P1726" s="4"/>
      <c r="Q1726" s="4"/>
      <c r="R1726" s="5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</row>
    <row r="1727">
      <c r="A1727" s="2"/>
      <c r="B1727" s="26"/>
      <c r="C1727" s="27" t="s">
        <v>8</v>
      </c>
      <c r="K1727" s="10"/>
      <c r="L1727" s="18" t="s">
        <v>9</v>
      </c>
      <c r="M1727" s="175">
        <v>46058.0</v>
      </c>
      <c r="N1727" s="6"/>
      <c r="R1727" s="10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</row>
    <row r="1728">
      <c r="A1728" s="2"/>
      <c r="B1728" s="16" t="s">
        <v>11</v>
      </c>
      <c r="C1728" s="30" t="s">
        <v>12</v>
      </c>
      <c r="D1728" s="31"/>
      <c r="E1728" s="31"/>
      <c r="F1728" s="31"/>
      <c r="G1728" s="31"/>
      <c r="H1728" s="31"/>
      <c r="I1728" s="31"/>
      <c r="J1728" s="31"/>
      <c r="K1728" s="32"/>
      <c r="L1728" s="18" t="s">
        <v>13</v>
      </c>
      <c r="M1728" s="33" t="s">
        <v>14</v>
      </c>
      <c r="N1728" s="34"/>
      <c r="O1728" s="31"/>
      <c r="P1728" s="31"/>
      <c r="Q1728" s="31"/>
      <c r="R1728" s="3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</row>
    <row r="1729">
      <c r="A1729" s="2"/>
      <c r="B1729" s="8"/>
      <c r="R1729" s="10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</row>
    <row r="1730">
      <c r="A1730" s="2"/>
      <c r="B1730" s="39" t="s">
        <v>15</v>
      </c>
      <c r="C1730" s="40" t="s">
        <v>16</v>
      </c>
      <c r="D1730" s="41" t="s">
        <v>17</v>
      </c>
      <c r="E1730" s="41" t="s">
        <v>18</v>
      </c>
      <c r="F1730" s="42" t="s">
        <v>19</v>
      </c>
      <c r="G1730" s="43"/>
      <c r="H1730" s="43"/>
      <c r="I1730" s="43"/>
      <c r="J1730" s="44"/>
      <c r="K1730" s="41" t="s">
        <v>20</v>
      </c>
      <c r="L1730" s="41" t="s">
        <v>21</v>
      </c>
      <c r="M1730" s="41" t="s">
        <v>22</v>
      </c>
      <c r="N1730" s="41" t="s">
        <v>23</v>
      </c>
      <c r="O1730" s="41" t="s">
        <v>24</v>
      </c>
      <c r="P1730" s="41" t="s">
        <v>25</v>
      </c>
      <c r="Q1730" s="41" t="s">
        <v>26</v>
      </c>
      <c r="R1730" s="45" t="s">
        <v>27</v>
      </c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</row>
    <row r="1731">
      <c r="A1731" s="2"/>
      <c r="B1731" s="52">
        <v>1.0</v>
      </c>
      <c r="C1731" s="53">
        <v>1.004700191E9</v>
      </c>
      <c r="D1731" s="53" t="s">
        <v>130</v>
      </c>
      <c r="E1731" s="53" t="s">
        <v>35</v>
      </c>
      <c r="F1731" s="53" t="s">
        <v>36</v>
      </c>
      <c r="G1731" s="53" t="s">
        <v>40</v>
      </c>
      <c r="H1731" s="53" t="s">
        <v>37</v>
      </c>
      <c r="I1731" s="55"/>
      <c r="J1731" s="55"/>
      <c r="K1731" s="53" t="s">
        <v>38</v>
      </c>
      <c r="L1731" s="53" t="s">
        <v>97</v>
      </c>
      <c r="M1731" s="53">
        <v>3267.0</v>
      </c>
      <c r="N1731" s="53">
        <v>200.0</v>
      </c>
      <c r="O1731" s="53">
        <v>19.28</v>
      </c>
      <c r="P1731" s="55">
        <f t="shared" ref="P1731:P1740" si="131">N1731*O1731</f>
        <v>3856</v>
      </c>
      <c r="Q1731" s="53"/>
      <c r="R1731" s="105">
        <f t="shared" ref="R1731:R1740" si="132">P1731+Q1731</f>
        <v>3856</v>
      </c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</row>
    <row r="1732">
      <c r="A1732" s="2"/>
      <c r="B1732" s="52">
        <v>2.0</v>
      </c>
      <c r="C1732" s="53">
        <v>1.004700899E9</v>
      </c>
      <c r="D1732" s="53" t="s">
        <v>165</v>
      </c>
      <c r="E1732" s="53" t="s">
        <v>35</v>
      </c>
      <c r="F1732" s="53" t="s">
        <v>36</v>
      </c>
      <c r="G1732" s="53"/>
      <c r="H1732" s="53"/>
      <c r="I1732" s="55"/>
      <c r="J1732" s="55"/>
      <c r="K1732" s="53" t="s">
        <v>38</v>
      </c>
      <c r="L1732" s="53" t="s">
        <v>41</v>
      </c>
      <c r="M1732" s="53">
        <v>3283.0</v>
      </c>
      <c r="N1732" s="53">
        <v>130.0</v>
      </c>
      <c r="O1732" s="53">
        <v>19.28</v>
      </c>
      <c r="P1732" s="55">
        <f t="shared" si="131"/>
        <v>2506.4</v>
      </c>
      <c r="Q1732" s="55"/>
      <c r="R1732" s="105">
        <f t="shared" si="132"/>
        <v>2506.4</v>
      </c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</row>
    <row r="1733">
      <c r="A1733" s="2"/>
      <c r="B1733" s="52">
        <v>3.0</v>
      </c>
      <c r="C1733" s="53">
        <v>1.004700585E9</v>
      </c>
      <c r="D1733" s="53" t="s">
        <v>165</v>
      </c>
      <c r="E1733" s="53" t="s">
        <v>47</v>
      </c>
      <c r="F1733" s="53" t="s">
        <v>44</v>
      </c>
      <c r="G1733" s="53" t="s">
        <v>48</v>
      </c>
      <c r="H1733" s="55"/>
      <c r="I1733" s="55"/>
      <c r="J1733" s="55"/>
      <c r="K1733" s="53" t="s">
        <v>45</v>
      </c>
      <c r="L1733" s="53" t="s">
        <v>98</v>
      </c>
      <c r="M1733" s="53">
        <v>1523.0</v>
      </c>
      <c r="N1733" s="53">
        <v>250.0</v>
      </c>
      <c r="O1733" s="53">
        <v>15.53</v>
      </c>
      <c r="P1733" s="55">
        <f t="shared" si="131"/>
        <v>3882.5</v>
      </c>
      <c r="Q1733" s="55"/>
      <c r="R1733" s="105">
        <f t="shared" si="132"/>
        <v>3882.5</v>
      </c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</row>
    <row r="1734">
      <c r="A1734" s="2"/>
      <c r="B1734" s="52">
        <v>4.0</v>
      </c>
      <c r="C1734" s="53">
        <v>1.004700611E9</v>
      </c>
      <c r="D1734" s="53" t="s">
        <v>165</v>
      </c>
      <c r="E1734" s="53" t="s">
        <v>51</v>
      </c>
      <c r="F1734" s="53" t="s">
        <v>44</v>
      </c>
      <c r="G1734" s="53" t="s">
        <v>49</v>
      </c>
      <c r="H1734" s="55"/>
      <c r="I1734" s="55"/>
      <c r="J1734" s="55"/>
      <c r="K1734" s="53" t="s">
        <v>45</v>
      </c>
      <c r="L1734" s="53" t="s">
        <v>50</v>
      </c>
      <c r="M1734" s="53">
        <v>1630.0</v>
      </c>
      <c r="N1734" s="53">
        <v>230.0</v>
      </c>
      <c r="O1734" s="53">
        <v>15.53</v>
      </c>
      <c r="P1734" s="55">
        <f t="shared" si="131"/>
        <v>3571.9</v>
      </c>
      <c r="Q1734" s="55"/>
      <c r="R1734" s="105">
        <f t="shared" si="132"/>
        <v>3571.9</v>
      </c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</row>
    <row r="1735">
      <c r="A1735" s="2"/>
      <c r="B1735" s="52">
        <v>5.0</v>
      </c>
      <c r="C1735" s="53">
        <v>1.004701178E9</v>
      </c>
      <c r="D1735" s="53" t="s">
        <v>165</v>
      </c>
      <c r="E1735" s="53" t="s">
        <v>51</v>
      </c>
      <c r="F1735" s="53" t="s">
        <v>44</v>
      </c>
      <c r="G1735" s="53"/>
      <c r="H1735" s="55"/>
      <c r="I1735" s="55"/>
      <c r="J1735" s="55"/>
      <c r="K1735" s="53" t="s">
        <v>45</v>
      </c>
      <c r="L1735" s="53" t="s">
        <v>52</v>
      </c>
      <c r="M1735" s="53">
        <v>1748.0</v>
      </c>
      <c r="N1735" s="53">
        <v>230.0</v>
      </c>
      <c r="O1735" s="53">
        <v>15.53</v>
      </c>
      <c r="P1735" s="55">
        <f t="shared" si="131"/>
        <v>3571.9</v>
      </c>
      <c r="Q1735" s="55"/>
      <c r="R1735" s="105">
        <f t="shared" si="132"/>
        <v>3571.9</v>
      </c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</row>
    <row r="1736">
      <c r="A1736" s="2"/>
      <c r="B1736" s="52">
        <v>6.0</v>
      </c>
      <c r="C1736" s="53">
        <v>1.004700811E9</v>
      </c>
      <c r="D1736" s="53" t="s">
        <v>165</v>
      </c>
      <c r="E1736" s="53" t="s">
        <v>51</v>
      </c>
      <c r="F1736" s="53" t="s">
        <v>44</v>
      </c>
      <c r="G1736" s="55"/>
      <c r="H1736" s="55"/>
      <c r="I1736" s="55"/>
      <c r="J1736" s="55"/>
      <c r="K1736" s="53" t="s">
        <v>45</v>
      </c>
      <c r="L1736" s="53" t="s">
        <v>54</v>
      </c>
      <c r="M1736" s="53">
        <v>1585.0</v>
      </c>
      <c r="N1736" s="53">
        <v>230.0</v>
      </c>
      <c r="O1736" s="53">
        <v>15.53</v>
      </c>
      <c r="P1736" s="55">
        <f t="shared" si="131"/>
        <v>3571.9</v>
      </c>
      <c r="Q1736" s="55"/>
      <c r="R1736" s="105">
        <f t="shared" si="132"/>
        <v>3571.9</v>
      </c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</row>
    <row r="1737">
      <c r="A1737" s="2"/>
      <c r="B1737" s="52">
        <v>7.0</v>
      </c>
      <c r="C1737" s="53">
        <v>1.004701325E9</v>
      </c>
      <c r="D1737" s="53" t="s">
        <v>165</v>
      </c>
      <c r="E1737" s="53" t="s">
        <v>106</v>
      </c>
      <c r="F1737" s="53" t="s">
        <v>107</v>
      </c>
      <c r="G1737" s="53" t="s">
        <v>108</v>
      </c>
      <c r="H1737" s="53" t="s">
        <v>109</v>
      </c>
      <c r="I1737" s="55"/>
      <c r="J1737" s="55"/>
      <c r="K1737" s="53" t="s">
        <v>33</v>
      </c>
      <c r="L1737" s="53" t="s">
        <v>118</v>
      </c>
      <c r="M1737" s="53">
        <v>2189.0</v>
      </c>
      <c r="N1737" s="53">
        <v>482.0</v>
      </c>
      <c r="O1737" s="53">
        <v>15.53</v>
      </c>
      <c r="P1737" s="55">
        <f t="shared" si="131"/>
        <v>7485.46</v>
      </c>
      <c r="Q1737" s="55"/>
      <c r="R1737" s="105">
        <f t="shared" si="132"/>
        <v>7485.46</v>
      </c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</row>
    <row r="1738">
      <c r="A1738" s="2"/>
      <c r="B1738" s="52">
        <v>8.0</v>
      </c>
      <c r="C1738" s="53">
        <v>1.00470142E9</v>
      </c>
      <c r="D1738" s="53" t="s">
        <v>165</v>
      </c>
      <c r="E1738" s="53" t="s">
        <v>82</v>
      </c>
      <c r="F1738" s="53" t="s">
        <v>87</v>
      </c>
      <c r="G1738" s="53" t="s">
        <v>86</v>
      </c>
      <c r="H1738" s="53" t="s">
        <v>88</v>
      </c>
      <c r="I1738" s="55"/>
      <c r="J1738" s="55"/>
      <c r="K1738" s="53" t="s">
        <v>38</v>
      </c>
      <c r="L1738" s="53" t="s">
        <v>101</v>
      </c>
      <c r="M1738" s="53">
        <v>3240.0</v>
      </c>
      <c r="N1738" s="53">
        <v>484.0</v>
      </c>
      <c r="O1738" s="53">
        <v>19.28</v>
      </c>
      <c r="P1738" s="55">
        <f t="shared" si="131"/>
        <v>9331.52</v>
      </c>
      <c r="Q1738" s="53">
        <v>930.0</v>
      </c>
      <c r="R1738" s="105">
        <f t="shared" si="132"/>
        <v>10261.52</v>
      </c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</row>
    <row r="1739">
      <c r="A1739" s="2"/>
      <c r="B1739" s="52">
        <v>9.0</v>
      </c>
      <c r="C1739" s="53">
        <v>1.004702343E9</v>
      </c>
      <c r="D1739" s="53" t="s">
        <v>166</v>
      </c>
      <c r="E1739" s="53" t="s">
        <v>28</v>
      </c>
      <c r="F1739" s="53" t="s">
        <v>29</v>
      </c>
      <c r="G1739" s="53" t="s">
        <v>30</v>
      </c>
      <c r="H1739" s="53" t="s">
        <v>31</v>
      </c>
      <c r="I1739" s="53" t="s">
        <v>32</v>
      </c>
      <c r="J1739" s="55"/>
      <c r="K1739" s="53" t="s">
        <v>33</v>
      </c>
      <c r="L1739" s="53" t="s">
        <v>34</v>
      </c>
      <c r="M1739" s="53">
        <v>1911.0</v>
      </c>
      <c r="N1739" s="53">
        <v>246.0</v>
      </c>
      <c r="O1739" s="53">
        <v>15.53</v>
      </c>
      <c r="P1739" s="55">
        <f t="shared" si="131"/>
        <v>3820.38</v>
      </c>
      <c r="Q1739" s="53"/>
      <c r="R1739" s="105">
        <f t="shared" si="132"/>
        <v>3820.38</v>
      </c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</row>
    <row r="1740">
      <c r="A1740" s="2"/>
      <c r="B1740" s="52">
        <v>10.0</v>
      </c>
      <c r="C1740" s="53">
        <v>1.004702303E9</v>
      </c>
      <c r="D1740" s="53" t="s">
        <v>166</v>
      </c>
      <c r="E1740" s="53" t="s">
        <v>35</v>
      </c>
      <c r="F1740" s="53" t="s">
        <v>36</v>
      </c>
      <c r="G1740" s="53" t="s">
        <v>40</v>
      </c>
      <c r="H1740" s="53" t="s">
        <v>37</v>
      </c>
      <c r="I1740" s="55"/>
      <c r="J1740" s="55"/>
      <c r="K1740" s="53" t="s">
        <v>38</v>
      </c>
      <c r="L1740" s="53" t="s">
        <v>97</v>
      </c>
      <c r="M1740" s="53">
        <v>3384.0</v>
      </c>
      <c r="N1740" s="53">
        <v>200.0</v>
      </c>
      <c r="O1740" s="53">
        <v>19.28</v>
      </c>
      <c r="P1740" s="55">
        <f t="shared" si="131"/>
        <v>3856</v>
      </c>
      <c r="Q1740" s="53"/>
      <c r="R1740" s="105">
        <f t="shared" si="132"/>
        <v>3856</v>
      </c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</row>
    <row r="1741">
      <c r="A1741" s="2"/>
      <c r="B1741" s="8"/>
      <c r="C1741" s="6"/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5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</row>
    <row r="1742">
      <c r="A1742" s="2"/>
      <c r="B1742" s="67" t="s">
        <v>64</v>
      </c>
      <c r="C1742" s="68"/>
      <c r="D1742" s="69" t="str">
        <f>MONEYTEXT(R1742, "INR")</f>
        <v>Forty-six thousand three hundred eighty-three Indian rupees and ninety-six paise</v>
      </c>
      <c r="E1742" s="68"/>
      <c r="F1742" s="68"/>
      <c r="G1742" s="68"/>
      <c r="H1742" s="68"/>
      <c r="I1742" s="68"/>
      <c r="J1742" s="68"/>
      <c r="K1742" s="68"/>
      <c r="L1742" s="68"/>
      <c r="M1742" s="68"/>
      <c r="N1742" s="70" t="s">
        <v>65</v>
      </c>
      <c r="O1742" s="4"/>
      <c r="P1742" s="96">
        <f t="shared" ref="P1742:R1742" si="133">SUM(P1731:P1740)</f>
        <v>45453.96</v>
      </c>
      <c r="Q1742" s="96">
        <f t="shared" si="133"/>
        <v>930</v>
      </c>
      <c r="R1742" s="96">
        <f t="shared" si="133"/>
        <v>46383.96</v>
      </c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</row>
    <row r="1743">
      <c r="A1743" s="2"/>
      <c r="B1743" s="67" t="s">
        <v>66</v>
      </c>
      <c r="C1743" s="68"/>
      <c r="D1743" s="68"/>
      <c r="E1743" s="68"/>
      <c r="F1743" s="68"/>
      <c r="G1743" s="68"/>
      <c r="H1743" s="68"/>
      <c r="I1743" s="68"/>
      <c r="J1743" s="68"/>
      <c r="K1743" s="68"/>
      <c r="L1743" s="68"/>
      <c r="M1743" s="68"/>
      <c r="N1743" s="68"/>
      <c r="O1743" s="76"/>
      <c r="P1743" s="97" t="s">
        <v>67</v>
      </c>
      <c r="Q1743" s="31"/>
      <c r="R1743" s="3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</row>
    <row r="1744">
      <c r="A1744" s="2"/>
      <c r="B1744" s="79" t="s">
        <v>68</v>
      </c>
      <c r="P1744" s="27"/>
      <c r="Q1744" s="27"/>
      <c r="R1744" s="83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</row>
    <row r="1745">
      <c r="A1745" s="2"/>
      <c r="B1745" s="79" t="s">
        <v>70</v>
      </c>
      <c r="P1745" s="27"/>
      <c r="Q1745" s="27"/>
      <c r="R1745" s="83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</row>
    <row r="1746">
      <c r="A1746" s="2"/>
      <c r="B1746" s="8"/>
      <c r="C1746" s="6"/>
      <c r="D1746" s="6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5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</row>
    <row r="1747">
      <c r="A1747" s="2"/>
      <c r="B1747" s="8"/>
      <c r="C1747" s="6"/>
      <c r="D1747" s="6"/>
      <c r="E1747" s="6"/>
      <c r="F1747" s="6"/>
      <c r="G1747" s="6"/>
      <c r="H1747" s="6"/>
      <c r="I1747" s="6"/>
      <c r="J1747" s="6"/>
      <c r="K1747" s="19" t="s">
        <v>71</v>
      </c>
      <c r="L1747" s="6"/>
      <c r="M1747" s="6"/>
      <c r="N1747" s="6"/>
      <c r="O1747" s="6"/>
      <c r="P1747" s="9" t="s">
        <v>72</v>
      </c>
      <c r="R1747" s="10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</row>
    <row r="1748">
      <c r="A1748" s="2"/>
      <c r="B1748" s="88"/>
      <c r="C1748" s="34"/>
      <c r="D1748" s="34"/>
      <c r="E1748" s="34"/>
      <c r="F1748" s="34"/>
      <c r="G1748" s="34"/>
      <c r="H1748" s="34"/>
      <c r="I1748" s="34"/>
      <c r="J1748" s="34"/>
      <c r="K1748" s="34"/>
      <c r="L1748" s="34"/>
      <c r="M1748" s="34"/>
      <c r="N1748" s="34"/>
      <c r="O1748" s="34"/>
      <c r="P1748" s="34"/>
      <c r="Q1748" s="34"/>
      <c r="R1748" s="89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</row>
    <row r="1749">
      <c r="A1749" s="2"/>
      <c r="B1749" s="177"/>
      <c r="C1749" s="177"/>
      <c r="D1749" s="177"/>
      <c r="E1749" s="177"/>
      <c r="F1749" s="177"/>
      <c r="G1749" s="177"/>
      <c r="H1749" s="177"/>
      <c r="I1749" s="177"/>
      <c r="J1749" s="177"/>
      <c r="K1749" s="177"/>
      <c r="L1749" s="177"/>
      <c r="M1749" s="177"/>
      <c r="N1749" s="177"/>
      <c r="O1749" s="177"/>
      <c r="P1749" s="177"/>
      <c r="Q1749" s="177"/>
      <c r="R1749" s="177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</row>
    <row r="1750">
      <c r="A1750" s="2"/>
      <c r="B1750" s="177"/>
      <c r="C1750" s="177"/>
      <c r="D1750" s="177"/>
      <c r="E1750" s="177"/>
      <c r="F1750" s="177"/>
      <c r="G1750" s="177"/>
      <c r="H1750" s="177"/>
      <c r="I1750" s="177"/>
      <c r="J1750" s="177"/>
      <c r="K1750" s="177"/>
      <c r="L1750" s="177"/>
      <c r="M1750" s="177"/>
      <c r="N1750" s="177"/>
      <c r="O1750" s="177"/>
      <c r="P1750" s="177"/>
      <c r="Q1750" s="177"/>
      <c r="R1750" s="177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</row>
    <row r="1751">
      <c r="A1751" s="2"/>
      <c r="B1751" s="177"/>
      <c r="C1751" s="177"/>
      <c r="D1751" s="177"/>
      <c r="E1751" s="177"/>
      <c r="F1751" s="177"/>
      <c r="G1751" s="177"/>
      <c r="H1751" s="177"/>
      <c r="I1751" s="177"/>
      <c r="J1751" s="177"/>
      <c r="K1751" s="177"/>
      <c r="L1751" s="177"/>
      <c r="M1751" s="177"/>
      <c r="N1751" s="177"/>
      <c r="O1751" s="177"/>
      <c r="P1751" s="177"/>
      <c r="Q1751" s="177"/>
      <c r="R1751" s="177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</row>
    <row r="1752">
      <c r="A1752" s="2"/>
      <c r="B1752" s="177"/>
      <c r="C1752" s="177"/>
      <c r="D1752" s="177"/>
      <c r="E1752" s="177"/>
      <c r="F1752" s="177"/>
      <c r="G1752" s="177"/>
      <c r="H1752" s="177"/>
      <c r="I1752" s="177"/>
      <c r="J1752" s="177"/>
      <c r="K1752" s="177"/>
      <c r="L1752" s="177"/>
      <c r="M1752" s="177"/>
      <c r="N1752" s="177"/>
      <c r="O1752" s="177"/>
      <c r="P1752" s="177"/>
      <c r="Q1752" s="177"/>
      <c r="R1752" s="177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</row>
    <row r="1753">
      <c r="A1753" s="2"/>
      <c r="B1753" s="177"/>
      <c r="C1753" s="177"/>
      <c r="D1753" s="177"/>
      <c r="E1753" s="177"/>
      <c r="F1753" s="177"/>
      <c r="G1753" s="177"/>
      <c r="H1753" s="177"/>
      <c r="I1753" s="177"/>
      <c r="J1753" s="177"/>
      <c r="K1753" s="177"/>
      <c r="L1753" s="177"/>
      <c r="M1753" s="177"/>
      <c r="N1753" s="177"/>
      <c r="O1753" s="177"/>
      <c r="P1753" s="177"/>
      <c r="Q1753" s="177"/>
      <c r="R1753" s="177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</row>
    <row r="1754">
      <c r="A1754" s="2"/>
      <c r="B1754" s="176" t="s">
        <v>1</v>
      </c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5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</row>
    <row r="1755">
      <c r="A1755" s="2"/>
      <c r="B1755" s="8"/>
      <c r="F1755" s="9"/>
      <c r="G1755" s="9"/>
      <c r="H1755" s="9"/>
      <c r="I1755" s="9"/>
      <c r="J1755" s="9" t="s">
        <v>2</v>
      </c>
      <c r="N1755" s="6"/>
      <c r="R1755" s="10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</row>
    <row r="1756">
      <c r="A1756" s="2"/>
      <c r="B1756" s="13"/>
      <c r="F1756" s="9"/>
      <c r="G1756" s="9"/>
      <c r="H1756" s="9"/>
      <c r="I1756" s="9"/>
      <c r="J1756" s="9" t="s">
        <v>3</v>
      </c>
      <c r="N1756" s="6"/>
      <c r="R1756" s="10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</row>
    <row r="1757">
      <c r="A1757" s="2"/>
      <c r="B1757" s="13" t="s">
        <v>4</v>
      </c>
      <c r="R1757" s="10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</row>
    <row r="1758">
      <c r="A1758" s="2"/>
      <c r="B1758" s="16" t="s">
        <v>5</v>
      </c>
      <c r="C1758" s="17" t="s">
        <v>6</v>
      </c>
      <c r="D1758" s="4"/>
      <c r="E1758" s="4"/>
      <c r="F1758" s="4"/>
      <c r="G1758" s="4"/>
      <c r="H1758" s="4"/>
      <c r="I1758" s="4"/>
      <c r="J1758" s="4"/>
      <c r="K1758" s="5"/>
      <c r="L1758" s="18" t="s">
        <v>7</v>
      </c>
      <c r="M1758" s="19">
        <v>66.0</v>
      </c>
      <c r="N1758" s="20"/>
      <c r="O1758" s="4"/>
      <c r="P1758" s="4"/>
      <c r="Q1758" s="4"/>
      <c r="R1758" s="5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</row>
    <row r="1759">
      <c r="A1759" s="2"/>
      <c r="B1759" s="26"/>
      <c r="C1759" s="27" t="s">
        <v>8</v>
      </c>
      <c r="K1759" s="10"/>
      <c r="L1759" s="18" t="s">
        <v>9</v>
      </c>
      <c r="M1759" s="175">
        <v>46058.0</v>
      </c>
      <c r="N1759" s="6"/>
      <c r="R1759" s="10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</row>
    <row r="1760">
      <c r="A1760" s="2"/>
      <c r="B1760" s="16" t="s">
        <v>11</v>
      </c>
      <c r="C1760" s="30" t="s">
        <v>12</v>
      </c>
      <c r="D1760" s="31"/>
      <c r="E1760" s="31"/>
      <c r="F1760" s="31"/>
      <c r="G1760" s="31"/>
      <c r="H1760" s="31"/>
      <c r="I1760" s="31"/>
      <c r="J1760" s="31"/>
      <c r="K1760" s="32"/>
      <c r="L1760" s="18" t="s">
        <v>13</v>
      </c>
      <c r="M1760" s="33" t="s">
        <v>14</v>
      </c>
      <c r="N1760" s="34"/>
      <c r="O1760" s="31"/>
      <c r="P1760" s="31"/>
      <c r="Q1760" s="31"/>
      <c r="R1760" s="3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</row>
    <row r="1761">
      <c r="A1761" s="2"/>
      <c r="B1761" s="8"/>
      <c r="R1761" s="10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</row>
    <row r="1762">
      <c r="A1762" s="2"/>
      <c r="B1762" s="39" t="s">
        <v>15</v>
      </c>
      <c r="C1762" s="40" t="s">
        <v>16</v>
      </c>
      <c r="D1762" s="41" t="s">
        <v>17</v>
      </c>
      <c r="E1762" s="41" t="s">
        <v>18</v>
      </c>
      <c r="F1762" s="42" t="s">
        <v>19</v>
      </c>
      <c r="G1762" s="43"/>
      <c r="H1762" s="43"/>
      <c r="I1762" s="43"/>
      <c r="J1762" s="44"/>
      <c r="K1762" s="41" t="s">
        <v>20</v>
      </c>
      <c r="L1762" s="41" t="s">
        <v>21</v>
      </c>
      <c r="M1762" s="41" t="s">
        <v>22</v>
      </c>
      <c r="N1762" s="41" t="s">
        <v>23</v>
      </c>
      <c r="O1762" s="41" t="s">
        <v>24</v>
      </c>
      <c r="P1762" s="41" t="s">
        <v>25</v>
      </c>
      <c r="Q1762" s="41" t="s">
        <v>26</v>
      </c>
      <c r="R1762" s="45" t="s">
        <v>27</v>
      </c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</row>
    <row r="1763">
      <c r="A1763" s="2"/>
      <c r="B1763" s="52">
        <v>1.0</v>
      </c>
      <c r="C1763" s="53">
        <v>1.004702899E9</v>
      </c>
      <c r="D1763" s="53" t="s">
        <v>166</v>
      </c>
      <c r="E1763" s="53" t="s">
        <v>51</v>
      </c>
      <c r="F1763" s="53" t="s">
        <v>44</v>
      </c>
      <c r="G1763" s="53"/>
      <c r="H1763" s="53"/>
      <c r="I1763" s="55"/>
      <c r="J1763" s="55"/>
      <c r="K1763" s="53" t="s">
        <v>45</v>
      </c>
      <c r="L1763" s="53" t="s">
        <v>54</v>
      </c>
      <c r="M1763" s="53">
        <v>1554.0</v>
      </c>
      <c r="N1763" s="53">
        <v>230.0</v>
      </c>
      <c r="O1763" s="53">
        <v>15.53</v>
      </c>
      <c r="P1763" s="55">
        <f t="shared" ref="P1763:P1772" si="134">N1763*O1763</f>
        <v>3571.9</v>
      </c>
      <c r="Q1763" s="53"/>
      <c r="R1763" s="105">
        <f t="shared" ref="R1763:R1772" si="135">P1763+Q1763</f>
        <v>3571.9</v>
      </c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</row>
    <row r="1764">
      <c r="A1764" s="2"/>
      <c r="B1764" s="52">
        <v>2.0</v>
      </c>
      <c r="C1764" s="53">
        <v>1.004702484E9</v>
      </c>
      <c r="D1764" s="53" t="s">
        <v>166</v>
      </c>
      <c r="E1764" s="53" t="s">
        <v>42</v>
      </c>
      <c r="F1764" s="53" t="s">
        <v>43</v>
      </c>
      <c r="G1764" s="53" t="s">
        <v>44</v>
      </c>
      <c r="H1764" s="53"/>
      <c r="I1764" s="55"/>
      <c r="J1764" s="55"/>
      <c r="K1764" s="53" t="s">
        <v>45</v>
      </c>
      <c r="L1764" s="53" t="s">
        <v>46</v>
      </c>
      <c r="M1764" s="53">
        <v>1554.0</v>
      </c>
      <c r="N1764" s="53">
        <v>299.0</v>
      </c>
      <c r="O1764" s="53">
        <v>15.53</v>
      </c>
      <c r="P1764" s="55">
        <f t="shared" si="134"/>
        <v>4643.47</v>
      </c>
      <c r="Q1764" s="55"/>
      <c r="R1764" s="105">
        <f t="shared" si="135"/>
        <v>4643.47</v>
      </c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</row>
    <row r="1765">
      <c r="A1765" s="2"/>
      <c r="B1765" s="52">
        <v>3.0</v>
      </c>
      <c r="C1765" s="53">
        <v>1.004702778E9</v>
      </c>
      <c r="D1765" s="53" t="s">
        <v>166</v>
      </c>
      <c r="E1765" s="53" t="s">
        <v>51</v>
      </c>
      <c r="F1765" s="53" t="s">
        <v>44</v>
      </c>
      <c r="G1765" s="53" t="s">
        <v>49</v>
      </c>
      <c r="H1765" s="55"/>
      <c r="I1765" s="55"/>
      <c r="J1765" s="55"/>
      <c r="K1765" s="53" t="s">
        <v>45</v>
      </c>
      <c r="L1765" s="53" t="s">
        <v>50</v>
      </c>
      <c r="M1765" s="53">
        <v>1612.0</v>
      </c>
      <c r="N1765" s="53">
        <v>230.0</v>
      </c>
      <c r="O1765" s="53">
        <v>15.53</v>
      </c>
      <c r="P1765" s="55">
        <f t="shared" si="134"/>
        <v>3571.9</v>
      </c>
      <c r="Q1765" s="55"/>
      <c r="R1765" s="105">
        <f t="shared" si="135"/>
        <v>3571.9</v>
      </c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</row>
    <row r="1766">
      <c r="A1766" s="2"/>
      <c r="B1766" s="52">
        <v>4.0</v>
      </c>
      <c r="C1766" s="53">
        <v>1.004702982E9</v>
      </c>
      <c r="D1766" s="53" t="s">
        <v>166</v>
      </c>
      <c r="E1766" s="53" t="s">
        <v>51</v>
      </c>
      <c r="F1766" s="53" t="s">
        <v>44</v>
      </c>
      <c r="G1766" s="53"/>
      <c r="H1766" s="55"/>
      <c r="I1766" s="55"/>
      <c r="J1766" s="55"/>
      <c r="K1766" s="53" t="s">
        <v>45</v>
      </c>
      <c r="L1766" s="53" t="s">
        <v>52</v>
      </c>
      <c r="M1766" s="53">
        <v>1603.0</v>
      </c>
      <c r="N1766" s="53">
        <v>230.0</v>
      </c>
      <c r="O1766" s="53">
        <v>15.53</v>
      </c>
      <c r="P1766" s="55">
        <f t="shared" si="134"/>
        <v>3571.9</v>
      </c>
      <c r="Q1766" s="55"/>
      <c r="R1766" s="105">
        <f t="shared" si="135"/>
        <v>3571.9</v>
      </c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</row>
    <row r="1767">
      <c r="A1767" s="2"/>
      <c r="B1767" s="52">
        <v>5.0</v>
      </c>
      <c r="C1767" s="53">
        <v>1.004703221E9</v>
      </c>
      <c r="D1767" s="53" t="s">
        <v>166</v>
      </c>
      <c r="E1767" s="53" t="s">
        <v>51</v>
      </c>
      <c r="F1767" s="53" t="s">
        <v>44</v>
      </c>
      <c r="G1767" s="53" t="s">
        <v>49</v>
      </c>
      <c r="H1767" s="55"/>
      <c r="I1767" s="55"/>
      <c r="J1767" s="55"/>
      <c r="K1767" s="53" t="s">
        <v>45</v>
      </c>
      <c r="L1767" s="53" t="s">
        <v>53</v>
      </c>
      <c r="M1767" s="53">
        <v>1626.0</v>
      </c>
      <c r="N1767" s="53">
        <v>230.0</v>
      </c>
      <c r="O1767" s="53">
        <v>15.53</v>
      </c>
      <c r="P1767" s="55">
        <f t="shared" si="134"/>
        <v>3571.9</v>
      </c>
      <c r="Q1767" s="55"/>
      <c r="R1767" s="105">
        <f t="shared" si="135"/>
        <v>3571.9</v>
      </c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</row>
    <row r="1768">
      <c r="A1768" s="2"/>
      <c r="B1768" s="52">
        <v>6.0</v>
      </c>
      <c r="C1768" s="53">
        <v>1.004702734E9</v>
      </c>
      <c r="D1768" s="53" t="s">
        <v>166</v>
      </c>
      <c r="E1768" s="53" t="s">
        <v>90</v>
      </c>
      <c r="F1768" s="53" t="s">
        <v>83</v>
      </c>
      <c r="G1768" s="53" t="s">
        <v>91</v>
      </c>
      <c r="H1768" s="55"/>
      <c r="I1768" s="55"/>
      <c r="J1768" s="55"/>
      <c r="K1768" s="53" t="s">
        <v>80</v>
      </c>
      <c r="L1768" s="53" t="s">
        <v>95</v>
      </c>
      <c r="M1768" s="53">
        <v>2598.0</v>
      </c>
      <c r="N1768" s="53">
        <v>216.0</v>
      </c>
      <c r="O1768" s="53">
        <v>18.28</v>
      </c>
      <c r="P1768" s="55">
        <f t="shared" si="134"/>
        <v>3948.48</v>
      </c>
      <c r="Q1768" s="55"/>
      <c r="R1768" s="105">
        <f t="shared" si="135"/>
        <v>3948.48</v>
      </c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</row>
    <row r="1769">
      <c r="A1769" s="2"/>
      <c r="B1769" s="52">
        <v>7.0</v>
      </c>
      <c r="C1769" s="53">
        <v>1.004703463E9</v>
      </c>
      <c r="D1769" s="53" t="s">
        <v>166</v>
      </c>
      <c r="E1769" s="53" t="s">
        <v>61</v>
      </c>
      <c r="F1769" s="53" t="s">
        <v>74</v>
      </c>
      <c r="G1769" s="53" t="s">
        <v>62</v>
      </c>
      <c r="H1769" s="53"/>
      <c r="I1769" s="55"/>
      <c r="J1769" s="55"/>
      <c r="K1769" s="53" t="s">
        <v>80</v>
      </c>
      <c r="L1769" s="53" t="s">
        <v>34</v>
      </c>
      <c r="M1769" s="53">
        <v>2763.0</v>
      </c>
      <c r="N1769" s="53">
        <v>330.0</v>
      </c>
      <c r="O1769" s="53">
        <v>18.28</v>
      </c>
      <c r="P1769" s="55">
        <f t="shared" si="134"/>
        <v>6032.4</v>
      </c>
      <c r="Q1769" s="53">
        <v>820.0</v>
      </c>
      <c r="R1769" s="105">
        <f t="shared" si="135"/>
        <v>6852.4</v>
      </c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</row>
    <row r="1770">
      <c r="A1770" s="2"/>
      <c r="B1770" s="52">
        <v>8.0</v>
      </c>
      <c r="C1770" s="53">
        <v>1.004703457E9</v>
      </c>
      <c r="D1770" s="53" t="s">
        <v>166</v>
      </c>
      <c r="E1770" s="53" t="s">
        <v>61</v>
      </c>
      <c r="F1770" s="53" t="s">
        <v>75</v>
      </c>
      <c r="G1770" s="53" t="s">
        <v>73</v>
      </c>
      <c r="H1770" s="53" t="s">
        <v>74</v>
      </c>
      <c r="I1770" s="55"/>
      <c r="J1770" s="55"/>
      <c r="K1770" s="53" t="s">
        <v>38</v>
      </c>
      <c r="L1770" s="53" t="s">
        <v>110</v>
      </c>
      <c r="M1770" s="53">
        <v>3240.0</v>
      </c>
      <c r="N1770" s="53">
        <v>560.0</v>
      </c>
      <c r="O1770" s="53">
        <v>19.28</v>
      </c>
      <c r="P1770" s="55">
        <f t="shared" si="134"/>
        <v>10796.8</v>
      </c>
      <c r="Q1770" s="53">
        <v>1085.0</v>
      </c>
      <c r="R1770" s="105">
        <f t="shared" si="135"/>
        <v>11881.8</v>
      </c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</row>
    <row r="1771">
      <c r="A1771" s="2"/>
      <c r="B1771" s="52">
        <v>9.0</v>
      </c>
      <c r="C1771" s="53">
        <v>1.004703786E9</v>
      </c>
      <c r="D1771" s="53" t="s">
        <v>166</v>
      </c>
      <c r="E1771" s="53" t="s">
        <v>55</v>
      </c>
      <c r="F1771" s="53" t="s">
        <v>57</v>
      </c>
      <c r="G1771" s="53" t="s">
        <v>58</v>
      </c>
      <c r="H1771" s="53" t="s">
        <v>59</v>
      </c>
      <c r="I1771" s="55"/>
      <c r="J1771" s="55"/>
      <c r="K1771" s="53" t="s">
        <v>80</v>
      </c>
      <c r="L1771" s="53" t="s">
        <v>85</v>
      </c>
      <c r="M1771" s="53">
        <v>2422.0</v>
      </c>
      <c r="N1771" s="53">
        <v>518.0</v>
      </c>
      <c r="O1771" s="53">
        <v>18.28</v>
      </c>
      <c r="P1771" s="55">
        <f t="shared" si="134"/>
        <v>9469.04</v>
      </c>
      <c r="Q1771" s="53"/>
      <c r="R1771" s="105">
        <f t="shared" si="135"/>
        <v>9469.04</v>
      </c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</row>
    <row r="1772">
      <c r="A1772" s="2"/>
      <c r="B1772" s="52">
        <v>10.0</v>
      </c>
      <c r="C1772" s="53">
        <v>1.004703688E9</v>
      </c>
      <c r="D1772" s="53" t="s">
        <v>166</v>
      </c>
      <c r="E1772" s="53" t="s">
        <v>55</v>
      </c>
      <c r="F1772" s="53" t="s">
        <v>56</v>
      </c>
      <c r="G1772" s="53" t="s">
        <v>103</v>
      </c>
      <c r="H1772" s="55"/>
      <c r="I1772" s="55"/>
      <c r="J1772" s="55"/>
      <c r="K1772" s="53" t="s">
        <v>38</v>
      </c>
      <c r="L1772" s="53" t="s">
        <v>105</v>
      </c>
      <c r="M1772" s="53">
        <v>3188.0</v>
      </c>
      <c r="N1772" s="53">
        <v>772.0</v>
      </c>
      <c r="O1772" s="53">
        <v>19.28</v>
      </c>
      <c r="P1772" s="55">
        <f t="shared" si="134"/>
        <v>14884.16</v>
      </c>
      <c r="Q1772" s="53">
        <v>330.0</v>
      </c>
      <c r="R1772" s="105">
        <f t="shared" si="135"/>
        <v>15214.16</v>
      </c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</row>
    <row r="1773">
      <c r="A1773" s="2"/>
      <c r="B1773" s="8"/>
      <c r="C1773" s="6"/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5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</row>
    <row r="1774">
      <c r="A1774" s="2"/>
      <c r="B1774" s="67" t="s">
        <v>64</v>
      </c>
      <c r="C1774" s="68"/>
      <c r="D1774" s="69" t="str">
        <f>MONEYTEXT(R1774, "INR")</f>
        <v>Sixty-six thousand two hundred ninety-six Indian rupees and ninety-five paise</v>
      </c>
      <c r="E1774" s="68"/>
      <c r="F1774" s="68"/>
      <c r="G1774" s="68"/>
      <c r="H1774" s="68"/>
      <c r="I1774" s="68"/>
      <c r="J1774" s="68"/>
      <c r="K1774" s="68"/>
      <c r="L1774" s="68"/>
      <c r="M1774" s="68"/>
      <c r="N1774" s="70" t="s">
        <v>65</v>
      </c>
      <c r="O1774" s="4"/>
      <c r="P1774" s="96">
        <f t="shared" ref="P1774:R1774" si="136">SUM(P1763:P1772)</f>
        <v>64061.95</v>
      </c>
      <c r="Q1774" s="96">
        <f t="shared" si="136"/>
        <v>2235</v>
      </c>
      <c r="R1774" s="96">
        <f t="shared" si="136"/>
        <v>66296.95</v>
      </c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</row>
    <row r="1775">
      <c r="A1775" s="2"/>
      <c r="B1775" s="67" t="s">
        <v>66</v>
      </c>
      <c r="C1775" s="68"/>
      <c r="D1775" s="68"/>
      <c r="E1775" s="68"/>
      <c r="F1775" s="68"/>
      <c r="G1775" s="68"/>
      <c r="H1775" s="68"/>
      <c r="I1775" s="68"/>
      <c r="J1775" s="68"/>
      <c r="K1775" s="68"/>
      <c r="L1775" s="68"/>
      <c r="M1775" s="68"/>
      <c r="N1775" s="68"/>
      <c r="O1775" s="76"/>
      <c r="P1775" s="97" t="s">
        <v>67</v>
      </c>
      <c r="Q1775" s="31"/>
      <c r="R1775" s="3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</row>
    <row r="1776">
      <c r="A1776" s="2"/>
      <c r="B1776" s="79" t="s">
        <v>68</v>
      </c>
      <c r="P1776" s="27"/>
      <c r="Q1776" s="27"/>
      <c r="R1776" s="83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</row>
    <row r="1777">
      <c r="A1777" s="2"/>
      <c r="B1777" s="79" t="s">
        <v>70</v>
      </c>
      <c r="P1777" s="27"/>
      <c r="Q1777" s="27"/>
      <c r="R1777" s="83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</row>
    <row r="1778">
      <c r="A1778" s="2"/>
      <c r="B1778" s="8"/>
      <c r="C1778" s="6"/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5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</row>
    <row r="1779">
      <c r="A1779" s="2"/>
      <c r="B1779" s="8"/>
      <c r="C1779" s="6"/>
      <c r="D1779" s="6"/>
      <c r="E1779" s="6"/>
      <c r="F1779" s="6"/>
      <c r="G1779" s="6"/>
      <c r="H1779" s="6"/>
      <c r="I1779" s="6"/>
      <c r="J1779" s="6"/>
      <c r="K1779" s="19" t="s">
        <v>71</v>
      </c>
      <c r="L1779" s="6"/>
      <c r="M1779" s="6"/>
      <c r="N1779" s="6"/>
      <c r="O1779" s="6"/>
      <c r="P1779" s="9" t="s">
        <v>72</v>
      </c>
      <c r="R1779" s="10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</row>
    <row r="1780">
      <c r="A1780" s="2"/>
      <c r="B1780" s="88"/>
      <c r="C1780" s="34"/>
      <c r="D1780" s="34"/>
      <c r="E1780" s="34"/>
      <c r="F1780" s="34"/>
      <c r="G1780" s="34"/>
      <c r="H1780" s="34"/>
      <c r="I1780" s="34"/>
      <c r="J1780" s="34"/>
      <c r="K1780" s="34"/>
      <c r="L1780" s="34"/>
      <c r="M1780" s="34"/>
      <c r="N1780" s="34"/>
      <c r="O1780" s="34"/>
      <c r="P1780" s="34"/>
      <c r="Q1780" s="34"/>
      <c r="R1780" s="89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</row>
    <row r="1781">
      <c r="A1781" s="2"/>
      <c r="B1781" s="177"/>
      <c r="C1781" s="177"/>
      <c r="D1781" s="177"/>
      <c r="E1781" s="177"/>
      <c r="F1781" s="177"/>
      <c r="G1781" s="177"/>
      <c r="H1781" s="177"/>
      <c r="I1781" s="177"/>
      <c r="J1781" s="177"/>
      <c r="K1781" s="177"/>
      <c r="L1781" s="177"/>
      <c r="M1781" s="177"/>
      <c r="N1781" s="177"/>
      <c r="O1781" s="177"/>
      <c r="P1781" s="177"/>
      <c r="Q1781" s="177"/>
      <c r="R1781" s="177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</row>
    <row r="1782">
      <c r="A1782" s="2"/>
      <c r="B1782" s="177"/>
      <c r="C1782" s="177"/>
      <c r="D1782" s="177"/>
      <c r="E1782" s="177"/>
      <c r="F1782" s="177"/>
      <c r="G1782" s="177"/>
      <c r="H1782" s="177"/>
      <c r="I1782" s="177"/>
      <c r="J1782" s="177"/>
      <c r="K1782" s="177"/>
      <c r="L1782" s="177"/>
      <c r="M1782" s="177"/>
      <c r="N1782" s="177"/>
      <c r="O1782" s="177"/>
      <c r="P1782" s="177"/>
      <c r="Q1782" s="177"/>
      <c r="R1782" s="177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</row>
    <row r="1783">
      <c r="A1783" s="2"/>
      <c r="B1783" s="177"/>
      <c r="C1783" s="177"/>
      <c r="D1783" s="177"/>
      <c r="E1783" s="177"/>
      <c r="F1783" s="177"/>
      <c r="G1783" s="177"/>
      <c r="H1783" s="177"/>
      <c r="I1783" s="177"/>
      <c r="J1783" s="177"/>
      <c r="K1783" s="177"/>
      <c r="L1783" s="177"/>
      <c r="M1783" s="177"/>
      <c r="N1783" s="177"/>
      <c r="O1783" s="177"/>
      <c r="P1783" s="177"/>
      <c r="Q1783" s="177"/>
      <c r="R1783" s="177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</row>
    <row r="1784">
      <c r="A1784" s="2"/>
      <c r="B1784" s="177"/>
      <c r="C1784" s="177"/>
      <c r="D1784" s="177"/>
      <c r="E1784" s="177"/>
      <c r="F1784" s="177"/>
      <c r="G1784" s="177"/>
      <c r="H1784" s="177"/>
      <c r="I1784" s="177"/>
      <c r="J1784" s="177"/>
      <c r="K1784" s="177"/>
      <c r="L1784" s="177"/>
      <c r="M1784" s="177"/>
      <c r="N1784" s="177"/>
      <c r="O1784" s="177"/>
      <c r="P1784" s="177"/>
      <c r="Q1784" s="177"/>
      <c r="R1784" s="177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</row>
    <row r="1785">
      <c r="A1785" s="2"/>
      <c r="B1785" s="177"/>
      <c r="C1785" s="177"/>
      <c r="D1785" s="177"/>
      <c r="E1785" s="177"/>
      <c r="F1785" s="177"/>
      <c r="G1785" s="177"/>
      <c r="H1785" s="177"/>
      <c r="I1785" s="177"/>
      <c r="J1785" s="177"/>
      <c r="K1785" s="177"/>
      <c r="L1785" s="177"/>
      <c r="M1785" s="177"/>
      <c r="N1785" s="177"/>
      <c r="O1785" s="177"/>
      <c r="P1785" s="177"/>
      <c r="Q1785" s="177"/>
      <c r="R1785" s="177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</row>
    <row r="1786">
      <c r="A1786" s="2"/>
      <c r="B1786" s="177"/>
      <c r="C1786" s="177"/>
      <c r="D1786" s="177"/>
      <c r="E1786" s="177"/>
      <c r="F1786" s="177"/>
      <c r="G1786" s="177"/>
      <c r="H1786" s="177"/>
      <c r="I1786" s="177"/>
      <c r="J1786" s="177"/>
      <c r="K1786" s="177"/>
      <c r="L1786" s="177"/>
      <c r="M1786" s="177"/>
      <c r="N1786" s="177"/>
      <c r="O1786" s="177"/>
      <c r="P1786" s="177"/>
      <c r="Q1786" s="177"/>
      <c r="R1786" s="177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</row>
    <row r="1787">
      <c r="A1787" s="2"/>
      <c r="B1787" s="176" t="s">
        <v>1</v>
      </c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5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</row>
    <row r="1788">
      <c r="A1788" s="2"/>
      <c r="B1788" s="8"/>
      <c r="F1788" s="9"/>
      <c r="G1788" s="9"/>
      <c r="H1788" s="9"/>
      <c r="I1788" s="9"/>
      <c r="J1788" s="9" t="s">
        <v>2</v>
      </c>
      <c r="N1788" s="6"/>
      <c r="R1788" s="10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</row>
    <row r="1789">
      <c r="A1789" s="2"/>
      <c r="B1789" s="13"/>
      <c r="F1789" s="9"/>
      <c r="G1789" s="9"/>
      <c r="H1789" s="9"/>
      <c r="I1789" s="9"/>
      <c r="J1789" s="9" t="s">
        <v>3</v>
      </c>
      <c r="N1789" s="6"/>
      <c r="R1789" s="10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</row>
    <row r="1790">
      <c r="A1790" s="2"/>
      <c r="B1790" s="13" t="s">
        <v>4</v>
      </c>
      <c r="R1790" s="10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</row>
    <row r="1791">
      <c r="A1791" s="2"/>
      <c r="B1791" s="16" t="s">
        <v>5</v>
      </c>
      <c r="C1791" s="17" t="s">
        <v>6</v>
      </c>
      <c r="D1791" s="4"/>
      <c r="E1791" s="4"/>
      <c r="F1791" s="4"/>
      <c r="G1791" s="4"/>
      <c r="H1791" s="4"/>
      <c r="I1791" s="4"/>
      <c r="J1791" s="4"/>
      <c r="K1791" s="5"/>
      <c r="L1791" s="18" t="s">
        <v>7</v>
      </c>
      <c r="M1791" s="19">
        <v>67.0</v>
      </c>
      <c r="N1791" s="20"/>
      <c r="O1791" s="4"/>
      <c r="P1791" s="4"/>
      <c r="Q1791" s="4"/>
      <c r="R1791" s="5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</row>
    <row r="1792">
      <c r="A1792" s="2"/>
      <c r="B1792" s="26"/>
      <c r="C1792" s="27" t="s">
        <v>8</v>
      </c>
      <c r="K1792" s="10"/>
      <c r="L1792" s="18" t="s">
        <v>9</v>
      </c>
      <c r="M1792" s="175">
        <v>46058.0</v>
      </c>
      <c r="N1792" s="6"/>
      <c r="R1792" s="10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</row>
    <row r="1793">
      <c r="A1793" s="2"/>
      <c r="B1793" s="16" t="s">
        <v>11</v>
      </c>
      <c r="C1793" s="30" t="s">
        <v>12</v>
      </c>
      <c r="D1793" s="31"/>
      <c r="E1793" s="31"/>
      <c r="F1793" s="31"/>
      <c r="G1793" s="31"/>
      <c r="H1793" s="31"/>
      <c r="I1793" s="31"/>
      <c r="J1793" s="31"/>
      <c r="K1793" s="32"/>
      <c r="L1793" s="18" t="s">
        <v>13</v>
      </c>
      <c r="M1793" s="33" t="s">
        <v>14</v>
      </c>
      <c r="N1793" s="34"/>
      <c r="O1793" s="31"/>
      <c r="P1793" s="31"/>
      <c r="Q1793" s="31"/>
      <c r="R1793" s="3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</row>
    <row r="1794">
      <c r="A1794" s="2"/>
      <c r="B1794" s="8"/>
      <c r="R1794" s="10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</row>
    <row r="1795">
      <c r="A1795" s="2"/>
      <c r="B1795" s="39" t="s">
        <v>15</v>
      </c>
      <c r="C1795" s="40" t="s">
        <v>16</v>
      </c>
      <c r="D1795" s="41" t="s">
        <v>17</v>
      </c>
      <c r="E1795" s="41" t="s">
        <v>18</v>
      </c>
      <c r="F1795" s="42" t="s">
        <v>19</v>
      </c>
      <c r="G1795" s="43"/>
      <c r="H1795" s="43"/>
      <c r="I1795" s="43"/>
      <c r="J1795" s="44"/>
      <c r="K1795" s="41" t="s">
        <v>20</v>
      </c>
      <c r="L1795" s="41" t="s">
        <v>21</v>
      </c>
      <c r="M1795" s="41" t="s">
        <v>22</v>
      </c>
      <c r="N1795" s="41" t="s">
        <v>23</v>
      </c>
      <c r="O1795" s="41" t="s">
        <v>24</v>
      </c>
      <c r="P1795" s="41" t="s">
        <v>25</v>
      </c>
      <c r="Q1795" s="41" t="s">
        <v>26</v>
      </c>
      <c r="R1795" s="45" t="s">
        <v>27</v>
      </c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</row>
    <row r="1796">
      <c r="A1796" s="2"/>
      <c r="B1796" s="52">
        <v>1.0</v>
      </c>
      <c r="C1796" s="53">
        <v>1.004703862E9</v>
      </c>
      <c r="D1796" s="53" t="s">
        <v>166</v>
      </c>
      <c r="E1796" s="53" t="s">
        <v>90</v>
      </c>
      <c r="F1796" s="53" t="s">
        <v>91</v>
      </c>
      <c r="G1796" s="53" t="s">
        <v>92</v>
      </c>
      <c r="H1796" s="53" t="s">
        <v>93</v>
      </c>
      <c r="I1796" s="53" t="s">
        <v>94</v>
      </c>
      <c r="J1796" s="55"/>
      <c r="K1796" s="53" t="s">
        <v>38</v>
      </c>
      <c r="L1796" s="53" t="s">
        <v>102</v>
      </c>
      <c r="M1796" s="53">
        <v>3465.0</v>
      </c>
      <c r="N1796" s="53">
        <v>405.0</v>
      </c>
      <c r="O1796" s="53">
        <v>19.28</v>
      </c>
      <c r="P1796" s="55">
        <f t="shared" ref="P1796:P1805" si="137">N1796*O1796</f>
        <v>7808.4</v>
      </c>
      <c r="Q1796" s="53">
        <v>500.0</v>
      </c>
      <c r="R1796" s="105">
        <f t="shared" ref="R1796:R1805" si="138">P1796+Q1796</f>
        <v>8308.4</v>
      </c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</row>
    <row r="1797">
      <c r="A1797" s="2"/>
      <c r="B1797" s="52">
        <v>2.0</v>
      </c>
      <c r="C1797" s="53">
        <v>1.004704725E9</v>
      </c>
      <c r="D1797" s="53" t="s">
        <v>167</v>
      </c>
      <c r="E1797" s="53" t="s">
        <v>28</v>
      </c>
      <c r="F1797" s="53" t="s">
        <v>29</v>
      </c>
      <c r="G1797" s="53" t="s">
        <v>30</v>
      </c>
      <c r="H1797" s="53" t="s">
        <v>31</v>
      </c>
      <c r="I1797" s="55"/>
      <c r="J1797" s="55"/>
      <c r="K1797" s="53" t="s">
        <v>33</v>
      </c>
      <c r="L1797" s="53" t="s">
        <v>34</v>
      </c>
      <c r="M1797" s="53">
        <v>1951.0</v>
      </c>
      <c r="N1797" s="53">
        <v>246.0</v>
      </c>
      <c r="O1797" s="53">
        <v>15.53</v>
      </c>
      <c r="P1797" s="55">
        <f t="shared" si="137"/>
        <v>3820.38</v>
      </c>
      <c r="Q1797" s="55"/>
      <c r="R1797" s="105">
        <f t="shared" si="138"/>
        <v>3820.38</v>
      </c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</row>
    <row r="1798">
      <c r="A1798" s="2"/>
      <c r="B1798" s="52">
        <v>3.0</v>
      </c>
      <c r="C1798" s="53">
        <v>1.004704708E9</v>
      </c>
      <c r="D1798" s="53" t="s">
        <v>167</v>
      </c>
      <c r="E1798" s="53" t="s">
        <v>35</v>
      </c>
      <c r="F1798" s="53" t="s">
        <v>36</v>
      </c>
      <c r="G1798" s="53" t="s">
        <v>37</v>
      </c>
      <c r="H1798" s="53" t="s">
        <v>40</v>
      </c>
      <c r="I1798" s="55"/>
      <c r="J1798" s="55"/>
      <c r="K1798" s="53" t="s">
        <v>38</v>
      </c>
      <c r="L1798" s="53" t="s">
        <v>97</v>
      </c>
      <c r="M1798" s="53">
        <v>2995.0</v>
      </c>
      <c r="N1798" s="53">
        <v>200.0</v>
      </c>
      <c r="O1798" s="53">
        <v>19.28</v>
      </c>
      <c r="P1798" s="55">
        <f t="shared" si="137"/>
        <v>3856</v>
      </c>
      <c r="Q1798" s="55"/>
      <c r="R1798" s="105">
        <f t="shared" si="138"/>
        <v>3856</v>
      </c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</row>
    <row r="1799">
      <c r="A1799" s="2"/>
      <c r="B1799" s="52">
        <v>4.0</v>
      </c>
      <c r="C1799" s="53">
        <v>1.004704873E9</v>
      </c>
      <c r="D1799" s="53" t="s">
        <v>167</v>
      </c>
      <c r="E1799" s="53" t="s">
        <v>47</v>
      </c>
      <c r="F1799" s="53" t="s">
        <v>44</v>
      </c>
      <c r="G1799" s="53" t="s">
        <v>48</v>
      </c>
      <c r="H1799" s="53" t="s">
        <v>49</v>
      </c>
      <c r="I1799" s="55"/>
      <c r="J1799" s="55"/>
      <c r="K1799" s="53" t="s">
        <v>45</v>
      </c>
      <c r="L1799" s="53" t="s">
        <v>98</v>
      </c>
      <c r="M1799" s="53">
        <v>1525.0</v>
      </c>
      <c r="N1799" s="53">
        <v>250.0</v>
      </c>
      <c r="O1799" s="53">
        <v>15.53</v>
      </c>
      <c r="P1799" s="55">
        <f t="shared" si="137"/>
        <v>3882.5</v>
      </c>
      <c r="Q1799" s="55"/>
      <c r="R1799" s="105">
        <f t="shared" si="138"/>
        <v>3882.5</v>
      </c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</row>
    <row r="1800">
      <c r="A1800" s="2"/>
      <c r="B1800" s="52">
        <v>5.0</v>
      </c>
      <c r="C1800" s="53">
        <v>1.004705048E9</v>
      </c>
      <c r="D1800" s="53" t="s">
        <v>167</v>
      </c>
      <c r="E1800" s="53" t="s">
        <v>51</v>
      </c>
      <c r="F1800" s="53" t="s">
        <v>44</v>
      </c>
      <c r="G1800" s="53"/>
      <c r="H1800" s="55"/>
      <c r="I1800" s="55"/>
      <c r="J1800" s="55"/>
      <c r="K1800" s="53" t="s">
        <v>45</v>
      </c>
      <c r="L1800" s="53" t="s">
        <v>168</v>
      </c>
      <c r="M1800" s="53">
        <v>1558.0</v>
      </c>
      <c r="N1800" s="53">
        <v>230.0</v>
      </c>
      <c r="O1800" s="53">
        <v>15.53</v>
      </c>
      <c r="P1800" s="55">
        <f t="shared" si="137"/>
        <v>3571.9</v>
      </c>
      <c r="Q1800" s="55"/>
      <c r="R1800" s="105">
        <f t="shared" si="138"/>
        <v>3571.9</v>
      </c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</row>
    <row r="1801">
      <c r="A1801" s="2"/>
      <c r="B1801" s="52">
        <v>6.0</v>
      </c>
      <c r="C1801" s="53">
        <v>1.004705378E9</v>
      </c>
      <c r="D1801" s="53" t="s">
        <v>167</v>
      </c>
      <c r="E1801" s="53" t="s">
        <v>51</v>
      </c>
      <c r="F1801" s="53" t="s">
        <v>44</v>
      </c>
      <c r="G1801" s="55"/>
      <c r="H1801" s="55"/>
      <c r="I1801" s="55"/>
      <c r="J1801" s="55"/>
      <c r="K1801" s="53" t="s">
        <v>45</v>
      </c>
      <c r="L1801" s="53" t="s">
        <v>52</v>
      </c>
      <c r="M1801" s="53">
        <v>1529.0</v>
      </c>
      <c r="N1801" s="53">
        <v>230.0</v>
      </c>
      <c r="O1801" s="53">
        <v>15.53</v>
      </c>
      <c r="P1801" s="55">
        <f t="shared" si="137"/>
        <v>3571.9</v>
      </c>
      <c r="Q1801" s="55"/>
      <c r="R1801" s="105">
        <f t="shared" si="138"/>
        <v>3571.9</v>
      </c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</row>
    <row r="1802">
      <c r="A1802" s="2"/>
      <c r="B1802" s="52">
        <v>7.0</v>
      </c>
      <c r="C1802" s="53">
        <v>1.004705746E9</v>
      </c>
      <c r="D1802" s="53" t="s">
        <v>167</v>
      </c>
      <c r="E1802" s="53" t="s">
        <v>51</v>
      </c>
      <c r="F1802" s="53" t="s">
        <v>44</v>
      </c>
      <c r="G1802" s="53" t="s">
        <v>49</v>
      </c>
      <c r="H1802" s="53"/>
      <c r="I1802" s="55"/>
      <c r="J1802" s="55"/>
      <c r="K1802" s="53" t="s">
        <v>45</v>
      </c>
      <c r="L1802" s="53" t="s">
        <v>112</v>
      </c>
      <c r="M1802" s="53">
        <v>1638.0</v>
      </c>
      <c r="N1802" s="53">
        <v>230.0</v>
      </c>
      <c r="O1802" s="53">
        <v>15.53</v>
      </c>
      <c r="P1802" s="55">
        <f t="shared" si="137"/>
        <v>3571.9</v>
      </c>
      <c r="Q1802" s="55"/>
      <c r="R1802" s="105">
        <f t="shared" si="138"/>
        <v>3571.9</v>
      </c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</row>
    <row r="1803">
      <c r="A1803" s="2"/>
      <c r="B1803" s="52">
        <v>8.0</v>
      </c>
      <c r="C1803" s="53">
        <v>1.004705741E9</v>
      </c>
      <c r="D1803" s="53" t="s">
        <v>167</v>
      </c>
      <c r="E1803" s="53" t="s">
        <v>51</v>
      </c>
      <c r="F1803" s="53" t="s">
        <v>44</v>
      </c>
      <c r="G1803" s="53"/>
      <c r="H1803" s="53"/>
      <c r="I1803" s="55"/>
      <c r="J1803" s="55"/>
      <c r="K1803" s="53" t="s">
        <v>45</v>
      </c>
      <c r="L1803" s="53" t="s">
        <v>99</v>
      </c>
      <c r="M1803" s="53">
        <v>1652.0</v>
      </c>
      <c r="N1803" s="53">
        <v>230.0</v>
      </c>
      <c r="O1803" s="53">
        <v>15.53</v>
      </c>
      <c r="P1803" s="55">
        <f t="shared" si="137"/>
        <v>3571.9</v>
      </c>
      <c r="Q1803" s="55"/>
      <c r="R1803" s="105">
        <f t="shared" si="138"/>
        <v>3571.9</v>
      </c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</row>
    <row r="1804">
      <c r="A1804" s="2"/>
      <c r="B1804" s="52">
        <v>9.0</v>
      </c>
      <c r="C1804" s="53">
        <v>1.00470599E9</v>
      </c>
      <c r="D1804" s="53" t="s">
        <v>167</v>
      </c>
      <c r="E1804" s="53" t="s">
        <v>55</v>
      </c>
      <c r="F1804" s="53" t="s">
        <v>57</v>
      </c>
      <c r="G1804" s="53" t="s">
        <v>103</v>
      </c>
      <c r="H1804" s="53" t="s">
        <v>56</v>
      </c>
      <c r="I1804" s="53" t="s">
        <v>58</v>
      </c>
      <c r="J1804" s="53" t="s">
        <v>59</v>
      </c>
      <c r="K1804" s="53" t="s">
        <v>38</v>
      </c>
      <c r="L1804" s="53" t="s">
        <v>60</v>
      </c>
      <c r="M1804" s="53">
        <v>3074.0</v>
      </c>
      <c r="N1804" s="53">
        <v>572.0</v>
      </c>
      <c r="O1804" s="53">
        <v>19.28</v>
      </c>
      <c r="P1804" s="55">
        <f t="shared" si="137"/>
        <v>11028.16</v>
      </c>
      <c r="Q1804" s="53">
        <v>330.0</v>
      </c>
      <c r="R1804" s="105">
        <f t="shared" si="138"/>
        <v>11358.16</v>
      </c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</row>
    <row r="1805">
      <c r="A1805" s="2"/>
      <c r="B1805" s="52">
        <v>10.0</v>
      </c>
      <c r="C1805" s="53">
        <v>1.004705988E9</v>
      </c>
      <c r="D1805" s="53" t="s">
        <v>167</v>
      </c>
      <c r="E1805" s="53" t="s">
        <v>77</v>
      </c>
      <c r="F1805" s="53" t="s">
        <v>116</v>
      </c>
      <c r="G1805" s="53" t="s">
        <v>78</v>
      </c>
      <c r="H1805" s="55"/>
      <c r="I1805" s="55"/>
      <c r="J1805" s="55"/>
      <c r="K1805" s="53" t="s">
        <v>80</v>
      </c>
      <c r="L1805" s="53" t="s">
        <v>63</v>
      </c>
      <c r="M1805" s="53">
        <v>2703.0</v>
      </c>
      <c r="N1805" s="53">
        <v>266.0</v>
      </c>
      <c r="O1805" s="53">
        <v>18.28</v>
      </c>
      <c r="P1805" s="55">
        <f t="shared" si="137"/>
        <v>4862.48</v>
      </c>
      <c r="Q1805" s="53"/>
      <c r="R1805" s="105">
        <f t="shared" si="138"/>
        <v>4862.48</v>
      </c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</row>
    <row r="1806">
      <c r="A1806" s="2"/>
      <c r="B1806" s="8"/>
      <c r="C1806" s="6"/>
      <c r="D1806" s="6"/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5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</row>
    <row r="1807">
      <c r="A1807" s="2"/>
      <c r="B1807" s="67" t="s">
        <v>64</v>
      </c>
      <c r="C1807" s="68"/>
      <c r="D1807" s="69" t="str">
        <f>MONEYTEXT(R1807, "INR")</f>
        <v/>
      </c>
      <c r="E1807" s="68"/>
      <c r="F1807" s="68"/>
      <c r="G1807" s="68"/>
      <c r="H1807" s="68"/>
      <c r="I1807" s="68"/>
      <c r="J1807" s="68"/>
      <c r="K1807" s="68"/>
      <c r="L1807" s="68"/>
      <c r="M1807" s="68"/>
      <c r="N1807" s="70" t="s">
        <v>65</v>
      </c>
      <c r="O1807" s="4"/>
      <c r="P1807" s="96">
        <f t="shared" ref="P1807:R1807" si="139">SUM(P1796:P1805)</f>
        <v>49545.52</v>
      </c>
      <c r="Q1807" s="96">
        <f t="shared" si="139"/>
        <v>830</v>
      </c>
      <c r="R1807" s="96">
        <f t="shared" si="139"/>
        <v>50375.52</v>
      </c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</row>
    <row r="1808">
      <c r="A1808" s="2"/>
      <c r="B1808" s="67" t="s">
        <v>66</v>
      </c>
      <c r="C1808" s="68"/>
      <c r="D1808" s="68"/>
      <c r="E1808" s="68"/>
      <c r="F1808" s="68"/>
      <c r="G1808" s="68"/>
      <c r="H1808" s="68"/>
      <c r="I1808" s="68"/>
      <c r="J1808" s="68"/>
      <c r="K1808" s="68"/>
      <c r="L1808" s="68"/>
      <c r="M1808" s="68"/>
      <c r="N1808" s="68"/>
      <c r="O1808" s="76"/>
      <c r="P1808" s="97" t="s">
        <v>67</v>
      </c>
      <c r="Q1808" s="31"/>
      <c r="R1808" s="3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</row>
    <row r="1809">
      <c r="A1809" s="2"/>
      <c r="B1809" s="79" t="s">
        <v>68</v>
      </c>
      <c r="P1809" s="27"/>
      <c r="Q1809" s="27"/>
      <c r="R1809" s="83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</row>
    <row r="1810">
      <c r="A1810" s="2"/>
      <c r="B1810" s="79" t="s">
        <v>70</v>
      </c>
      <c r="P1810" s="27"/>
      <c r="Q1810" s="27"/>
      <c r="R1810" s="83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</row>
    <row r="1811">
      <c r="A1811" s="2"/>
      <c r="B1811" s="8"/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5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</row>
    <row r="1812">
      <c r="A1812" s="2"/>
      <c r="B1812" s="8"/>
      <c r="C1812" s="6"/>
      <c r="D1812" s="6"/>
      <c r="E1812" s="6"/>
      <c r="F1812" s="6"/>
      <c r="G1812" s="6"/>
      <c r="H1812" s="6"/>
      <c r="I1812" s="6"/>
      <c r="J1812" s="6"/>
      <c r="K1812" s="19" t="s">
        <v>71</v>
      </c>
      <c r="L1812" s="6"/>
      <c r="M1812" s="6"/>
      <c r="N1812" s="6"/>
      <c r="O1812" s="6"/>
      <c r="P1812" s="9" t="s">
        <v>72</v>
      </c>
      <c r="R1812" s="10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</row>
    <row r="1813">
      <c r="A1813" s="2"/>
      <c r="B1813" s="88"/>
      <c r="C1813" s="34"/>
      <c r="D1813" s="34"/>
      <c r="E1813" s="34"/>
      <c r="F1813" s="34"/>
      <c r="G1813" s="34"/>
      <c r="H1813" s="34"/>
      <c r="I1813" s="34"/>
      <c r="J1813" s="34"/>
      <c r="K1813" s="34"/>
      <c r="L1813" s="34"/>
      <c r="M1813" s="34"/>
      <c r="N1813" s="34"/>
      <c r="O1813" s="34"/>
      <c r="P1813" s="34"/>
      <c r="Q1813" s="34"/>
      <c r="R1813" s="89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</row>
    <row r="1814">
      <c r="A1814" s="2"/>
      <c r="B1814" s="177"/>
      <c r="C1814" s="177"/>
      <c r="D1814" s="177"/>
      <c r="E1814" s="177"/>
      <c r="F1814" s="177"/>
      <c r="G1814" s="177"/>
      <c r="H1814" s="177"/>
      <c r="I1814" s="177"/>
      <c r="J1814" s="177"/>
      <c r="K1814" s="177"/>
      <c r="L1814" s="177"/>
      <c r="M1814" s="177"/>
      <c r="N1814" s="177"/>
      <c r="O1814" s="177"/>
      <c r="P1814" s="177"/>
      <c r="Q1814" s="177"/>
      <c r="R1814" s="177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</row>
    <row r="1815">
      <c r="A1815" s="2"/>
      <c r="B1815" s="177"/>
      <c r="C1815" s="177"/>
      <c r="D1815" s="177"/>
      <c r="E1815" s="177"/>
      <c r="F1815" s="177"/>
      <c r="G1815" s="177"/>
      <c r="H1815" s="177"/>
      <c r="I1815" s="177"/>
      <c r="J1815" s="177"/>
      <c r="K1815" s="177"/>
      <c r="L1815" s="177"/>
      <c r="M1815" s="177"/>
      <c r="N1815" s="177"/>
      <c r="O1815" s="177"/>
      <c r="P1815" s="177"/>
      <c r="Q1815" s="177"/>
      <c r="R1815" s="177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</row>
    <row r="1816">
      <c r="A1816" s="2"/>
      <c r="B1816" s="177"/>
      <c r="C1816" s="177"/>
      <c r="D1816" s="177"/>
      <c r="E1816" s="177"/>
      <c r="F1816" s="177"/>
      <c r="G1816" s="177"/>
      <c r="H1816" s="177"/>
      <c r="I1816" s="177"/>
      <c r="J1816" s="177"/>
      <c r="K1816" s="177"/>
      <c r="L1816" s="177"/>
      <c r="M1816" s="177"/>
      <c r="N1816" s="177"/>
      <c r="O1816" s="177"/>
      <c r="P1816" s="177"/>
      <c r="Q1816" s="177"/>
      <c r="R1816" s="177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</row>
    <row r="1817">
      <c r="A1817" s="2"/>
      <c r="B1817" s="177"/>
      <c r="C1817" s="177"/>
      <c r="D1817" s="177"/>
      <c r="E1817" s="177"/>
      <c r="F1817" s="177"/>
      <c r="G1817" s="177"/>
      <c r="H1817" s="177"/>
      <c r="I1817" s="177"/>
      <c r="J1817" s="177"/>
      <c r="K1817" s="177"/>
      <c r="L1817" s="177"/>
      <c r="M1817" s="177"/>
      <c r="N1817" s="177"/>
      <c r="O1817" s="177"/>
      <c r="P1817" s="177"/>
      <c r="Q1817" s="177"/>
      <c r="R1817" s="177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</row>
    <row r="1818">
      <c r="A1818" s="2"/>
      <c r="B1818" s="177"/>
      <c r="C1818" s="177"/>
      <c r="D1818" s="177"/>
      <c r="E1818" s="177"/>
      <c r="F1818" s="177"/>
      <c r="G1818" s="177"/>
      <c r="H1818" s="177"/>
      <c r="I1818" s="177"/>
      <c r="J1818" s="177"/>
      <c r="K1818" s="177"/>
      <c r="L1818" s="177"/>
      <c r="M1818" s="177"/>
      <c r="N1818" s="177"/>
      <c r="O1818" s="177"/>
      <c r="P1818" s="177"/>
      <c r="Q1818" s="177"/>
      <c r="R1818" s="177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</row>
    <row r="1819">
      <c r="A1819" s="2"/>
      <c r="B1819" s="176" t="s">
        <v>1</v>
      </c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5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</row>
    <row r="1820">
      <c r="A1820" s="2"/>
      <c r="B1820" s="8"/>
      <c r="F1820" s="9"/>
      <c r="G1820" s="9"/>
      <c r="H1820" s="9"/>
      <c r="I1820" s="9"/>
      <c r="J1820" s="9" t="s">
        <v>2</v>
      </c>
      <c r="N1820" s="6"/>
      <c r="R1820" s="10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</row>
    <row r="1821">
      <c r="A1821" s="2"/>
      <c r="B1821" s="13"/>
      <c r="F1821" s="9"/>
      <c r="G1821" s="9"/>
      <c r="H1821" s="9"/>
      <c r="I1821" s="9"/>
      <c r="J1821" s="9" t="s">
        <v>3</v>
      </c>
      <c r="N1821" s="6"/>
      <c r="R1821" s="10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</row>
    <row r="1822">
      <c r="A1822" s="2"/>
      <c r="B1822" s="13" t="s">
        <v>4</v>
      </c>
      <c r="R1822" s="10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</row>
    <row r="1823">
      <c r="A1823" s="2"/>
      <c r="B1823" s="16" t="s">
        <v>5</v>
      </c>
      <c r="C1823" s="17" t="s">
        <v>6</v>
      </c>
      <c r="D1823" s="4"/>
      <c r="E1823" s="4"/>
      <c r="F1823" s="4"/>
      <c r="G1823" s="4"/>
      <c r="H1823" s="4"/>
      <c r="I1823" s="4"/>
      <c r="J1823" s="4"/>
      <c r="K1823" s="5"/>
      <c r="L1823" s="18" t="s">
        <v>7</v>
      </c>
      <c r="M1823" s="19">
        <v>68.0</v>
      </c>
      <c r="N1823" s="20"/>
      <c r="O1823" s="4"/>
      <c r="P1823" s="4"/>
      <c r="Q1823" s="4"/>
      <c r="R1823" s="5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</row>
    <row r="1824">
      <c r="A1824" s="2"/>
      <c r="B1824" s="26"/>
      <c r="C1824" s="27" t="s">
        <v>8</v>
      </c>
      <c r="K1824" s="10"/>
      <c r="L1824" s="18" t="s">
        <v>9</v>
      </c>
      <c r="M1824" s="175">
        <v>46058.0</v>
      </c>
      <c r="N1824" s="6"/>
      <c r="R1824" s="10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</row>
    <row r="1825">
      <c r="A1825" s="2"/>
      <c r="B1825" s="16" t="s">
        <v>11</v>
      </c>
      <c r="C1825" s="30" t="s">
        <v>12</v>
      </c>
      <c r="D1825" s="31"/>
      <c r="E1825" s="31"/>
      <c r="F1825" s="31"/>
      <c r="G1825" s="31"/>
      <c r="H1825" s="31"/>
      <c r="I1825" s="31"/>
      <c r="J1825" s="31"/>
      <c r="K1825" s="32"/>
      <c r="L1825" s="18" t="s">
        <v>13</v>
      </c>
      <c r="M1825" s="33" t="s">
        <v>14</v>
      </c>
      <c r="N1825" s="34"/>
      <c r="O1825" s="31"/>
      <c r="P1825" s="31"/>
      <c r="Q1825" s="31"/>
      <c r="R1825" s="3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</row>
    <row r="1826">
      <c r="A1826" s="2"/>
      <c r="B1826" s="8"/>
      <c r="R1826" s="10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</row>
    <row r="1827">
      <c r="A1827" s="2"/>
      <c r="B1827" s="39" t="s">
        <v>15</v>
      </c>
      <c r="C1827" s="40" t="s">
        <v>16</v>
      </c>
      <c r="D1827" s="41" t="s">
        <v>17</v>
      </c>
      <c r="E1827" s="41" t="s">
        <v>18</v>
      </c>
      <c r="F1827" s="42" t="s">
        <v>19</v>
      </c>
      <c r="G1827" s="43"/>
      <c r="H1827" s="43"/>
      <c r="I1827" s="43"/>
      <c r="J1827" s="44"/>
      <c r="K1827" s="41" t="s">
        <v>20</v>
      </c>
      <c r="L1827" s="41" t="s">
        <v>21</v>
      </c>
      <c r="M1827" s="41" t="s">
        <v>22</v>
      </c>
      <c r="N1827" s="41" t="s">
        <v>23</v>
      </c>
      <c r="O1827" s="41" t="s">
        <v>24</v>
      </c>
      <c r="P1827" s="41" t="s">
        <v>25</v>
      </c>
      <c r="Q1827" s="41" t="s">
        <v>26</v>
      </c>
      <c r="R1827" s="45" t="s">
        <v>27</v>
      </c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</row>
    <row r="1828">
      <c r="A1828" s="2"/>
      <c r="B1828" s="52">
        <v>1.0</v>
      </c>
      <c r="C1828" s="53">
        <v>1.004705983E9</v>
      </c>
      <c r="D1828" s="53" t="s">
        <v>167</v>
      </c>
      <c r="E1828" s="53" t="s">
        <v>77</v>
      </c>
      <c r="F1828" s="53" t="s">
        <v>78</v>
      </c>
      <c r="G1828" s="53" t="s">
        <v>79</v>
      </c>
      <c r="H1828" s="53"/>
      <c r="I1828" s="55"/>
      <c r="J1828" s="55"/>
      <c r="K1828" s="53" t="s">
        <v>33</v>
      </c>
      <c r="L1828" s="53" t="s">
        <v>81</v>
      </c>
      <c r="M1828" s="53">
        <v>3377.0</v>
      </c>
      <c r="N1828" s="53">
        <v>400.0</v>
      </c>
      <c r="O1828" s="53">
        <v>15.53</v>
      </c>
      <c r="P1828" s="55">
        <f t="shared" ref="P1828:P1837" si="140">N1828*O1828</f>
        <v>6212</v>
      </c>
      <c r="Q1828" s="53">
        <v>505.0</v>
      </c>
      <c r="R1828" s="105">
        <f t="shared" ref="R1828:R1837" si="141">P1828+Q1828</f>
        <v>6717</v>
      </c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</row>
    <row r="1829">
      <c r="A1829" s="2"/>
      <c r="B1829" s="52">
        <v>2.0</v>
      </c>
      <c r="C1829" s="53">
        <v>1.004705807E9</v>
      </c>
      <c r="D1829" s="53" t="s">
        <v>167</v>
      </c>
      <c r="E1829" s="53" t="s">
        <v>106</v>
      </c>
      <c r="F1829" s="53" t="s">
        <v>108</v>
      </c>
      <c r="G1829" s="53" t="s">
        <v>109</v>
      </c>
      <c r="H1829" s="53"/>
      <c r="I1829" s="55"/>
      <c r="J1829" s="55"/>
      <c r="K1829" s="53" t="s">
        <v>80</v>
      </c>
      <c r="L1829" s="53" t="s">
        <v>118</v>
      </c>
      <c r="M1829" s="53">
        <v>2493.0</v>
      </c>
      <c r="N1829" s="53">
        <v>482.0</v>
      </c>
      <c r="O1829" s="53">
        <v>18.28</v>
      </c>
      <c r="P1829" s="55">
        <f t="shared" si="140"/>
        <v>8810.96</v>
      </c>
      <c r="Q1829" s="53">
        <v>1025.0</v>
      </c>
      <c r="R1829" s="105">
        <f t="shared" si="141"/>
        <v>9835.96</v>
      </c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</row>
    <row r="1830">
      <c r="A1830" s="2"/>
      <c r="B1830" s="52">
        <v>3.0</v>
      </c>
      <c r="C1830" s="53">
        <v>1.004705874E9</v>
      </c>
      <c r="D1830" s="53" t="s">
        <v>167</v>
      </c>
      <c r="E1830" s="53" t="s">
        <v>82</v>
      </c>
      <c r="F1830" s="53" t="s">
        <v>86</v>
      </c>
      <c r="G1830" s="53" t="s">
        <v>88</v>
      </c>
      <c r="H1830" s="53" t="s">
        <v>87</v>
      </c>
      <c r="I1830" s="53" t="s">
        <v>83</v>
      </c>
      <c r="J1830" s="55"/>
      <c r="K1830" s="53" t="s">
        <v>38</v>
      </c>
      <c r="L1830" s="53" t="s">
        <v>89</v>
      </c>
      <c r="M1830" s="53">
        <v>3605.0</v>
      </c>
      <c r="N1830" s="53">
        <v>484.0</v>
      </c>
      <c r="O1830" s="53">
        <v>19.28</v>
      </c>
      <c r="P1830" s="55">
        <f t="shared" si="140"/>
        <v>9331.52</v>
      </c>
      <c r="Q1830" s="53">
        <v>930.0</v>
      </c>
      <c r="R1830" s="105">
        <f t="shared" si="141"/>
        <v>10261.52</v>
      </c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</row>
    <row r="1831">
      <c r="A1831" s="2"/>
      <c r="B1831" s="52">
        <v>4.0</v>
      </c>
      <c r="C1831" s="53">
        <v>1.004706931E9</v>
      </c>
      <c r="D1831" s="53" t="s">
        <v>169</v>
      </c>
      <c r="E1831" s="53" t="s">
        <v>28</v>
      </c>
      <c r="F1831" s="53" t="s">
        <v>31</v>
      </c>
      <c r="G1831" s="53" t="s">
        <v>30</v>
      </c>
      <c r="H1831" s="53" t="s">
        <v>29</v>
      </c>
      <c r="I1831" s="55"/>
      <c r="J1831" s="55"/>
      <c r="K1831" s="53" t="s">
        <v>38</v>
      </c>
      <c r="L1831" s="53" t="s">
        <v>34</v>
      </c>
      <c r="M1831" s="53">
        <v>3288.0</v>
      </c>
      <c r="N1831" s="53">
        <v>246.0</v>
      </c>
      <c r="O1831" s="53">
        <v>19.28</v>
      </c>
      <c r="P1831" s="55">
        <f t="shared" si="140"/>
        <v>4742.88</v>
      </c>
      <c r="Q1831" s="55"/>
      <c r="R1831" s="105">
        <f t="shared" si="141"/>
        <v>4742.88</v>
      </c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</row>
    <row r="1832">
      <c r="A1832" s="2"/>
      <c r="B1832" s="52">
        <v>5.0</v>
      </c>
      <c r="C1832" s="53">
        <v>1.004706937E9</v>
      </c>
      <c r="D1832" s="53" t="s">
        <v>169</v>
      </c>
      <c r="E1832" s="53" t="s">
        <v>35</v>
      </c>
      <c r="F1832" s="53" t="s">
        <v>36</v>
      </c>
      <c r="G1832" s="53" t="s">
        <v>37</v>
      </c>
      <c r="H1832" s="55"/>
      <c r="I1832" s="55"/>
      <c r="J1832" s="55"/>
      <c r="K1832" s="53" t="s">
        <v>38</v>
      </c>
      <c r="L1832" s="53" t="s">
        <v>96</v>
      </c>
      <c r="M1832" s="53">
        <v>3300.0</v>
      </c>
      <c r="N1832" s="53">
        <v>200.0</v>
      </c>
      <c r="O1832" s="53">
        <v>19.28</v>
      </c>
      <c r="P1832" s="55">
        <f t="shared" si="140"/>
        <v>3856</v>
      </c>
      <c r="Q1832" s="55"/>
      <c r="R1832" s="105">
        <f t="shared" si="141"/>
        <v>3856</v>
      </c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</row>
    <row r="1833">
      <c r="A1833" s="2"/>
      <c r="B1833" s="52">
        <v>6.0</v>
      </c>
      <c r="C1833" s="53">
        <v>1.004706941E9</v>
      </c>
      <c r="D1833" s="53" t="s">
        <v>169</v>
      </c>
      <c r="E1833" s="53" t="s">
        <v>35</v>
      </c>
      <c r="F1833" s="53" t="s">
        <v>36</v>
      </c>
      <c r="G1833" s="55"/>
      <c r="H1833" s="55"/>
      <c r="I1833" s="55"/>
      <c r="J1833" s="55"/>
      <c r="K1833" s="53" t="s">
        <v>33</v>
      </c>
      <c r="L1833" s="53" t="s">
        <v>41</v>
      </c>
      <c r="M1833" s="53">
        <v>1951.0</v>
      </c>
      <c r="N1833" s="53">
        <v>130.0</v>
      </c>
      <c r="O1833" s="53">
        <v>15.53</v>
      </c>
      <c r="P1833" s="55">
        <f t="shared" si="140"/>
        <v>2018.9</v>
      </c>
      <c r="Q1833" s="55"/>
      <c r="R1833" s="105">
        <f t="shared" si="141"/>
        <v>2018.9</v>
      </c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</row>
    <row r="1834">
      <c r="A1834" s="2"/>
      <c r="B1834" s="52">
        <v>7.0</v>
      </c>
      <c r="C1834" s="53">
        <v>1.004706949E9</v>
      </c>
      <c r="D1834" s="53" t="s">
        <v>169</v>
      </c>
      <c r="E1834" s="53" t="s">
        <v>42</v>
      </c>
      <c r="F1834" s="53" t="s">
        <v>44</v>
      </c>
      <c r="G1834" s="53" t="s">
        <v>43</v>
      </c>
      <c r="H1834" s="53" t="s">
        <v>49</v>
      </c>
      <c r="I1834" s="55"/>
      <c r="J1834" s="55"/>
      <c r="K1834" s="53" t="s">
        <v>45</v>
      </c>
      <c r="L1834" s="53" t="s">
        <v>98</v>
      </c>
      <c r="M1834" s="53">
        <v>1518.0</v>
      </c>
      <c r="N1834" s="53">
        <v>299.0</v>
      </c>
      <c r="O1834" s="53">
        <v>15.53</v>
      </c>
      <c r="P1834" s="55">
        <f t="shared" si="140"/>
        <v>4643.47</v>
      </c>
      <c r="Q1834" s="55"/>
      <c r="R1834" s="105">
        <f t="shared" si="141"/>
        <v>4643.47</v>
      </c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</row>
    <row r="1835">
      <c r="A1835" s="2"/>
      <c r="B1835" s="52">
        <v>8.0</v>
      </c>
      <c r="C1835" s="53">
        <v>1.004707517E9</v>
      </c>
      <c r="D1835" s="53" t="s">
        <v>169</v>
      </c>
      <c r="E1835" s="53" t="s">
        <v>51</v>
      </c>
      <c r="F1835" s="53" t="s">
        <v>44</v>
      </c>
      <c r="G1835" s="53" t="s">
        <v>49</v>
      </c>
      <c r="H1835" s="53"/>
      <c r="I1835" s="55"/>
      <c r="J1835" s="55"/>
      <c r="K1835" s="53" t="s">
        <v>45</v>
      </c>
      <c r="L1835" s="53" t="s">
        <v>50</v>
      </c>
      <c r="M1835" s="53">
        <v>1756.0</v>
      </c>
      <c r="N1835" s="53">
        <v>230.0</v>
      </c>
      <c r="O1835" s="53">
        <v>15.53</v>
      </c>
      <c r="P1835" s="55">
        <f t="shared" si="140"/>
        <v>3571.9</v>
      </c>
      <c r="Q1835" s="55"/>
      <c r="R1835" s="105">
        <f t="shared" si="141"/>
        <v>3571.9</v>
      </c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</row>
    <row r="1836">
      <c r="A1836" s="2"/>
      <c r="B1836" s="52">
        <v>9.0</v>
      </c>
      <c r="C1836" s="53">
        <v>1.004707529E9</v>
      </c>
      <c r="D1836" s="53" t="s">
        <v>169</v>
      </c>
      <c r="E1836" s="53" t="s">
        <v>51</v>
      </c>
      <c r="F1836" s="53" t="s">
        <v>44</v>
      </c>
      <c r="G1836" s="55"/>
      <c r="H1836" s="53"/>
      <c r="I1836" s="55"/>
      <c r="J1836" s="55"/>
      <c r="K1836" s="53" t="s">
        <v>45</v>
      </c>
      <c r="L1836" s="53" t="s">
        <v>52</v>
      </c>
      <c r="M1836" s="53">
        <v>1574.0</v>
      </c>
      <c r="N1836" s="53">
        <v>230.0</v>
      </c>
      <c r="O1836" s="53">
        <v>15.53</v>
      </c>
      <c r="P1836" s="55">
        <f t="shared" si="140"/>
        <v>3571.9</v>
      </c>
      <c r="Q1836" s="53"/>
      <c r="R1836" s="105">
        <f t="shared" si="141"/>
        <v>3571.9</v>
      </c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</row>
    <row r="1837">
      <c r="A1837" s="2"/>
      <c r="B1837" s="52">
        <v>10.0</v>
      </c>
      <c r="C1837" s="53">
        <v>1.004708115E9</v>
      </c>
      <c r="D1837" s="53" t="s">
        <v>169</v>
      </c>
      <c r="E1837" s="53" t="s">
        <v>90</v>
      </c>
      <c r="F1837" s="53" t="s">
        <v>91</v>
      </c>
      <c r="G1837" s="53" t="s">
        <v>83</v>
      </c>
      <c r="H1837" s="55"/>
      <c r="I1837" s="55"/>
      <c r="J1837" s="55"/>
      <c r="K1837" s="53" t="s">
        <v>33</v>
      </c>
      <c r="L1837" s="53" t="s">
        <v>104</v>
      </c>
      <c r="M1837" s="53">
        <v>1927.0</v>
      </c>
      <c r="N1837" s="53">
        <v>216.0</v>
      </c>
      <c r="O1837" s="53">
        <v>15.53</v>
      </c>
      <c r="P1837" s="55">
        <f t="shared" si="140"/>
        <v>3354.48</v>
      </c>
      <c r="Q1837" s="53"/>
      <c r="R1837" s="105">
        <f t="shared" si="141"/>
        <v>3354.48</v>
      </c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</row>
    <row r="1838">
      <c r="A1838" s="2"/>
      <c r="B1838" s="8"/>
      <c r="C1838" s="6"/>
      <c r="D1838" s="6"/>
      <c r="E1838" s="6"/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5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</row>
    <row r="1839">
      <c r="A1839" s="2"/>
      <c r="B1839" s="67" t="s">
        <v>64</v>
      </c>
      <c r="C1839" s="68"/>
      <c r="D1839" s="69" t="str">
        <f>MONEYTEXT(R1839, "INR")</f>
        <v/>
      </c>
      <c r="E1839" s="68"/>
      <c r="F1839" s="68"/>
      <c r="G1839" s="68"/>
      <c r="H1839" s="68"/>
      <c r="I1839" s="68"/>
      <c r="J1839" s="68"/>
      <c r="K1839" s="68"/>
      <c r="L1839" s="68"/>
      <c r="M1839" s="68"/>
      <c r="N1839" s="70" t="s">
        <v>65</v>
      </c>
      <c r="O1839" s="4"/>
      <c r="P1839" s="96">
        <f t="shared" ref="P1839:R1839" si="142">SUM(P1828:P1837)</f>
        <v>50114.01</v>
      </c>
      <c r="Q1839" s="96">
        <f t="shared" si="142"/>
        <v>2460</v>
      </c>
      <c r="R1839" s="96">
        <f t="shared" si="142"/>
        <v>52574.01</v>
      </c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</row>
    <row r="1840">
      <c r="A1840" s="2"/>
      <c r="B1840" s="67" t="s">
        <v>66</v>
      </c>
      <c r="C1840" s="68"/>
      <c r="D1840" s="68"/>
      <c r="E1840" s="68"/>
      <c r="F1840" s="68"/>
      <c r="G1840" s="68"/>
      <c r="H1840" s="68"/>
      <c r="I1840" s="68"/>
      <c r="J1840" s="68"/>
      <c r="K1840" s="68"/>
      <c r="L1840" s="68"/>
      <c r="M1840" s="68"/>
      <c r="N1840" s="68"/>
      <c r="O1840" s="76"/>
      <c r="P1840" s="97" t="s">
        <v>67</v>
      </c>
      <c r="Q1840" s="31"/>
      <c r="R1840" s="3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</row>
    <row r="1841">
      <c r="A1841" s="2"/>
      <c r="B1841" s="79" t="s">
        <v>68</v>
      </c>
      <c r="P1841" s="27"/>
      <c r="Q1841" s="27"/>
      <c r="R1841" s="83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</row>
    <row r="1842">
      <c r="A1842" s="2"/>
      <c r="B1842" s="79" t="s">
        <v>70</v>
      </c>
      <c r="P1842" s="27"/>
      <c r="Q1842" s="27"/>
      <c r="R1842" s="83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</row>
    <row r="1843">
      <c r="A1843" s="2"/>
      <c r="B1843" s="8"/>
      <c r="C1843" s="6"/>
      <c r="D1843" s="6"/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5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</row>
    <row r="1844">
      <c r="A1844" s="2"/>
      <c r="B1844" s="8"/>
      <c r="C1844" s="6"/>
      <c r="D1844" s="6"/>
      <c r="E1844" s="6"/>
      <c r="F1844" s="6"/>
      <c r="G1844" s="6"/>
      <c r="H1844" s="6"/>
      <c r="I1844" s="6"/>
      <c r="J1844" s="6"/>
      <c r="K1844" s="19" t="s">
        <v>71</v>
      </c>
      <c r="L1844" s="6"/>
      <c r="M1844" s="6"/>
      <c r="N1844" s="6"/>
      <c r="O1844" s="6"/>
      <c r="P1844" s="9" t="s">
        <v>72</v>
      </c>
      <c r="R1844" s="10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</row>
    <row r="1845">
      <c r="A1845" s="2"/>
      <c r="B1845" s="88"/>
      <c r="C1845" s="34"/>
      <c r="D1845" s="34"/>
      <c r="E1845" s="34"/>
      <c r="F1845" s="34"/>
      <c r="G1845" s="34"/>
      <c r="H1845" s="34"/>
      <c r="I1845" s="34"/>
      <c r="J1845" s="34"/>
      <c r="K1845" s="34"/>
      <c r="L1845" s="34"/>
      <c r="M1845" s="34"/>
      <c r="N1845" s="34"/>
      <c r="O1845" s="34"/>
      <c r="P1845" s="34"/>
      <c r="Q1845" s="34"/>
      <c r="R1845" s="89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</row>
    <row r="1846">
      <c r="A1846" s="2"/>
      <c r="B1846" s="177"/>
      <c r="C1846" s="177"/>
      <c r="D1846" s="177"/>
      <c r="E1846" s="177"/>
      <c r="F1846" s="177"/>
      <c r="G1846" s="177"/>
      <c r="H1846" s="177"/>
      <c r="I1846" s="177"/>
      <c r="J1846" s="177"/>
      <c r="K1846" s="177"/>
      <c r="L1846" s="177"/>
      <c r="M1846" s="177"/>
      <c r="N1846" s="177"/>
      <c r="O1846" s="177"/>
      <c r="P1846" s="177"/>
      <c r="Q1846" s="177"/>
      <c r="R1846" s="177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</row>
    <row r="1847">
      <c r="A1847" s="2"/>
      <c r="B1847" s="177"/>
      <c r="C1847" s="177"/>
      <c r="D1847" s="177"/>
      <c r="E1847" s="177"/>
      <c r="F1847" s="177"/>
      <c r="G1847" s="177"/>
      <c r="H1847" s="177"/>
      <c r="I1847" s="177"/>
      <c r="J1847" s="177"/>
      <c r="K1847" s="177"/>
      <c r="L1847" s="177"/>
      <c r="M1847" s="177"/>
      <c r="N1847" s="177"/>
      <c r="O1847" s="177"/>
      <c r="P1847" s="177"/>
      <c r="Q1847" s="177"/>
      <c r="R1847" s="177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</row>
    <row r="1848">
      <c r="A1848" s="2"/>
      <c r="B1848" s="177"/>
      <c r="C1848" s="177"/>
      <c r="D1848" s="177"/>
      <c r="E1848" s="177"/>
      <c r="F1848" s="177"/>
      <c r="G1848" s="177"/>
      <c r="H1848" s="177"/>
      <c r="I1848" s="177"/>
      <c r="J1848" s="177"/>
      <c r="K1848" s="177"/>
      <c r="L1848" s="177"/>
      <c r="M1848" s="177"/>
      <c r="N1848" s="177"/>
      <c r="O1848" s="177"/>
      <c r="P1848" s="177"/>
      <c r="Q1848" s="177"/>
      <c r="R1848" s="177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</row>
    <row r="1849">
      <c r="A1849" s="2"/>
      <c r="B1849" s="177"/>
      <c r="C1849" s="177"/>
      <c r="D1849" s="177"/>
      <c r="E1849" s="177"/>
      <c r="F1849" s="177"/>
      <c r="G1849" s="177"/>
      <c r="H1849" s="177"/>
      <c r="I1849" s="177"/>
      <c r="J1849" s="177"/>
      <c r="K1849" s="177"/>
      <c r="L1849" s="177"/>
      <c r="M1849" s="177"/>
      <c r="N1849" s="177"/>
      <c r="O1849" s="177"/>
      <c r="P1849" s="177"/>
      <c r="Q1849" s="177"/>
      <c r="R1849" s="177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</row>
    <row r="1850">
      <c r="A1850" s="2"/>
      <c r="B1850" s="176" t="s">
        <v>1</v>
      </c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5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</row>
    <row r="1851">
      <c r="A1851" s="2"/>
      <c r="B1851" s="8"/>
      <c r="F1851" s="9"/>
      <c r="G1851" s="9"/>
      <c r="H1851" s="9"/>
      <c r="I1851" s="9"/>
      <c r="J1851" s="9" t="s">
        <v>2</v>
      </c>
      <c r="N1851" s="6"/>
      <c r="R1851" s="10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</row>
    <row r="1852">
      <c r="A1852" s="2"/>
      <c r="B1852" s="13"/>
      <c r="F1852" s="9"/>
      <c r="G1852" s="9"/>
      <c r="H1852" s="9"/>
      <c r="I1852" s="9"/>
      <c r="J1852" s="9" t="s">
        <v>3</v>
      </c>
      <c r="N1852" s="6"/>
      <c r="R1852" s="10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</row>
    <row r="1853">
      <c r="A1853" s="2"/>
      <c r="B1853" s="13" t="s">
        <v>4</v>
      </c>
      <c r="R1853" s="10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</row>
    <row r="1854">
      <c r="A1854" s="2"/>
      <c r="B1854" s="16" t="s">
        <v>5</v>
      </c>
      <c r="C1854" s="17" t="s">
        <v>6</v>
      </c>
      <c r="D1854" s="4"/>
      <c r="E1854" s="4"/>
      <c r="F1854" s="4"/>
      <c r="G1854" s="4"/>
      <c r="H1854" s="4"/>
      <c r="I1854" s="4"/>
      <c r="J1854" s="4"/>
      <c r="K1854" s="5"/>
      <c r="L1854" s="18" t="s">
        <v>7</v>
      </c>
      <c r="M1854" s="19">
        <v>69.0</v>
      </c>
      <c r="N1854" s="20"/>
      <c r="O1854" s="4"/>
      <c r="P1854" s="4"/>
      <c r="Q1854" s="4"/>
      <c r="R1854" s="5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</row>
    <row r="1855">
      <c r="A1855" s="2"/>
      <c r="B1855" s="26"/>
      <c r="C1855" s="27" t="s">
        <v>8</v>
      </c>
      <c r="K1855" s="10"/>
      <c r="L1855" s="18" t="s">
        <v>9</v>
      </c>
      <c r="M1855" s="175">
        <v>46058.0</v>
      </c>
      <c r="N1855" s="6"/>
      <c r="R1855" s="10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</row>
    <row r="1856">
      <c r="A1856" s="2"/>
      <c r="B1856" s="16" t="s">
        <v>11</v>
      </c>
      <c r="C1856" s="30" t="s">
        <v>12</v>
      </c>
      <c r="D1856" s="31"/>
      <c r="E1856" s="31"/>
      <c r="F1856" s="31"/>
      <c r="G1856" s="31"/>
      <c r="H1856" s="31"/>
      <c r="I1856" s="31"/>
      <c r="J1856" s="31"/>
      <c r="K1856" s="32"/>
      <c r="L1856" s="18" t="s">
        <v>13</v>
      </c>
      <c r="M1856" s="33" t="s">
        <v>14</v>
      </c>
      <c r="N1856" s="34"/>
      <c r="O1856" s="31"/>
      <c r="P1856" s="31"/>
      <c r="Q1856" s="31"/>
      <c r="R1856" s="3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</row>
    <row r="1857">
      <c r="A1857" s="2"/>
      <c r="B1857" s="8"/>
      <c r="R1857" s="10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</row>
    <row r="1858">
      <c r="A1858" s="2"/>
      <c r="B1858" s="39" t="s">
        <v>15</v>
      </c>
      <c r="C1858" s="40" t="s">
        <v>16</v>
      </c>
      <c r="D1858" s="41" t="s">
        <v>17</v>
      </c>
      <c r="E1858" s="41" t="s">
        <v>18</v>
      </c>
      <c r="F1858" s="42" t="s">
        <v>19</v>
      </c>
      <c r="G1858" s="43"/>
      <c r="H1858" s="43"/>
      <c r="I1858" s="43"/>
      <c r="J1858" s="44"/>
      <c r="K1858" s="41" t="s">
        <v>20</v>
      </c>
      <c r="L1858" s="41" t="s">
        <v>21</v>
      </c>
      <c r="M1858" s="41" t="s">
        <v>22</v>
      </c>
      <c r="N1858" s="41" t="s">
        <v>23</v>
      </c>
      <c r="O1858" s="41" t="s">
        <v>24</v>
      </c>
      <c r="P1858" s="41" t="s">
        <v>25</v>
      </c>
      <c r="Q1858" s="41" t="s">
        <v>26</v>
      </c>
      <c r="R1858" s="45" t="s">
        <v>27</v>
      </c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</row>
    <row r="1859">
      <c r="A1859" s="2"/>
      <c r="B1859" s="52">
        <v>1.0</v>
      </c>
      <c r="C1859" s="53">
        <v>1.004707667E9</v>
      </c>
      <c r="D1859" s="53" t="s">
        <v>169</v>
      </c>
      <c r="E1859" s="53" t="s">
        <v>61</v>
      </c>
      <c r="F1859" s="53" t="s">
        <v>62</v>
      </c>
      <c r="G1859" s="53" t="s">
        <v>74</v>
      </c>
      <c r="H1859" s="53" t="s">
        <v>75</v>
      </c>
      <c r="I1859" s="53" t="s">
        <v>73</v>
      </c>
      <c r="J1859" s="55"/>
      <c r="K1859" s="53" t="s">
        <v>38</v>
      </c>
      <c r="L1859" s="53" t="s">
        <v>110</v>
      </c>
      <c r="M1859" s="53">
        <v>3582.0</v>
      </c>
      <c r="N1859" s="53">
        <v>560.0</v>
      </c>
      <c r="O1859" s="53">
        <v>19.28</v>
      </c>
      <c r="P1859" s="55">
        <f t="shared" ref="P1859:P1868" si="143">N1859*O1859</f>
        <v>10796.8</v>
      </c>
      <c r="Q1859" s="53">
        <v>1085.0</v>
      </c>
      <c r="R1859" s="105">
        <f t="shared" ref="R1859:R1868" si="144">P1859+Q1859</f>
        <v>11881.8</v>
      </c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</row>
    <row r="1860">
      <c r="A1860" s="2"/>
      <c r="B1860" s="52">
        <v>2.0</v>
      </c>
      <c r="C1860" s="53">
        <v>1.004708052E9</v>
      </c>
      <c r="D1860" s="53" t="s">
        <v>169</v>
      </c>
      <c r="E1860" s="53" t="s">
        <v>77</v>
      </c>
      <c r="F1860" s="53" t="s">
        <v>78</v>
      </c>
      <c r="G1860" s="53" t="s">
        <v>79</v>
      </c>
      <c r="H1860" s="53"/>
      <c r="I1860" s="55"/>
      <c r="J1860" s="55"/>
      <c r="K1860" s="53" t="s">
        <v>38</v>
      </c>
      <c r="L1860" s="53" t="s">
        <v>81</v>
      </c>
      <c r="M1860" s="53">
        <v>3239.0</v>
      </c>
      <c r="N1860" s="53">
        <v>416.0</v>
      </c>
      <c r="O1860" s="53">
        <v>19.28</v>
      </c>
      <c r="P1860" s="55">
        <f t="shared" si="143"/>
        <v>8020.48</v>
      </c>
      <c r="Q1860" s="53">
        <v>505.0</v>
      </c>
      <c r="R1860" s="105">
        <f t="shared" si="144"/>
        <v>8525.48</v>
      </c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</row>
    <row r="1861">
      <c r="A1861" s="2"/>
      <c r="B1861" s="52">
        <v>3.0</v>
      </c>
      <c r="C1861" s="53">
        <v>1.004707872E9</v>
      </c>
      <c r="D1861" s="53" t="s">
        <v>169</v>
      </c>
      <c r="E1861" s="53" t="s">
        <v>100</v>
      </c>
      <c r="F1861" s="53" t="s">
        <v>87</v>
      </c>
      <c r="G1861" s="53" t="s">
        <v>84</v>
      </c>
      <c r="H1861" s="55"/>
      <c r="I1861" s="55"/>
      <c r="J1861" s="55"/>
      <c r="K1861" s="53" t="s">
        <v>38</v>
      </c>
      <c r="L1861" s="53" t="s">
        <v>101</v>
      </c>
      <c r="M1861" s="53">
        <v>3651.0</v>
      </c>
      <c r="N1861" s="53">
        <v>428.0</v>
      </c>
      <c r="O1861" s="53">
        <v>19.28</v>
      </c>
      <c r="P1861" s="55">
        <f t="shared" si="143"/>
        <v>8251.84</v>
      </c>
      <c r="Q1861" s="53">
        <v>755.0</v>
      </c>
      <c r="R1861" s="105">
        <f t="shared" si="144"/>
        <v>9006.84</v>
      </c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</row>
    <row r="1862">
      <c r="A1862" s="2"/>
      <c r="B1862" s="52">
        <v>4.0</v>
      </c>
      <c r="C1862" s="53">
        <v>1.004707971E9</v>
      </c>
      <c r="D1862" s="53" t="s">
        <v>169</v>
      </c>
      <c r="E1862" s="53" t="s">
        <v>55</v>
      </c>
      <c r="F1862" s="53" t="s">
        <v>103</v>
      </c>
      <c r="G1862" s="53" t="s">
        <v>57</v>
      </c>
      <c r="H1862" s="53" t="s">
        <v>58</v>
      </c>
      <c r="I1862" s="53" t="s">
        <v>59</v>
      </c>
      <c r="J1862" s="53" t="s">
        <v>56</v>
      </c>
      <c r="K1862" s="53" t="s">
        <v>80</v>
      </c>
      <c r="L1862" s="53" t="s">
        <v>105</v>
      </c>
      <c r="M1862" s="53">
        <v>2392.0</v>
      </c>
      <c r="N1862" s="53">
        <v>572.0</v>
      </c>
      <c r="O1862" s="53">
        <v>18.28</v>
      </c>
      <c r="P1862" s="55">
        <f t="shared" si="143"/>
        <v>10456.16</v>
      </c>
      <c r="Q1862" s="53">
        <v>330.0</v>
      </c>
      <c r="R1862" s="105">
        <f t="shared" si="144"/>
        <v>10786.16</v>
      </c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</row>
    <row r="1863">
      <c r="A1863" s="2"/>
      <c r="B1863" s="52">
        <v>5.0</v>
      </c>
      <c r="C1863" s="53">
        <v>1.004708961E9</v>
      </c>
      <c r="D1863" s="53" t="s">
        <v>170</v>
      </c>
      <c r="E1863" s="53" t="s">
        <v>28</v>
      </c>
      <c r="F1863" s="53" t="s">
        <v>29</v>
      </c>
      <c r="G1863" s="53" t="s">
        <v>30</v>
      </c>
      <c r="H1863" s="53" t="s">
        <v>32</v>
      </c>
      <c r="I1863" s="53" t="s">
        <v>31</v>
      </c>
      <c r="J1863" s="55"/>
      <c r="K1863" s="53" t="s">
        <v>33</v>
      </c>
      <c r="L1863" s="53" t="s">
        <v>34</v>
      </c>
      <c r="M1863" s="53">
        <v>2073.0</v>
      </c>
      <c r="N1863" s="53">
        <v>246.0</v>
      </c>
      <c r="O1863" s="53">
        <v>15.53</v>
      </c>
      <c r="P1863" s="55">
        <f t="shared" si="143"/>
        <v>3820.38</v>
      </c>
      <c r="Q1863" s="55"/>
      <c r="R1863" s="105">
        <f t="shared" si="144"/>
        <v>3820.38</v>
      </c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</row>
    <row r="1864">
      <c r="A1864" s="2"/>
      <c r="B1864" s="52">
        <v>6.0</v>
      </c>
      <c r="C1864" s="53">
        <v>1.00470891E9</v>
      </c>
      <c r="D1864" s="53" t="s">
        <v>170</v>
      </c>
      <c r="E1864" s="53" t="s">
        <v>35</v>
      </c>
      <c r="F1864" s="53" t="s">
        <v>36</v>
      </c>
      <c r="G1864" s="53" t="s">
        <v>40</v>
      </c>
      <c r="H1864" s="53" t="s">
        <v>37</v>
      </c>
      <c r="I1864" s="55"/>
      <c r="J1864" s="55"/>
      <c r="K1864" s="53" t="s">
        <v>38</v>
      </c>
      <c r="L1864" s="53" t="s">
        <v>96</v>
      </c>
      <c r="M1864" s="53">
        <v>3116.0</v>
      </c>
      <c r="N1864" s="53">
        <v>200.0</v>
      </c>
      <c r="O1864" s="53">
        <v>19.28</v>
      </c>
      <c r="P1864" s="55">
        <f t="shared" si="143"/>
        <v>3856</v>
      </c>
      <c r="Q1864" s="55"/>
      <c r="R1864" s="105">
        <f t="shared" si="144"/>
        <v>3856</v>
      </c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</row>
    <row r="1865">
      <c r="A1865" s="2"/>
      <c r="B1865" s="52">
        <v>7.0</v>
      </c>
      <c r="C1865" s="53">
        <v>1.004708986E9</v>
      </c>
      <c r="D1865" s="53" t="s">
        <v>170</v>
      </c>
      <c r="E1865" s="53" t="s">
        <v>47</v>
      </c>
      <c r="F1865" s="53" t="s">
        <v>48</v>
      </c>
      <c r="G1865" s="53" t="s">
        <v>44</v>
      </c>
      <c r="H1865" s="53"/>
      <c r="I1865" s="55"/>
      <c r="J1865" s="55"/>
      <c r="K1865" s="53" t="s">
        <v>45</v>
      </c>
      <c r="L1865" s="53" t="s">
        <v>98</v>
      </c>
      <c r="M1865" s="53">
        <v>1529.0</v>
      </c>
      <c r="N1865" s="53">
        <v>250.0</v>
      </c>
      <c r="O1865" s="53">
        <v>15.53</v>
      </c>
      <c r="P1865" s="55">
        <f t="shared" si="143"/>
        <v>3882.5</v>
      </c>
      <c r="Q1865" s="55"/>
      <c r="R1865" s="105">
        <f t="shared" si="144"/>
        <v>3882.5</v>
      </c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</row>
    <row r="1866">
      <c r="A1866" s="2"/>
      <c r="B1866" s="52">
        <v>8.0</v>
      </c>
      <c r="C1866" s="53">
        <v>1.004709009E9</v>
      </c>
      <c r="D1866" s="53" t="s">
        <v>170</v>
      </c>
      <c r="E1866" s="53" t="s">
        <v>51</v>
      </c>
      <c r="F1866" s="53" t="s">
        <v>44</v>
      </c>
      <c r="G1866" s="53"/>
      <c r="H1866" s="53"/>
      <c r="I1866" s="55"/>
      <c r="J1866" s="55"/>
      <c r="K1866" s="53" t="s">
        <v>45</v>
      </c>
      <c r="L1866" s="53" t="s">
        <v>50</v>
      </c>
      <c r="M1866" s="53">
        <v>1647.0</v>
      </c>
      <c r="N1866" s="53">
        <v>230.0</v>
      </c>
      <c r="O1866" s="53">
        <v>15.53</v>
      </c>
      <c r="P1866" s="55">
        <f t="shared" si="143"/>
        <v>3571.9</v>
      </c>
      <c r="Q1866" s="55"/>
      <c r="R1866" s="105">
        <f t="shared" si="144"/>
        <v>3571.9</v>
      </c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</row>
    <row r="1867">
      <c r="A1867" s="2"/>
      <c r="B1867" s="52">
        <v>9.0</v>
      </c>
      <c r="C1867" s="53">
        <v>1.00470903E9</v>
      </c>
      <c r="D1867" s="53" t="s">
        <v>170</v>
      </c>
      <c r="E1867" s="53" t="s">
        <v>51</v>
      </c>
      <c r="F1867" s="53" t="s">
        <v>44</v>
      </c>
      <c r="G1867" s="55"/>
      <c r="H1867" s="53"/>
      <c r="I1867" s="55"/>
      <c r="J1867" s="55"/>
      <c r="K1867" s="53" t="s">
        <v>45</v>
      </c>
      <c r="L1867" s="53" t="s">
        <v>52</v>
      </c>
      <c r="M1867" s="53">
        <v>1704.0</v>
      </c>
      <c r="N1867" s="53">
        <v>230.0</v>
      </c>
      <c r="O1867" s="53">
        <v>15.53</v>
      </c>
      <c r="P1867" s="55">
        <f t="shared" si="143"/>
        <v>3571.9</v>
      </c>
      <c r="Q1867" s="53"/>
      <c r="R1867" s="105">
        <f t="shared" si="144"/>
        <v>3571.9</v>
      </c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</row>
    <row r="1868">
      <c r="A1868" s="2"/>
      <c r="B1868" s="52">
        <v>10.0</v>
      </c>
      <c r="C1868" s="53">
        <v>1.004709027E9</v>
      </c>
      <c r="D1868" s="53" t="s">
        <v>170</v>
      </c>
      <c r="E1868" s="53" t="s">
        <v>51</v>
      </c>
      <c r="F1868" s="53" t="s">
        <v>44</v>
      </c>
      <c r="G1868" s="55"/>
      <c r="H1868" s="55"/>
      <c r="I1868" s="55"/>
      <c r="J1868" s="55"/>
      <c r="K1868" s="53" t="s">
        <v>45</v>
      </c>
      <c r="L1868" s="53" t="s">
        <v>54</v>
      </c>
      <c r="M1868" s="53">
        <v>1529.0</v>
      </c>
      <c r="N1868" s="53">
        <v>230.0</v>
      </c>
      <c r="O1868" s="53">
        <v>15.53</v>
      </c>
      <c r="P1868" s="55">
        <f t="shared" si="143"/>
        <v>3571.9</v>
      </c>
      <c r="Q1868" s="53"/>
      <c r="R1868" s="105">
        <f t="shared" si="144"/>
        <v>3571.9</v>
      </c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</row>
    <row r="1869">
      <c r="A1869" s="2"/>
      <c r="B1869" s="8"/>
      <c r="C1869" s="6"/>
      <c r="D1869" s="6"/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65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</row>
    <row r="1870">
      <c r="A1870" s="2"/>
      <c r="B1870" s="67" t="s">
        <v>64</v>
      </c>
      <c r="C1870" s="68"/>
      <c r="D1870" s="69" t="str">
        <f>MONEYTEXT(R1870, "INR")</f>
        <v>Sixty-two thousand four hundred seventy-four Indian rupees and eighty-six paise</v>
      </c>
      <c r="E1870" s="68"/>
      <c r="F1870" s="68"/>
      <c r="G1870" s="68"/>
      <c r="H1870" s="68"/>
      <c r="I1870" s="68"/>
      <c r="J1870" s="68"/>
      <c r="K1870" s="68"/>
      <c r="L1870" s="68"/>
      <c r="M1870" s="68"/>
      <c r="N1870" s="70" t="s">
        <v>65</v>
      </c>
      <c r="O1870" s="4"/>
      <c r="P1870" s="96">
        <f t="shared" ref="P1870:R1870" si="145">SUM(P1859:P1868)</f>
        <v>59799.86</v>
      </c>
      <c r="Q1870" s="96">
        <f t="shared" si="145"/>
        <v>2675</v>
      </c>
      <c r="R1870" s="96">
        <f t="shared" si="145"/>
        <v>62474.86</v>
      </c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</row>
    <row r="1871">
      <c r="A1871" s="2"/>
      <c r="B1871" s="67" t="s">
        <v>66</v>
      </c>
      <c r="C1871" s="68"/>
      <c r="D1871" s="68"/>
      <c r="E1871" s="68"/>
      <c r="F1871" s="68"/>
      <c r="G1871" s="68"/>
      <c r="H1871" s="68"/>
      <c r="I1871" s="68"/>
      <c r="J1871" s="68"/>
      <c r="K1871" s="68"/>
      <c r="L1871" s="68"/>
      <c r="M1871" s="68"/>
      <c r="N1871" s="68"/>
      <c r="O1871" s="76"/>
      <c r="P1871" s="97" t="s">
        <v>67</v>
      </c>
      <c r="Q1871" s="31"/>
      <c r="R1871" s="3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</row>
    <row r="1872">
      <c r="A1872" s="2"/>
      <c r="B1872" s="79" t="s">
        <v>68</v>
      </c>
      <c r="P1872" s="27"/>
      <c r="Q1872" s="27"/>
      <c r="R1872" s="83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</row>
    <row r="1873">
      <c r="A1873" s="2"/>
      <c r="B1873" s="79" t="s">
        <v>70</v>
      </c>
      <c r="P1873" s="27"/>
      <c r="Q1873" s="27"/>
      <c r="R1873" s="83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</row>
    <row r="1874">
      <c r="A1874" s="2"/>
      <c r="B1874" s="8"/>
      <c r="C1874" s="6"/>
      <c r="D1874" s="6"/>
      <c r="E1874" s="6"/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65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</row>
    <row r="1875">
      <c r="A1875" s="2"/>
      <c r="B1875" s="8"/>
      <c r="C1875" s="6"/>
      <c r="D1875" s="6"/>
      <c r="E1875" s="6"/>
      <c r="F1875" s="6"/>
      <c r="G1875" s="6"/>
      <c r="H1875" s="6"/>
      <c r="I1875" s="6"/>
      <c r="J1875" s="6"/>
      <c r="K1875" s="19" t="s">
        <v>71</v>
      </c>
      <c r="L1875" s="6"/>
      <c r="M1875" s="6"/>
      <c r="N1875" s="6"/>
      <c r="O1875" s="6"/>
      <c r="P1875" s="9" t="s">
        <v>72</v>
      </c>
      <c r="R1875" s="10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</row>
    <row r="1876">
      <c r="A1876" s="2"/>
      <c r="B1876" s="88"/>
      <c r="C1876" s="34"/>
      <c r="D1876" s="34"/>
      <c r="E1876" s="34"/>
      <c r="F1876" s="34"/>
      <c r="G1876" s="34"/>
      <c r="H1876" s="34"/>
      <c r="I1876" s="34"/>
      <c r="J1876" s="34"/>
      <c r="K1876" s="34"/>
      <c r="L1876" s="34"/>
      <c r="M1876" s="34"/>
      <c r="N1876" s="34"/>
      <c r="O1876" s="34"/>
      <c r="P1876" s="34"/>
      <c r="Q1876" s="34"/>
      <c r="R1876" s="89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</row>
    <row r="1877">
      <c r="A1877" s="2"/>
      <c r="B1877" s="177"/>
      <c r="C1877" s="177"/>
      <c r="D1877" s="177"/>
      <c r="E1877" s="177"/>
      <c r="F1877" s="177"/>
      <c r="G1877" s="177"/>
      <c r="H1877" s="177"/>
      <c r="I1877" s="177"/>
      <c r="J1877" s="177"/>
      <c r="K1877" s="177"/>
      <c r="L1877" s="177"/>
      <c r="M1877" s="177"/>
      <c r="N1877" s="177"/>
      <c r="O1877" s="177"/>
      <c r="P1877" s="177"/>
      <c r="Q1877" s="177"/>
      <c r="R1877" s="177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</row>
    <row r="1878">
      <c r="A1878" s="2"/>
      <c r="B1878" s="177"/>
      <c r="C1878" s="177"/>
      <c r="D1878" s="177"/>
      <c r="E1878" s="177"/>
      <c r="F1878" s="177"/>
      <c r="G1878" s="177"/>
      <c r="H1878" s="177"/>
      <c r="I1878" s="177"/>
      <c r="J1878" s="177"/>
      <c r="K1878" s="177"/>
      <c r="L1878" s="177"/>
      <c r="M1878" s="177"/>
      <c r="N1878" s="177"/>
      <c r="O1878" s="177"/>
      <c r="P1878" s="177"/>
      <c r="Q1878" s="177"/>
      <c r="R1878" s="177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</row>
    <row r="1879">
      <c r="A1879" s="2"/>
      <c r="B1879" s="177"/>
      <c r="C1879" s="177"/>
      <c r="D1879" s="177"/>
      <c r="E1879" s="177"/>
      <c r="F1879" s="177"/>
      <c r="G1879" s="177"/>
      <c r="H1879" s="177"/>
      <c r="I1879" s="177"/>
      <c r="J1879" s="177"/>
      <c r="K1879" s="177"/>
      <c r="L1879" s="177"/>
      <c r="M1879" s="177"/>
      <c r="N1879" s="177"/>
      <c r="O1879" s="177"/>
      <c r="P1879" s="177"/>
      <c r="Q1879" s="177"/>
      <c r="R1879" s="177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</row>
    <row r="1880">
      <c r="A1880" s="2"/>
      <c r="B1880" s="177"/>
      <c r="C1880" s="177"/>
      <c r="D1880" s="177"/>
      <c r="E1880" s="177"/>
      <c r="F1880" s="177"/>
      <c r="G1880" s="177"/>
      <c r="H1880" s="177"/>
      <c r="I1880" s="177"/>
      <c r="J1880" s="177"/>
      <c r="K1880" s="177"/>
      <c r="L1880" s="177"/>
      <c r="M1880" s="177"/>
      <c r="N1880" s="177"/>
      <c r="O1880" s="177"/>
      <c r="P1880" s="177"/>
      <c r="Q1880" s="177"/>
      <c r="R1880" s="177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</row>
    <row r="1881">
      <c r="A1881" s="2"/>
      <c r="B1881" s="176" t="s">
        <v>1</v>
      </c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5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</row>
    <row r="1882">
      <c r="A1882" s="2"/>
      <c r="B1882" s="8"/>
      <c r="F1882" s="9"/>
      <c r="G1882" s="9"/>
      <c r="H1882" s="9"/>
      <c r="I1882" s="9"/>
      <c r="J1882" s="9" t="s">
        <v>2</v>
      </c>
      <c r="N1882" s="6"/>
      <c r="R1882" s="10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</row>
    <row r="1883">
      <c r="A1883" s="2"/>
      <c r="B1883" s="13"/>
      <c r="F1883" s="9"/>
      <c r="G1883" s="9"/>
      <c r="H1883" s="9"/>
      <c r="I1883" s="9"/>
      <c r="J1883" s="9" t="s">
        <v>3</v>
      </c>
      <c r="N1883" s="6"/>
      <c r="R1883" s="10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</row>
    <row r="1884">
      <c r="A1884" s="2"/>
      <c r="B1884" s="13" t="s">
        <v>4</v>
      </c>
      <c r="R1884" s="10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</row>
    <row r="1885">
      <c r="A1885" s="2"/>
      <c r="B1885" s="16" t="s">
        <v>5</v>
      </c>
      <c r="C1885" s="17" t="s">
        <v>6</v>
      </c>
      <c r="D1885" s="4"/>
      <c r="E1885" s="4"/>
      <c r="F1885" s="4"/>
      <c r="G1885" s="4"/>
      <c r="H1885" s="4"/>
      <c r="I1885" s="4"/>
      <c r="J1885" s="4"/>
      <c r="K1885" s="5"/>
      <c r="L1885" s="18" t="s">
        <v>7</v>
      </c>
      <c r="M1885" s="19">
        <v>70.0</v>
      </c>
      <c r="N1885" s="20"/>
      <c r="O1885" s="4"/>
      <c r="P1885" s="4"/>
      <c r="Q1885" s="4"/>
      <c r="R1885" s="5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</row>
    <row r="1886">
      <c r="A1886" s="2"/>
      <c r="B1886" s="26"/>
      <c r="C1886" s="27" t="s">
        <v>8</v>
      </c>
      <c r="K1886" s="10"/>
      <c r="L1886" s="18" t="s">
        <v>9</v>
      </c>
      <c r="M1886" s="175">
        <v>46058.0</v>
      </c>
      <c r="N1886" s="6"/>
      <c r="R1886" s="10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</row>
    <row r="1887">
      <c r="A1887" s="2"/>
      <c r="B1887" s="16" t="s">
        <v>11</v>
      </c>
      <c r="C1887" s="30" t="s">
        <v>12</v>
      </c>
      <c r="D1887" s="31"/>
      <c r="E1887" s="31"/>
      <c r="F1887" s="31"/>
      <c r="G1887" s="31"/>
      <c r="H1887" s="31"/>
      <c r="I1887" s="31"/>
      <c r="J1887" s="31"/>
      <c r="K1887" s="32"/>
      <c r="L1887" s="18" t="s">
        <v>13</v>
      </c>
      <c r="M1887" s="33" t="s">
        <v>14</v>
      </c>
      <c r="N1887" s="34"/>
      <c r="O1887" s="31"/>
      <c r="P1887" s="31"/>
      <c r="Q1887" s="31"/>
      <c r="R1887" s="3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</row>
    <row r="1888">
      <c r="A1888" s="2"/>
      <c r="B1888" s="8"/>
      <c r="R1888" s="10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</row>
    <row r="1889">
      <c r="A1889" s="2"/>
      <c r="B1889" s="39" t="s">
        <v>15</v>
      </c>
      <c r="C1889" s="40" t="s">
        <v>16</v>
      </c>
      <c r="D1889" s="41" t="s">
        <v>17</v>
      </c>
      <c r="E1889" s="41" t="s">
        <v>18</v>
      </c>
      <c r="F1889" s="42" t="s">
        <v>19</v>
      </c>
      <c r="G1889" s="43"/>
      <c r="H1889" s="43"/>
      <c r="I1889" s="43"/>
      <c r="J1889" s="44"/>
      <c r="K1889" s="41" t="s">
        <v>20</v>
      </c>
      <c r="L1889" s="41" t="s">
        <v>21</v>
      </c>
      <c r="M1889" s="41" t="s">
        <v>22</v>
      </c>
      <c r="N1889" s="41" t="s">
        <v>23</v>
      </c>
      <c r="O1889" s="41" t="s">
        <v>24</v>
      </c>
      <c r="P1889" s="41" t="s">
        <v>25</v>
      </c>
      <c r="Q1889" s="41" t="s">
        <v>26</v>
      </c>
      <c r="R1889" s="45" t="s">
        <v>27</v>
      </c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</row>
    <row r="1890">
      <c r="A1890" s="2"/>
      <c r="B1890" s="52">
        <v>1.0</v>
      </c>
      <c r="C1890" s="53">
        <v>1.004709793E9</v>
      </c>
      <c r="D1890" s="53" t="s">
        <v>170</v>
      </c>
      <c r="E1890" s="53" t="s">
        <v>51</v>
      </c>
      <c r="F1890" s="53" t="s">
        <v>44</v>
      </c>
      <c r="G1890" s="53" t="s">
        <v>49</v>
      </c>
      <c r="H1890" s="53"/>
      <c r="I1890" s="55"/>
      <c r="J1890" s="55"/>
      <c r="K1890" s="53" t="s">
        <v>45</v>
      </c>
      <c r="L1890" s="53" t="s">
        <v>171</v>
      </c>
      <c r="M1890" s="53">
        <v>1459.0</v>
      </c>
      <c r="N1890" s="53">
        <v>230.0</v>
      </c>
      <c r="O1890" s="53">
        <v>15.53</v>
      </c>
      <c r="P1890" s="55">
        <f t="shared" ref="P1890:P1899" si="146">N1890*O1890</f>
        <v>3571.9</v>
      </c>
      <c r="Q1890" s="53"/>
      <c r="R1890" s="105">
        <f t="shared" ref="R1890:R1899" si="147">P1890+Q1890</f>
        <v>3571.9</v>
      </c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</row>
    <row r="1891">
      <c r="A1891" s="2"/>
      <c r="B1891" s="52">
        <v>2.0</v>
      </c>
      <c r="C1891" s="53">
        <v>1.004709318E9</v>
      </c>
      <c r="D1891" s="53" t="s">
        <v>170</v>
      </c>
      <c r="E1891" s="53" t="s">
        <v>51</v>
      </c>
      <c r="F1891" s="53" t="s">
        <v>44</v>
      </c>
      <c r="G1891" s="53" t="s">
        <v>49</v>
      </c>
      <c r="H1891" s="53"/>
      <c r="I1891" s="55"/>
      <c r="J1891" s="55"/>
      <c r="K1891" s="53" t="s">
        <v>45</v>
      </c>
      <c r="L1891" s="53" t="s">
        <v>112</v>
      </c>
      <c r="M1891" s="53">
        <v>1455.0</v>
      </c>
      <c r="N1891" s="53">
        <v>230.0</v>
      </c>
      <c r="O1891" s="53">
        <v>15.53</v>
      </c>
      <c r="P1891" s="55">
        <f t="shared" si="146"/>
        <v>3571.9</v>
      </c>
      <c r="Q1891" s="55"/>
      <c r="R1891" s="105">
        <f t="shared" si="147"/>
        <v>3571.9</v>
      </c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</row>
    <row r="1892">
      <c r="A1892" s="2"/>
      <c r="B1892" s="52">
        <v>3.0</v>
      </c>
      <c r="C1892" s="53">
        <v>1.004709781E9</v>
      </c>
      <c r="D1892" s="53" t="s">
        <v>170</v>
      </c>
      <c r="E1892" s="53" t="s">
        <v>51</v>
      </c>
      <c r="F1892" s="53" t="s">
        <v>44</v>
      </c>
      <c r="G1892" s="53"/>
      <c r="H1892" s="55"/>
      <c r="I1892" s="55"/>
      <c r="J1892" s="55"/>
      <c r="K1892" s="53" t="s">
        <v>45</v>
      </c>
      <c r="L1892" s="53" t="s">
        <v>172</v>
      </c>
      <c r="M1892" s="53">
        <v>1358.0</v>
      </c>
      <c r="N1892" s="53">
        <v>230.0</v>
      </c>
      <c r="O1892" s="53">
        <v>15.53</v>
      </c>
      <c r="P1892" s="55">
        <f t="shared" si="146"/>
        <v>3571.9</v>
      </c>
      <c r="Q1892" s="55"/>
      <c r="R1892" s="105">
        <f t="shared" si="147"/>
        <v>3571.9</v>
      </c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</row>
    <row r="1893">
      <c r="A1893" s="2"/>
      <c r="B1893" s="52">
        <v>4.0</v>
      </c>
      <c r="C1893" s="53">
        <v>1.004710109E9</v>
      </c>
      <c r="D1893" s="53" t="s">
        <v>170</v>
      </c>
      <c r="E1893" s="53" t="s">
        <v>90</v>
      </c>
      <c r="F1893" s="53" t="s">
        <v>92</v>
      </c>
      <c r="G1893" s="53" t="s">
        <v>93</v>
      </c>
      <c r="H1893" s="53" t="s">
        <v>91</v>
      </c>
      <c r="I1893" s="53" t="s">
        <v>94</v>
      </c>
      <c r="J1893" s="55"/>
      <c r="K1893" s="53" t="s">
        <v>38</v>
      </c>
      <c r="L1893" s="53" t="s">
        <v>102</v>
      </c>
      <c r="M1893" s="53">
        <v>3262.0</v>
      </c>
      <c r="N1893" s="53">
        <v>405.0</v>
      </c>
      <c r="O1893" s="53">
        <v>19.28</v>
      </c>
      <c r="P1893" s="55">
        <f t="shared" si="146"/>
        <v>7808.4</v>
      </c>
      <c r="Q1893" s="53">
        <v>500.0</v>
      </c>
      <c r="R1893" s="105">
        <f t="shared" si="147"/>
        <v>8308.4</v>
      </c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</row>
    <row r="1894">
      <c r="A1894" s="2"/>
      <c r="B1894" s="52">
        <v>5.0</v>
      </c>
      <c r="C1894" s="53">
        <v>1.004710098E9</v>
      </c>
      <c r="D1894" s="53" t="s">
        <v>170</v>
      </c>
      <c r="E1894" s="53" t="s">
        <v>55</v>
      </c>
      <c r="F1894" s="53" t="s">
        <v>57</v>
      </c>
      <c r="G1894" s="53" t="s">
        <v>103</v>
      </c>
      <c r="H1894" s="53" t="s">
        <v>56</v>
      </c>
      <c r="I1894" s="53" t="s">
        <v>58</v>
      </c>
      <c r="J1894" s="55"/>
      <c r="K1894" s="53" t="s">
        <v>33</v>
      </c>
      <c r="L1894" s="53" t="s">
        <v>60</v>
      </c>
      <c r="M1894" s="53">
        <v>2029.0</v>
      </c>
      <c r="N1894" s="53">
        <v>572.0</v>
      </c>
      <c r="O1894" s="53">
        <v>15.53</v>
      </c>
      <c r="P1894" s="55">
        <f t="shared" si="146"/>
        <v>8883.16</v>
      </c>
      <c r="Q1894" s="53">
        <v>330.0</v>
      </c>
      <c r="R1894" s="105">
        <f t="shared" si="147"/>
        <v>9213.16</v>
      </c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</row>
    <row r="1895">
      <c r="A1895" s="2"/>
      <c r="B1895" s="52">
        <v>6.0</v>
      </c>
      <c r="C1895" s="53">
        <v>1.004709999E9</v>
      </c>
      <c r="D1895" s="53" t="s">
        <v>170</v>
      </c>
      <c r="E1895" s="53" t="s">
        <v>82</v>
      </c>
      <c r="F1895" s="53" t="s">
        <v>86</v>
      </c>
      <c r="G1895" s="53" t="s">
        <v>83</v>
      </c>
      <c r="H1895" s="55"/>
      <c r="I1895" s="55"/>
      <c r="J1895" s="55"/>
      <c r="K1895" s="53" t="s">
        <v>33</v>
      </c>
      <c r="L1895" s="53" t="s">
        <v>95</v>
      </c>
      <c r="M1895" s="53">
        <v>1930.0</v>
      </c>
      <c r="N1895" s="53">
        <v>384.0</v>
      </c>
      <c r="O1895" s="53">
        <v>15.53</v>
      </c>
      <c r="P1895" s="55">
        <f t="shared" si="146"/>
        <v>5963.52</v>
      </c>
      <c r="Q1895" s="55"/>
      <c r="R1895" s="105">
        <f t="shared" si="147"/>
        <v>5963.52</v>
      </c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</row>
    <row r="1896">
      <c r="A1896" s="2"/>
      <c r="B1896" s="52">
        <v>7.0</v>
      </c>
      <c r="C1896" s="53">
        <v>1.004710005E9</v>
      </c>
      <c r="D1896" s="53" t="s">
        <v>170</v>
      </c>
      <c r="E1896" s="53" t="s">
        <v>82</v>
      </c>
      <c r="F1896" s="53" t="s">
        <v>87</v>
      </c>
      <c r="G1896" s="53" t="s">
        <v>86</v>
      </c>
      <c r="H1896" s="53" t="s">
        <v>88</v>
      </c>
      <c r="I1896" s="55"/>
      <c r="J1896" s="55"/>
      <c r="K1896" s="53" t="s">
        <v>38</v>
      </c>
      <c r="L1896" s="53" t="s">
        <v>89</v>
      </c>
      <c r="M1896" s="53">
        <v>3468.0</v>
      </c>
      <c r="N1896" s="53">
        <v>484.0</v>
      </c>
      <c r="O1896" s="53">
        <v>19.28</v>
      </c>
      <c r="P1896" s="55">
        <f t="shared" si="146"/>
        <v>9331.52</v>
      </c>
      <c r="Q1896" s="53">
        <v>930.0</v>
      </c>
      <c r="R1896" s="105">
        <f t="shared" si="147"/>
        <v>10261.52</v>
      </c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</row>
    <row r="1897">
      <c r="A1897" s="2"/>
      <c r="B1897" s="52">
        <v>8.0</v>
      </c>
      <c r="C1897" s="53">
        <v>1.004709944E9</v>
      </c>
      <c r="D1897" s="53" t="s">
        <v>170</v>
      </c>
      <c r="E1897" s="53" t="s">
        <v>106</v>
      </c>
      <c r="F1897" s="53" t="s">
        <v>107</v>
      </c>
      <c r="G1897" s="53"/>
      <c r="H1897" s="53"/>
      <c r="I1897" s="55"/>
      <c r="J1897" s="55"/>
      <c r="K1897" s="53" t="s">
        <v>33</v>
      </c>
      <c r="L1897" s="53" t="s">
        <v>63</v>
      </c>
      <c r="M1897" s="53">
        <v>1569.0</v>
      </c>
      <c r="N1897" s="53">
        <v>370.0</v>
      </c>
      <c r="O1897" s="53">
        <v>15.53</v>
      </c>
      <c r="P1897" s="55">
        <f t="shared" si="146"/>
        <v>5746.1</v>
      </c>
      <c r="Q1897" s="55"/>
      <c r="R1897" s="105">
        <f t="shared" si="147"/>
        <v>5746.1</v>
      </c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</row>
    <row r="1898">
      <c r="A1898" s="2"/>
      <c r="B1898" s="52">
        <v>9.0</v>
      </c>
      <c r="C1898" s="53">
        <v>1.004709949E9</v>
      </c>
      <c r="D1898" s="53" t="s">
        <v>170</v>
      </c>
      <c r="E1898" s="53" t="s">
        <v>106</v>
      </c>
      <c r="F1898" s="53" t="s">
        <v>108</v>
      </c>
      <c r="G1898" s="53" t="s">
        <v>109</v>
      </c>
      <c r="H1898" s="53"/>
      <c r="I1898" s="55"/>
      <c r="J1898" s="55"/>
      <c r="K1898" s="53" t="s">
        <v>38</v>
      </c>
      <c r="L1898" s="53" t="s">
        <v>118</v>
      </c>
      <c r="M1898" s="53">
        <v>2934.0</v>
      </c>
      <c r="N1898" s="53">
        <v>482.0</v>
      </c>
      <c r="O1898" s="53">
        <v>19.28</v>
      </c>
      <c r="P1898" s="55">
        <f t="shared" si="146"/>
        <v>9292.96</v>
      </c>
      <c r="Q1898" s="53">
        <v>1025.0</v>
      </c>
      <c r="R1898" s="105">
        <f t="shared" si="147"/>
        <v>10317.96</v>
      </c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</row>
    <row r="1899">
      <c r="A1899" s="2"/>
      <c r="B1899" s="52">
        <v>10.0</v>
      </c>
      <c r="C1899" s="53">
        <v>1.004710998E9</v>
      </c>
      <c r="D1899" s="53" t="s">
        <v>173</v>
      </c>
      <c r="E1899" s="53" t="s">
        <v>28</v>
      </c>
      <c r="F1899" s="53" t="s">
        <v>29</v>
      </c>
      <c r="G1899" s="53" t="s">
        <v>32</v>
      </c>
      <c r="H1899" s="53" t="s">
        <v>30</v>
      </c>
      <c r="I1899" s="55"/>
      <c r="J1899" s="55"/>
      <c r="K1899" s="53" t="s">
        <v>80</v>
      </c>
      <c r="L1899" s="53" t="s">
        <v>41</v>
      </c>
      <c r="M1899" s="53">
        <v>2728.0</v>
      </c>
      <c r="N1899" s="53">
        <v>246.0</v>
      </c>
      <c r="O1899" s="53">
        <v>18.28</v>
      </c>
      <c r="P1899" s="55">
        <f t="shared" si="146"/>
        <v>4496.88</v>
      </c>
      <c r="Q1899" s="53"/>
      <c r="R1899" s="105">
        <f t="shared" si="147"/>
        <v>4496.88</v>
      </c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</row>
    <row r="1900">
      <c r="A1900" s="2"/>
      <c r="B1900" s="8"/>
      <c r="C1900" s="6"/>
      <c r="D1900" s="6"/>
      <c r="E1900" s="6"/>
      <c r="F1900" s="6"/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  <c r="R1900" s="65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</row>
    <row r="1901">
      <c r="A1901" s="2"/>
      <c r="B1901" s="67" t="s">
        <v>64</v>
      </c>
      <c r="C1901" s="68"/>
      <c r="D1901" s="69" t="str">
        <f>MONEYTEXT(R1901, "INR")</f>
        <v>Sixty-five thousand and twenty-three Indian rupees and twenty-four paise</v>
      </c>
      <c r="E1901" s="68"/>
      <c r="F1901" s="68"/>
      <c r="G1901" s="68"/>
      <c r="H1901" s="68"/>
      <c r="I1901" s="68"/>
      <c r="J1901" s="68"/>
      <c r="K1901" s="68"/>
      <c r="L1901" s="68"/>
      <c r="M1901" s="68"/>
      <c r="N1901" s="70" t="s">
        <v>65</v>
      </c>
      <c r="O1901" s="4"/>
      <c r="P1901" s="96">
        <f t="shared" ref="P1901:R1901" si="148">SUM(P1890:P1899)</f>
        <v>62238.24</v>
      </c>
      <c r="Q1901" s="96">
        <f t="shared" si="148"/>
        <v>2785</v>
      </c>
      <c r="R1901" s="96">
        <f t="shared" si="148"/>
        <v>65023.24</v>
      </c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</row>
    <row r="1902">
      <c r="A1902" s="2"/>
      <c r="B1902" s="67" t="s">
        <v>66</v>
      </c>
      <c r="C1902" s="68"/>
      <c r="D1902" s="68"/>
      <c r="E1902" s="68"/>
      <c r="F1902" s="68"/>
      <c r="G1902" s="68"/>
      <c r="H1902" s="68"/>
      <c r="I1902" s="68"/>
      <c r="J1902" s="68"/>
      <c r="K1902" s="68"/>
      <c r="L1902" s="68"/>
      <c r="M1902" s="68"/>
      <c r="N1902" s="68"/>
      <c r="O1902" s="76"/>
      <c r="P1902" s="97" t="s">
        <v>67</v>
      </c>
      <c r="Q1902" s="31"/>
      <c r="R1902" s="3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</row>
    <row r="1903">
      <c r="A1903" s="2"/>
      <c r="B1903" s="79" t="s">
        <v>68</v>
      </c>
      <c r="P1903" s="27"/>
      <c r="Q1903" s="27"/>
      <c r="R1903" s="83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</row>
    <row r="1904">
      <c r="A1904" s="2"/>
      <c r="B1904" s="79" t="s">
        <v>70</v>
      </c>
      <c r="P1904" s="27"/>
      <c r="Q1904" s="27"/>
      <c r="R1904" s="83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</row>
    <row r="1905">
      <c r="A1905" s="2"/>
      <c r="B1905" s="8"/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5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</row>
    <row r="1906">
      <c r="A1906" s="2"/>
      <c r="B1906" s="8"/>
      <c r="C1906" s="6"/>
      <c r="D1906" s="6"/>
      <c r="E1906" s="6"/>
      <c r="F1906" s="6"/>
      <c r="G1906" s="6"/>
      <c r="H1906" s="6"/>
      <c r="I1906" s="6"/>
      <c r="J1906" s="6"/>
      <c r="K1906" s="19" t="s">
        <v>71</v>
      </c>
      <c r="L1906" s="6"/>
      <c r="M1906" s="6"/>
      <c r="N1906" s="6"/>
      <c r="O1906" s="6"/>
      <c r="P1906" s="9" t="s">
        <v>72</v>
      </c>
      <c r="R1906" s="10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</row>
    <row r="1907">
      <c r="A1907" s="2"/>
      <c r="B1907" s="88"/>
      <c r="C1907" s="34"/>
      <c r="D1907" s="34"/>
      <c r="E1907" s="34"/>
      <c r="F1907" s="34"/>
      <c r="G1907" s="34"/>
      <c r="H1907" s="34"/>
      <c r="I1907" s="34"/>
      <c r="J1907" s="34"/>
      <c r="K1907" s="34"/>
      <c r="L1907" s="34"/>
      <c r="M1907" s="34"/>
      <c r="N1907" s="34"/>
      <c r="O1907" s="34"/>
      <c r="P1907" s="34"/>
      <c r="Q1907" s="34"/>
      <c r="R1907" s="89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</row>
    <row r="1908">
      <c r="A1908" s="2"/>
      <c r="B1908" s="177"/>
      <c r="C1908" s="177"/>
      <c r="D1908" s="177"/>
      <c r="E1908" s="177"/>
      <c r="F1908" s="177"/>
      <c r="G1908" s="177"/>
      <c r="H1908" s="177"/>
      <c r="I1908" s="177"/>
      <c r="J1908" s="177"/>
      <c r="K1908" s="177"/>
      <c r="L1908" s="177"/>
      <c r="M1908" s="177"/>
      <c r="N1908" s="177"/>
      <c r="O1908" s="177"/>
      <c r="P1908" s="177"/>
      <c r="Q1908" s="177"/>
      <c r="R1908" s="177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</row>
    <row r="1909">
      <c r="A1909" s="2"/>
      <c r="B1909" s="177"/>
      <c r="C1909" s="177"/>
      <c r="D1909" s="177"/>
      <c r="E1909" s="177"/>
      <c r="F1909" s="177"/>
      <c r="G1909" s="177"/>
      <c r="H1909" s="177"/>
      <c r="I1909" s="177"/>
      <c r="J1909" s="177"/>
      <c r="K1909" s="177"/>
      <c r="L1909" s="177"/>
      <c r="M1909" s="177"/>
      <c r="N1909" s="177"/>
      <c r="O1909" s="177"/>
      <c r="P1909" s="177"/>
      <c r="Q1909" s="177"/>
      <c r="R1909" s="177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</row>
    <row r="1910">
      <c r="A1910" s="2"/>
      <c r="B1910" s="177"/>
      <c r="C1910" s="177"/>
      <c r="D1910" s="177"/>
      <c r="E1910" s="177"/>
      <c r="F1910" s="177"/>
      <c r="G1910" s="177"/>
      <c r="H1910" s="177"/>
      <c r="I1910" s="177"/>
      <c r="J1910" s="177"/>
      <c r="K1910" s="177"/>
      <c r="L1910" s="177"/>
      <c r="M1910" s="177"/>
      <c r="N1910" s="177"/>
      <c r="O1910" s="177"/>
      <c r="P1910" s="177"/>
      <c r="Q1910" s="177"/>
      <c r="R1910" s="177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</row>
    <row r="1911">
      <c r="A1911" s="2"/>
      <c r="B1911" s="177"/>
      <c r="C1911" s="177"/>
      <c r="D1911" s="177"/>
      <c r="E1911" s="177"/>
      <c r="F1911" s="177"/>
      <c r="G1911" s="177"/>
      <c r="H1911" s="177"/>
      <c r="I1911" s="177"/>
      <c r="J1911" s="177"/>
      <c r="K1911" s="177"/>
      <c r="L1911" s="177"/>
      <c r="M1911" s="177"/>
      <c r="N1911" s="177"/>
      <c r="O1911" s="177"/>
      <c r="P1911" s="177"/>
      <c r="Q1911" s="177"/>
      <c r="R1911" s="177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</row>
    <row r="1912">
      <c r="A1912" s="2"/>
      <c r="B1912" s="176" t="s">
        <v>1</v>
      </c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5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</row>
    <row r="1913">
      <c r="A1913" s="2"/>
      <c r="B1913" s="8"/>
      <c r="F1913" s="9"/>
      <c r="G1913" s="9"/>
      <c r="H1913" s="9"/>
      <c r="I1913" s="9"/>
      <c r="J1913" s="9" t="s">
        <v>2</v>
      </c>
      <c r="N1913" s="6"/>
      <c r="R1913" s="10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</row>
    <row r="1914">
      <c r="A1914" s="2"/>
      <c r="B1914" s="13"/>
      <c r="F1914" s="9"/>
      <c r="G1914" s="9"/>
      <c r="H1914" s="9"/>
      <c r="I1914" s="9"/>
      <c r="J1914" s="9" t="s">
        <v>3</v>
      </c>
      <c r="N1914" s="6"/>
      <c r="R1914" s="10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</row>
    <row r="1915">
      <c r="A1915" s="2"/>
      <c r="B1915" s="13" t="s">
        <v>4</v>
      </c>
      <c r="R1915" s="10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</row>
    <row r="1916">
      <c r="A1916" s="2"/>
      <c r="B1916" s="16" t="s">
        <v>5</v>
      </c>
      <c r="C1916" s="17" t="s">
        <v>6</v>
      </c>
      <c r="D1916" s="4"/>
      <c r="E1916" s="4"/>
      <c r="F1916" s="4"/>
      <c r="G1916" s="4"/>
      <c r="H1916" s="4"/>
      <c r="I1916" s="4"/>
      <c r="J1916" s="4"/>
      <c r="K1916" s="5"/>
      <c r="L1916" s="18" t="s">
        <v>7</v>
      </c>
      <c r="M1916" s="19">
        <v>71.0</v>
      </c>
      <c r="N1916" s="20"/>
      <c r="O1916" s="4"/>
      <c r="P1916" s="4"/>
      <c r="Q1916" s="4"/>
      <c r="R1916" s="5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</row>
    <row r="1917">
      <c r="A1917" s="2"/>
      <c r="B1917" s="26"/>
      <c r="C1917" s="27" t="s">
        <v>8</v>
      </c>
      <c r="K1917" s="10"/>
      <c r="L1917" s="18" t="s">
        <v>9</v>
      </c>
      <c r="M1917" s="175">
        <v>46058.0</v>
      </c>
      <c r="N1917" s="6"/>
      <c r="R1917" s="10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</row>
    <row r="1918">
      <c r="A1918" s="2"/>
      <c r="B1918" s="16" t="s">
        <v>11</v>
      </c>
      <c r="C1918" s="30" t="s">
        <v>12</v>
      </c>
      <c r="D1918" s="31"/>
      <c r="E1918" s="31"/>
      <c r="F1918" s="31"/>
      <c r="G1918" s="31"/>
      <c r="H1918" s="31"/>
      <c r="I1918" s="31"/>
      <c r="J1918" s="31"/>
      <c r="K1918" s="32"/>
      <c r="L1918" s="18" t="s">
        <v>13</v>
      </c>
      <c r="M1918" s="33" t="s">
        <v>14</v>
      </c>
      <c r="N1918" s="34"/>
      <c r="O1918" s="31"/>
      <c r="P1918" s="31"/>
      <c r="Q1918" s="31"/>
      <c r="R1918" s="3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</row>
    <row r="1919">
      <c r="A1919" s="2"/>
      <c r="B1919" s="8"/>
      <c r="R1919" s="10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</row>
    <row r="1920">
      <c r="A1920" s="2"/>
      <c r="B1920" s="39" t="s">
        <v>15</v>
      </c>
      <c r="C1920" s="40" t="s">
        <v>16</v>
      </c>
      <c r="D1920" s="41" t="s">
        <v>17</v>
      </c>
      <c r="E1920" s="41" t="s">
        <v>18</v>
      </c>
      <c r="F1920" s="42" t="s">
        <v>19</v>
      </c>
      <c r="G1920" s="43"/>
      <c r="H1920" s="43"/>
      <c r="I1920" s="43"/>
      <c r="J1920" s="44"/>
      <c r="K1920" s="41" t="s">
        <v>20</v>
      </c>
      <c r="L1920" s="41" t="s">
        <v>21</v>
      </c>
      <c r="M1920" s="41" t="s">
        <v>22</v>
      </c>
      <c r="N1920" s="41" t="s">
        <v>23</v>
      </c>
      <c r="O1920" s="41" t="s">
        <v>24</v>
      </c>
      <c r="P1920" s="41" t="s">
        <v>25</v>
      </c>
      <c r="Q1920" s="41" t="s">
        <v>26</v>
      </c>
      <c r="R1920" s="45" t="s">
        <v>27</v>
      </c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</row>
    <row r="1921">
      <c r="A1921" s="2"/>
      <c r="B1921" s="52">
        <v>1.0</v>
      </c>
      <c r="C1921" s="53">
        <v>1.004710091E9</v>
      </c>
      <c r="D1921" s="53" t="s">
        <v>173</v>
      </c>
      <c r="E1921" s="53" t="s">
        <v>35</v>
      </c>
      <c r="F1921" s="53" t="s">
        <v>36</v>
      </c>
      <c r="G1921" s="53" t="s">
        <v>40</v>
      </c>
      <c r="H1921" s="53"/>
      <c r="I1921" s="55"/>
      <c r="J1921" s="55"/>
      <c r="K1921" s="53" t="s">
        <v>38</v>
      </c>
      <c r="L1921" s="53" t="s">
        <v>96</v>
      </c>
      <c r="M1921" s="53">
        <v>2434.0</v>
      </c>
      <c r="N1921" s="53">
        <v>150.0</v>
      </c>
      <c r="O1921" s="53">
        <v>19.28</v>
      </c>
      <c r="P1921" s="55">
        <f t="shared" ref="P1921:P1930" si="149">N1921*O1921</f>
        <v>2892</v>
      </c>
      <c r="Q1921" s="53"/>
      <c r="R1921" s="105">
        <f t="shared" ref="R1921:R1930" si="150">P1921+Q1921</f>
        <v>2892</v>
      </c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</row>
    <row r="1922">
      <c r="A1922" s="2"/>
      <c r="B1922" s="52">
        <v>2.0</v>
      </c>
      <c r="C1922" s="53">
        <v>1.004711261E9</v>
      </c>
      <c r="D1922" s="53" t="s">
        <v>173</v>
      </c>
      <c r="E1922" s="53" t="s">
        <v>42</v>
      </c>
      <c r="F1922" s="53" t="s">
        <v>44</v>
      </c>
      <c r="G1922" s="53" t="s">
        <v>43</v>
      </c>
      <c r="H1922" s="53"/>
      <c r="I1922" s="55"/>
      <c r="J1922" s="55"/>
      <c r="K1922" s="53" t="s">
        <v>45</v>
      </c>
      <c r="L1922" s="53" t="s">
        <v>98</v>
      </c>
      <c r="M1922" s="53">
        <v>1489.0</v>
      </c>
      <c r="N1922" s="53">
        <v>299.0</v>
      </c>
      <c r="O1922" s="53">
        <v>15.53</v>
      </c>
      <c r="P1922" s="55">
        <f t="shared" si="149"/>
        <v>4643.47</v>
      </c>
      <c r="Q1922" s="55"/>
      <c r="R1922" s="105">
        <f t="shared" si="150"/>
        <v>4643.47</v>
      </c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</row>
    <row r="1923">
      <c r="A1923" s="2"/>
      <c r="B1923" s="52">
        <v>3.0</v>
      </c>
      <c r="C1923" s="53">
        <v>1.004711829E9</v>
      </c>
      <c r="D1923" s="53" t="s">
        <v>173</v>
      </c>
      <c r="E1923" s="53" t="s">
        <v>51</v>
      </c>
      <c r="F1923" s="53" t="s">
        <v>44</v>
      </c>
      <c r="G1923" s="53" t="s">
        <v>49</v>
      </c>
      <c r="H1923" s="55"/>
      <c r="I1923" s="55"/>
      <c r="J1923" s="55"/>
      <c r="K1923" s="53" t="s">
        <v>45</v>
      </c>
      <c r="L1923" s="53" t="s">
        <v>174</v>
      </c>
      <c r="M1923" s="53">
        <v>1455.0</v>
      </c>
      <c r="N1923" s="53">
        <v>230.0</v>
      </c>
      <c r="O1923" s="53">
        <v>15.53</v>
      </c>
      <c r="P1923" s="55">
        <f t="shared" si="149"/>
        <v>3571.9</v>
      </c>
      <c r="Q1923" s="55"/>
      <c r="R1923" s="105">
        <f t="shared" si="150"/>
        <v>3571.9</v>
      </c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</row>
    <row r="1924">
      <c r="A1924" s="2"/>
      <c r="B1924" s="52">
        <v>4.0</v>
      </c>
      <c r="C1924" s="53">
        <v>1.004711832E9</v>
      </c>
      <c r="D1924" s="53" t="s">
        <v>173</v>
      </c>
      <c r="E1924" s="53" t="s">
        <v>51</v>
      </c>
      <c r="F1924" s="53" t="s">
        <v>44</v>
      </c>
      <c r="G1924" s="53"/>
      <c r="H1924" s="55"/>
      <c r="I1924" s="55"/>
      <c r="J1924" s="55"/>
      <c r="K1924" s="53" t="s">
        <v>45</v>
      </c>
      <c r="L1924" s="53" t="s">
        <v>52</v>
      </c>
      <c r="M1924" s="53">
        <v>1446.0</v>
      </c>
      <c r="N1924" s="53">
        <v>230.0</v>
      </c>
      <c r="O1924" s="53">
        <v>15.53</v>
      </c>
      <c r="P1924" s="55">
        <f t="shared" si="149"/>
        <v>3571.9</v>
      </c>
      <c r="Q1924" s="55"/>
      <c r="R1924" s="105">
        <f t="shared" si="150"/>
        <v>3571.9</v>
      </c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</row>
    <row r="1925">
      <c r="A1925" s="2"/>
      <c r="B1925" s="52">
        <v>5.0</v>
      </c>
      <c r="C1925" s="53">
        <v>1.004711825E9</v>
      </c>
      <c r="D1925" s="53" t="s">
        <v>173</v>
      </c>
      <c r="E1925" s="53" t="s">
        <v>51</v>
      </c>
      <c r="F1925" s="53" t="s">
        <v>44</v>
      </c>
      <c r="G1925" s="53"/>
      <c r="H1925" s="55"/>
      <c r="I1925" s="55"/>
      <c r="J1925" s="55"/>
      <c r="K1925" s="53" t="s">
        <v>45</v>
      </c>
      <c r="L1925" s="53" t="s">
        <v>54</v>
      </c>
      <c r="M1925" s="53">
        <v>1314.0</v>
      </c>
      <c r="N1925" s="53">
        <v>230.0</v>
      </c>
      <c r="O1925" s="53">
        <v>15.53</v>
      </c>
      <c r="P1925" s="55">
        <f t="shared" si="149"/>
        <v>3571.9</v>
      </c>
      <c r="Q1925" s="55"/>
      <c r="R1925" s="105">
        <f t="shared" si="150"/>
        <v>3571.9</v>
      </c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</row>
    <row r="1926">
      <c r="A1926" s="2"/>
      <c r="B1926" s="52">
        <v>6.0</v>
      </c>
      <c r="C1926" s="53">
        <v>1.004711854E9</v>
      </c>
      <c r="D1926" s="53" t="s">
        <v>173</v>
      </c>
      <c r="E1926" s="53" t="s">
        <v>61</v>
      </c>
      <c r="F1926" s="53" t="s">
        <v>75</v>
      </c>
      <c r="G1926" s="53" t="s">
        <v>74</v>
      </c>
      <c r="H1926" s="53" t="s">
        <v>73</v>
      </c>
      <c r="I1926" s="53" t="s">
        <v>62</v>
      </c>
      <c r="J1926" s="55"/>
      <c r="K1926" s="53" t="s">
        <v>38</v>
      </c>
      <c r="L1926" s="53" t="s">
        <v>76</v>
      </c>
      <c r="M1926" s="53">
        <v>3372.0</v>
      </c>
      <c r="N1926" s="53">
        <v>560.0</v>
      </c>
      <c r="O1926" s="53">
        <v>19.28</v>
      </c>
      <c r="P1926" s="55">
        <f t="shared" si="149"/>
        <v>10796.8</v>
      </c>
      <c r="Q1926" s="53">
        <v>1075.0</v>
      </c>
      <c r="R1926" s="105">
        <f t="shared" si="150"/>
        <v>11871.8</v>
      </c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</row>
    <row r="1927">
      <c r="A1927" s="2"/>
      <c r="B1927" s="52">
        <v>7.0</v>
      </c>
      <c r="C1927" s="53">
        <v>1.004712249E9</v>
      </c>
      <c r="D1927" s="53" t="s">
        <v>173</v>
      </c>
      <c r="E1927" s="53" t="s">
        <v>77</v>
      </c>
      <c r="F1927" s="53" t="s">
        <v>78</v>
      </c>
      <c r="G1927" s="53"/>
      <c r="H1927" s="53"/>
      <c r="I1927" s="55"/>
      <c r="J1927" s="55"/>
      <c r="K1927" s="53" t="s">
        <v>33</v>
      </c>
      <c r="L1927" s="53" t="s">
        <v>104</v>
      </c>
      <c r="M1927" s="53">
        <v>1925.0</v>
      </c>
      <c r="N1927" s="53">
        <v>266.0</v>
      </c>
      <c r="O1927" s="53">
        <v>15.53</v>
      </c>
      <c r="P1927" s="55">
        <f t="shared" si="149"/>
        <v>4130.98</v>
      </c>
      <c r="Q1927" s="55"/>
      <c r="R1927" s="105">
        <f t="shared" si="150"/>
        <v>4130.98</v>
      </c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</row>
    <row r="1928">
      <c r="A1928" s="2"/>
      <c r="B1928" s="52">
        <v>8.0</v>
      </c>
      <c r="C1928" s="53">
        <v>1.00471224E9</v>
      </c>
      <c r="D1928" s="53" t="s">
        <v>173</v>
      </c>
      <c r="E1928" s="53" t="s">
        <v>77</v>
      </c>
      <c r="F1928" s="53" t="s">
        <v>79</v>
      </c>
      <c r="G1928" s="53" t="s">
        <v>78</v>
      </c>
      <c r="H1928" s="53"/>
      <c r="I1928" s="55"/>
      <c r="J1928" s="55"/>
      <c r="K1928" s="53" t="s">
        <v>38</v>
      </c>
      <c r="L1928" s="53" t="s">
        <v>110</v>
      </c>
      <c r="M1928" s="53">
        <v>3057.0</v>
      </c>
      <c r="N1928" s="53">
        <v>416.0</v>
      </c>
      <c r="O1928" s="53">
        <v>15.53</v>
      </c>
      <c r="P1928" s="55">
        <f t="shared" si="149"/>
        <v>6460.48</v>
      </c>
      <c r="Q1928" s="53">
        <v>505.0</v>
      </c>
      <c r="R1928" s="105">
        <f t="shared" si="150"/>
        <v>6965.48</v>
      </c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</row>
    <row r="1929">
      <c r="A1929" s="2"/>
      <c r="B1929" s="52">
        <v>9.0</v>
      </c>
      <c r="C1929" s="53">
        <v>1.004712407E9</v>
      </c>
      <c r="D1929" s="53" t="s">
        <v>173</v>
      </c>
      <c r="E1929" s="53" t="s">
        <v>55</v>
      </c>
      <c r="F1929" s="53" t="s">
        <v>56</v>
      </c>
      <c r="G1929" s="53" t="s">
        <v>57</v>
      </c>
      <c r="H1929" s="53" t="s">
        <v>59</v>
      </c>
      <c r="I1929" s="53" t="s">
        <v>58</v>
      </c>
      <c r="J1929" s="55"/>
      <c r="K1929" s="53" t="s">
        <v>38</v>
      </c>
      <c r="L1929" s="53" t="s">
        <v>105</v>
      </c>
      <c r="M1929" s="53">
        <v>3219.0</v>
      </c>
      <c r="N1929" s="53">
        <v>572.0</v>
      </c>
      <c r="O1929" s="53">
        <v>19.28</v>
      </c>
      <c r="P1929" s="55">
        <f t="shared" si="149"/>
        <v>11028.16</v>
      </c>
      <c r="Q1929" s="53">
        <v>330.0</v>
      </c>
      <c r="R1929" s="105">
        <f t="shared" si="150"/>
        <v>11358.16</v>
      </c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</row>
    <row r="1930">
      <c r="A1930" s="2"/>
      <c r="B1930" s="52">
        <v>10.0</v>
      </c>
      <c r="C1930" s="53">
        <v>1.004712528E9</v>
      </c>
      <c r="D1930" s="53" t="s">
        <v>173</v>
      </c>
      <c r="E1930" s="53" t="s">
        <v>100</v>
      </c>
      <c r="F1930" s="53" t="s">
        <v>83</v>
      </c>
      <c r="G1930" s="53" t="s">
        <v>87</v>
      </c>
      <c r="H1930" s="53" t="s">
        <v>86</v>
      </c>
      <c r="I1930" s="55"/>
      <c r="J1930" s="55"/>
      <c r="K1930" s="53" t="s">
        <v>38</v>
      </c>
      <c r="L1930" s="53" t="s">
        <v>101</v>
      </c>
      <c r="M1930" s="53">
        <v>3403.0</v>
      </c>
      <c r="N1930" s="53">
        <v>428.0</v>
      </c>
      <c r="O1930" s="53">
        <v>19.28</v>
      </c>
      <c r="P1930" s="55">
        <f t="shared" si="149"/>
        <v>8251.84</v>
      </c>
      <c r="Q1930" s="53"/>
      <c r="R1930" s="105">
        <f t="shared" si="150"/>
        <v>8251.84</v>
      </c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</row>
    <row r="1931">
      <c r="A1931" s="2"/>
      <c r="B1931" s="8"/>
      <c r="C1931" s="6"/>
      <c r="D1931" s="6"/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5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</row>
    <row r="1932">
      <c r="A1932" s="2"/>
      <c r="B1932" s="67" t="s">
        <v>64</v>
      </c>
      <c r="C1932" s="68"/>
      <c r="D1932" s="69" t="str">
        <f>MONEYTEXT(R1932, "INR")</f>
        <v/>
      </c>
      <c r="E1932" s="68"/>
      <c r="F1932" s="68"/>
      <c r="G1932" s="68"/>
      <c r="H1932" s="68"/>
      <c r="I1932" s="68"/>
      <c r="J1932" s="68"/>
      <c r="K1932" s="68"/>
      <c r="L1932" s="68"/>
      <c r="M1932" s="68"/>
      <c r="N1932" s="70" t="s">
        <v>65</v>
      </c>
      <c r="O1932" s="4"/>
      <c r="P1932" s="96">
        <f t="shared" ref="P1932:R1932" si="151">SUM(P1921:P1930)</f>
        <v>58919.43</v>
      </c>
      <c r="Q1932" s="96">
        <f t="shared" si="151"/>
        <v>1910</v>
      </c>
      <c r="R1932" s="96">
        <f t="shared" si="151"/>
        <v>60829.43</v>
      </c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</row>
    <row r="1933">
      <c r="A1933" s="2"/>
      <c r="B1933" s="67" t="s">
        <v>66</v>
      </c>
      <c r="C1933" s="68"/>
      <c r="D1933" s="68"/>
      <c r="E1933" s="68"/>
      <c r="F1933" s="68"/>
      <c r="G1933" s="68"/>
      <c r="H1933" s="68"/>
      <c r="I1933" s="68"/>
      <c r="J1933" s="68"/>
      <c r="K1933" s="68"/>
      <c r="L1933" s="68"/>
      <c r="M1933" s="68"/>
      <c r="N1933" s="68"/>
      <c r="O1933" s="76"/>
      <c r="P1933" s="97" t="s">
        <v>67</v>
      </c>
      <c r="Q1933" s="31"/>
      <c r="R1933" s="3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</row>
    <row r="1934">
      <c r="A1934" s="2"/>
      <c r="B1934" s="79" t="s">
        <v>68</v>
      </c>
      <c r="P1934" s="27"/>
      <c r="Q1934" s="27"/>
      <c r="R1934" s="83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</row>
    <row r="1935">
      <c r="A1935" s="2"/>
      <c r="B1935" s="79" t="s">
        <v>70</v>
      </c>
      <c r="P1935" s="27"/>
      <c r="Q1935" s="27"/>
      <c r="R1935" s="83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</row>
    <row r="1936">
      <c r="A1936" s="2"/>
      <c r="B1936" s="8"/>
      <c r="C1936" s="6"/>
      <c r="D1936" s="6"/>
      <c r="E1936" s="6"/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65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</row>
    <row r="1937">
      <c r="A1937" s="2"/>
      <c r="B1937" s="8"/>
      <c r="C1937" s="6"/>
      <c r="D1937" s="6"/>
      <c r="E1937" s="6"/>
      <c r="F1937" s="6"/>
      <c r="G1937" s="6"/>
      <c r="H1937" s="6"/>
      <c r="I1937" s="6"/>
      <c r="J1937" s="6"/>
      <c r="K1937" s="19" t="s">
        <v>71</v>
      </c>
      <c r="L1937" s="6"/>
      <c r="M1937" s="6"/>
      <c r="N1937" s="6"/>
      <c r="O1937" s="6"/>
      <c r="P1937" s="9" t="s">
        <v>72</v>
      </c>
      <c r="R1937" s="10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</row>
    <row r="1938">
      <c r="A1938" s="2"/>
      <c r="B1938" s="88"/>
      <c r="C1938" s="34"/>
      <c r="D1938" s="34"/>
      <c r="E1938" s="34"/>
      <c r="F1938" s="34"/>
      <c r="G1938" s="34"/>
      <c r="H1938" s="34"/>
      <c r="I1938" s="34"/>
      <c r="J1938" s="34"/>
      <c r="K1938" s="34"/>
      <c r="L1938" s="34"/>
      <c r="M1938" s="34"/>
      <c r="N1938" s="34"/>
      <c r="O1938" s="34"/>
      <c r="P1938" s="34"/>
      <c r="Q1938" s="34"/>
      <c r="R1938" s="89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</row>
    <row r="1939">
      <c r="A1939" s="2"/>
      <c r="B1939" s="177"/>
      <c r="C1939" s="177"/>
      <c r="D1939" s="177"/>
      <c r="E1939" s="177"/>
      <c r="F1939" s="177"/>
      <c r="G1939" s="177"/>
      <c r="H1939" s="177"/>
      <c r="I1939" s="177"/>
      <c r="J1939" s="177"/>
      <c r="K1939" s="177"/>
      <c r="L1939" s="177"/>
      <c r="M1939" s="177"/>
      <c r="N1939" s="177"/>
      <c r="O1939" s="177"/>
      <c r="P1939" s="177"/>
      <c r="Q1939" s="177"/>
      <c r="R1939" s="177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</row>
    <row r="1940">
      <c r="A1940" s="2"/>
      <c r="B1940" s="177"/>
      <c r="C1940" s="177"/>
      <c r="D1940" s="177"/>
      <c r="E1940" s="177"/>
      <c r="F1940" s="177"/>
      <c r="G1940" s="177"/>
      <c r="H1940" s="177"/>
      <c r="I1940" s="177"/>
      <c r="J1940" s="177"/>
      <c r="K1940" s="177"/>
      <c r="L1940" s="177"/>
      <c r="M1940" s="177"/>
      <c r="N1940" s="177"/>
      <c r="O1940" s="177"/>
      <c r="P1940" s="177"/>
      <c r="Q1940" s="177"/>
      <c r="R1940" s="177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</row>
    <row r="1941">
      <c r="A1941" s="2"/>
      <c r="B1941" s="177"/>
      <c r="C1941" s="177"/>
      <c r="D1941" s="177"/>
      <c r="E1941" s="177"/>
      <c r="F1941" s="177"/>
      <c r="G1941" s="177"/>
      <c r="H1941" s="177"/>
      <c r="I1941" s="177"/>
      <c r="J1941" s="177"/>
      <c r="K1941" s="177"/>
      <c r="L1941" s="177"/>
      <c r="M1941" s="177"/>
      <c r="N1941" s="177"/>
      <c r="O1941" s="177"/>
      <c r="P1941" s="177"/>
      <c r="Q1941" s="177"/>
      <c r="R1941" s="177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</row>
    <row r="1942">
      <c r="A1942" s="2"/>
      <c r="B1942" s="177"/>
      <c r="C1942" s="177"/>
      <c r="D1942" s="177"/>
      <c r="E1942" s="177"/>
      <c r="F1942" s="177"/>
      <c r="G1942" s="177"/>
      <c r="H1942" s="177"/>
      <c r="I1942" s="177"/>
      <c r="J1942" s="177"/>
      <c r="K1942" s="177"/>
      <c r="L1942" s="177"/>
      <c r="M1942" s="177"/>
      <c r="N1942" s="177"/>
      <c r="O1942" s="177"/>
      <c r="P1942" s="177"/>
      <c r="Q1942" s="177"/>
      <c r="R1942" s="177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</row>
    <row r="1943">
      <c r="A1943" s="2"/>
      <c r="B1943" s="176" t="s">
        <v>1</v>
      </c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5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</row>
    <row r="1944">
      <c r="A1944" s="2"/>
      <c r="B1944" s="8"/>
      <c r="F1944" s="9"/>
      <c r="G1944" s="9"/>
      <c r="H1944" s="9"/>
      <c r="I1944" s="9"/>
      <c r="J1944" s="9" t="s">
        <v>2</v>
      </c>
      <c r="N1944" s="6"/>
      <c r="R1944" s="10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</row>
    <row r="1945">
      <c r="A1945" s="2"/>
      <c r="B1945" s="13"/>
      <c r="F1945" s="9"/>
      <c r="G1945" s="9"/>
      <c r="H1945" s="9"/>
      <c r="I1945" s="9"/>
      <c r="J1945" s="9" t="s">
        <v>3</v>
      </c>
      <c r="N1945" s="6"/>
      <c r="R1945" s="10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</row>
    <row r="1946">
      <c r="A1946" s="2"/>
      <c r="B1946" s="13" t="s">
        <v>4</v>
      </c>
      <c r="R1946" s="10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</row>
    <row r="1947">
      <c r="A1947" s="2"/>
      <c r="B1947" s="16" t="s">
        <v>5</v>
      </c>
      <c r="C1947" s="17" t="s">
        <v>6</v>
      </c>
      <c r="D1947" s="4"/>
      <c r="E1947" s="4"/>
      <c r="F1947" s="4"/>
      <c r="G1947" s="4"/>
      <c r="H1947" s="4"/>
      <c r="I1947" s="4"/>
      <c r="J1947" s="4"/>
      <c r="K1947" s="5"/>
      <c r="L1947" s="18" t="s">
        <v>7</v>
      </c>
      <c r="M1947" s="19">
        <v>72.0</v>
      </c>
      <c r="N1947" s="20"/>
      <c r="O1947" s="4"/>
      <c r="P1947" s="4"/>
      <c r="Q1947" s="4"/>
      <c r="R1947" s="5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</row>
    <row r="1948">
      <c r="A1948" s="2"/>
      <c r="B1948" s="26"/>
      <c r="C1948" s="27" t="s">
        <v>8</v>
      </c>
      <c r="K1948" s="10"/>
      <c r="L1948" s="18" t="s">
        <v>9</v>
      </c>
      <c r="M1948" s="175">
        <v>46058.0</v>
      </c>
      <c r="N1948" s="6"/>
      <c r="R1948" s="10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</row>
    <row r="1949">
      <c r="A1949" s="2"/>
      <c r="B1949" s="16" t="s">
        <v>11</v>
      </c>
      <c r="C1949" s="30" t="s">
        <v>12</v>
      </c>
      <c r="D1949" s="31"/>
      <c r="E1949" s="31"/>
      <c r="F1949" s="31"/>
      <c r="G1949" s="31"/>
      <c r="H1949" s="31"/>
      <c r="I1949" s="31"/>
      <c r="J1949" s="31"/>
      <c r="K1949" s="32"/>
      <c r="L1949" s="18" t="s">
        <v>13</v>
      </c>
      <c r="M1949" s="33" t="s">
        <v>14</v>
      </c>
      <c r="N1949" s="34"/>
      <c r="O1949" s="31"/>
      <c r="P1949" s="31"/>
      <c r="Q1949" s="31"/>
      <c r="R1949" s="3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</row>
    <row r="1950">
      <c r="A1950" s="2"/>
      <c r="B1950" s="8"/>
      <c r="R1950" s="10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</row>
    <row r="1951">
      <c r="A1951" s="2"/>
      <c r="B1951" s="39" t="s">
        <v>15</v>
      </c>
      <c r="C1951" s="40" t="s">
        <v>16</v>
      </c>
      <c r="D1951" s="41" t="s">
        <v>17</v>
      </c>
      <c r="E1951" s="41" t="s">
        <v>18</v>
      </c>
      <c r="F1951" s="42" t="s">
        <v>19</v>
      </c>
      <c r="G1951" s="43"/>
      <c r="H1951" s="43"/>
      <c r="I1951" s="43"/>
      <c r="J1951" s="44"/>
      <c r="K1951" s="41" t="s">
        <v>20</v>
      </c>
      <c r="L1951" s="41" t="s">
        <v>21</v>
      </c>
      <c r="M1951" s="41" t="s">
        <v>22</v>
      </c>
      <c r="N1951" s="41" t="s">
        <v>23</v>
      </c>
      <c r="O1951" s="41" t="s">
        <v>24</v>
      </c>
      <c r="P1951" s="41" t="s">
        <v>25</v>
      </c>
      <c r="Q1951" s="41" t="s">
        <v>26</v>
      </c>
      <c r="R1951" s="45" t="s">
        <v>27</v>
      </c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</row>
    <row r="1952">
      <c r="A1952" s="2"/>
      <c r="B1952" s="52">
        <v>1.0</v>
      </c>
      <c r="C1952" s="53">
        <v>1.004713294E9</v>
      </c>
      <c r="D1952" s="53" t="s">
        <v>175</v>
      </c>
      <c r="E1952" s="53" t="s">
        <v>28</v>
      </c>
      <c r="F1952" s="53" t="s">
        <v>29</v>
      </c>
      <c r="G1952" s="53" t="s">
        <v>30</v>
      </c>
      <c r="H1952" s="53" t="s">
        <v>32</v>
      </c>
      <c r="I1952" s="53" t="s">
        <v>31</v>
      </c>
      <c r="J1952" s="55"/>
      <c r="K1952" s="53" t="s">
        <v>80</v>
      </c>
      <c r="L1952" s="53" t="s">
        <v>34</v>
      </c>
      <c r="M1952" s="53">
        <v>2495.0</v>
      </c>
      <c r="N1952" s="53">
        <v>246.0</v>
      </c>
      <c r="O1952" s="53">
        <v>18.28</v>
      </c>
      <c r="P1952" s="55">
        <f t="shared" ref="P1952:P1961" si="152">N1952*O1952</f>
        <v>4496.88</v>
      </c>
      <c r="Q1952" s="53"/>
      <c r="R1952" s="105">
        <f>P1952+Q1952</f>
        <v>4496.88</v>
      </c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</row>
    <row r="1953">
      <c r="A1953" s="2"/>
      <c r="B1953" s="52">
        <v>2.0</v>
      </c>
      <c r="C1953" s="53">
        <v>1.004713236E9</v>
      </c>
      <c r="D1953" s="53" t="s">
        <v>175</v>
      </c>
      <c r="E1953" s="53" t="s">
        <v>35</v>
      </c>
      <c r="F1953" s="53" t="s">
        <v>36</v>
      </c>
      <c r="G1953" s="53" t="s">
        <v>40</v>
      </c>
      <c r="H1953" s="53"/>
      <c r="I1953" s="55"/>
      <c r="J1953" s="55"/>
      <c r="K1953" s="53" t="s">
        <v>38</v>
      </c>
      <c r="L1953" s="53" t="s">
        <v>96</v>
      </c>
      <c r="M1953" s="53">
        <v>3444.0</v>
      </c>
      <c r="N1953" s="53">
        <v>150.0</v>
      </c>
      <c r="O1953" s="53">
        <v>19.28</v>
      </c>
      <c r="P1953" s="55">
        <f t="shared" si="152"/>
        <v>2892</v>
      </c>
      <c r="Q1953" s="55"/>
      <c r="R1953" s="94">
        <v>2892.0</v>
      </c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</row>
    <row r="1954">
      <c r="A1954" s="2"/>
      <c r="B1954" s="52">
        <v>3.0</v>
      </c>
      <c r="C1954" s="53">
        <v>1.004713239E9</v>
      </c>
      <c r="D1954" s="53" t="s">
        <v>175</v>
      </c>
      <c r="E1954" s="53" t="s">
        <v>35</v>
      </c>
      <c r="F1954" s="53" t="s">
        <v>36</v>
      </c>
      <c r="G1954" s="53" t="s">
        <v>37</v>
      </c>
      <c r="H1954" s="55"/>
      <c r="I1954" s="55"/>
      <c r="J1954" s="55"/>
      <c r="K1954" s="53" t="s">
        <v>80</v>
      </c>
      <c r="L1954" s="53" t="s">
        <v>41</v>
      </c>
      <c r="M1954" s="53">
        <v>2533.0</v>
      </c>
      <c r="N1954" s="53">
        <v>200.0</v>
      </c>
      <c r="O1954" s="53">
        <v>18.28</v>
      </c>
      <c r="P1954" s="55">
        <f t="shared" si="152"/>
        <v>3656</v>
      </c>
      <c r="Q1954" s="55"/>
      <c r="R1954" s="105">
        <f t="shared" ref="R1954:R1961" si="153">P1954+Q1954</f>
        <v>3656</v>
      </c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</row>
    <row r="1955">
      <c r="A1955" s="2"/>
      <c r="B1955" s="52">
        <v>4.0</v>
      </c>
      <c r="C1955" s="53">
        <v>1.004713507E9</v>
      </c>
      <c r="D1955" s="53" t="s">
        <v>175</v>
      </c>
      <c r="E1955" s="53" t="s">
        <v>47</v>
      </c>
      <c r="F1955" s="53" t="s">
        <v>44</v>
      </c>
      <c r="G1955" s="53" t="s">
        <v>48</v>
      </c>
      <c r="H1955" s="53" t="s">
        <v>49</v>
      </c>
      <c r="I1955" s="55"/>
      <c r="J1955" s="55"/>
      <c r="K1955" s="53" t="s">
        <v>45</v>
      </c>
      <c r="L1955" s="53" t="s">
        <v>98</v>
      </c>
      <c r="M1955" s="53">
        <v>1641.0</v>
      </c>
      <c r="N1955" s="53">
        <v>250.0</v>
      </c>
      <c r="O1955" s="53">
        <v>15.53</v>
      </c>
      <c r="P1955" s="55">
        <f t="shared" si="152"/>
        <v>3882.5</v>
      </c>
      <c r="Q1955" s="55"/>
      <c r="R1955" s="105">
        <f t="shared" si="153"/>
        <v>3882.5</v>
      </c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</row>
    <row r="1956">
      <c r="A1956" s="2"/>
      <c r="B1956" s="52">
        <v>5.0</v>
      </c>
      <c r="C1956" s="53">
        <v>1.004713645E9</v>
      </c>
      <c r="D1956" s="53" t="s">
        <v>175</v>
      </c>
      <c r="E1956" s="53" t="s">
        <v>51</v>
      </c>
      <c r="F1956" s="53" t="s">
        <v>44</v>
      </c>
      <c r="G1956" s="53"/>
      <c r="H1956" s="55"/>
      <c r="I1956" s="55"/>
      <c r="J1956" s="55"/>
      <c r="K1956" s="53" t="s">
        <v>45</v>
      </c>
      <c r="L1956" s="53" t="s">
        <v>50</v>
      </c>
      <c r="M1956" s="53">
        <v>1691.0</v>
      </c>
      <c r="N1956" s="53">
        <v>230.0</v>
      </c>
      <c r="O1956" s="53">
        <v>15.53</v>
      </c>
      <c r="P1956" s="55">
        <f t="shared" si="152"/>
        <v>3571.9</v>
      </c>
      <c r="Q1956" s="55"/>
      <c r="R1956" s="105">
        <f t="shared" si="153"/>
        <v>3571.9</v>
      </c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</row>
    <row r="1957">
      <c r="A1957" s="2"/>
      <c r="B1957" s="52">
        <v>6.0</v>
      </c>
      <c r="C1957" s="53">
        <v>1.004713997E9</v>
      </c>
      <c r="D1957" s="53" t="s">
        <v>175</v>
      </c>
      <c r="E1957" s="53" t="s">
        <v>51</v>
      </c>
      <c r="F1957" s="53" t="s">
        <v>44</v>
      </c>
      <c r="G1957" s="55"/>
      <c r="H1957" s="55"/>
      <c r="I1957" s="55"/>
      <c r="J1957" s="55"/>
      <c r="K1957" s="53" t="s">
        <v>45</v>
      </c>
      <c r="L1957" s="53" t="s">
        <v>52</v>
      </c>
      <c r="M1957" s="53">
        <v>1807.0</v>
      </c>
      <c r="N1957" s="53">
        <v>230.0</v>
      </c>
      <c r="O1957" s="53">
        <v>15.53</v>
      </c>
      <c r="P1957" s="55">
        <f t="shared" si="152"/>
        <v>3571.9</v>
      </c>
      <c r="Q1957" s="55"/>
      <c r="R1957" s="105">
        <f t="shared" si="153"/>
        <v>3571.9</v>
      </c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</row>
    <row r="1958">
      <c r="A1958" s="2"/>
      <c r="B1958" s="52">
        <v>7.0</v>
      </c>
      <c r="C1958" s="53">
        <v>1.004713556E9</v>
      </c>
      <c r="D1958" s="53" t="s">
        <v>175</v>
      </c>
      <c r="E1958" s="53" t="s">
        <v>51</v>
      </c>
      <c r="F1958" s="53" t="s">
        <v>44</v>
      </c>
      <c r="G1958" s="53"/>
      <c r="H1958" s="53"/>
      <c r="I1958" s="55"/>
      <c r="J1958" s="55"/>
      <c r="K1958" s="53" t="s">
        <v>45</v>
      </c>
      <c r="L1958" s="53" t="s">
        <v>54</v>
      </c>
      <c r="M1958" s="53">
        <v>1593.0</v>
      </c>
      <c r="N1958" s="53">
        <v>230.0</v>
      </c>
      <c r="O1958" s="53">
        <v>15.53</v>
      </c>
      <c r="P1958" s="55">
        <f t="shared" si="152"/>
        <v>3571.9</v>
      </c>
      <c r="Q1958" s="55"/>
      <c r="R1958" s="105">
        <f t="shared" si="153"/>
        <v>3571.9</v>
      </c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</row>
    <row r="1959">
      <c r="A1959" s="2"/>
      <c r="B1959" s="52">
        <v>8.0</v>
      </c>
      <c r="C1959" s="53">
        <v>1.004714324E9</v>
      </c>
      <c r="D1959" s="53" t="s">
        <v>175</v>
      </c>
      <c r="E1959" s="53" t="s">
        <v>61</v>
      </c>
      <c r="F1959" s="53" t="s">
        <v>62</v>
      </c>
      <c r="G1959" s="53" t="s">
        <v>74</v>
      </c>
      <c r="H1959" s="53" t="s">
        <v>75</v>
      </c>
      <c r="I1959" s="55"/>
      <c r="J1959" s="55"/>
      <c r="K1959" s="53" t="s">
        <v>33</v>
      </c>
      <c r="L1959" s="53" t="s">
        <v>63</v>
      </c>
      <c r="M1959" s="53">
        <v>2184.0</v>
      </c>
      <c r="N1959" s="53">
        <v>430.0</v>
      </c>
      <c r="O1959" s="53">
        <v>15.53</v>
      </c>
      <c r="P1959" s="55">
        <f t="shared" si="152"/>
        <v>6677.9</v>
      </c>
      <c r="Q1959" s="55"/>
      <c r="R1959" s="105">
        <f t="shared" si="153"/>
        <v>6677.9</v>
      </c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</row>
    <row r="1960">
      <c r="A1960" s="2"/>
      <c r="B1960" s="52">
        <v>9.0</v>
      </c>
      <c r="C1960" s="53">
        <v>1.004714478E9</v>
      </c>
      <c r="D1960" s="53" t="s">
        <v>175</v>
      </c>
      <c r="E1960" s="53" t="s">
        <v>82</v>
      </c>
      <c r="F1960" s="53" t="s">
        <v>87</v>
      </c>
      <c r="G1960" s="53" t="s">
        <v>86</v>
      </c>
      <c r="H1960" s="53" t="s">
        <v>88</v>
      </c>
      <c r="I1960" s="53" t="s">
        <v>84</v>
      </c>
      <c r="J1960" s="55"/>
      <c r="K1960" s="53" t="s">
        <v>33</v>
      </c>
      <c r="L1960" s="53" t="s">
        <v>101</v>
      </c>
      <c r="M1960" s="53">
        <v>2092.0</v>
      </c>
      <c r="N1960" s="53">
        <v>484.0</v>
      </c>
      <c r="O1960" s="53">
        <v>15.53</v>
      </c>
      <c r="P1960" s="55">
        <f t="shared" si="152"/>
        <v>7516.52</v>
      </c>
      <c r="Q1960" s="53"/>
      <c r="R1960" s="105">
        <f t="shared" si="153"/>
        <v>7516.52</v>
      </c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</row>
    <row r="1961">
      <c r="A1961" s="2"/>
      <c r="B1961" s="52">
        <v>10.0</v>
      </c>
      <c r="C1961" s="53">
        <v>1.004714392E9</v>
      </c>
      <c r="D1961" s="53" t="s">
        <v>175</v>
      </c>
      <c r="E1961" s="53" t="s">
        <v>90</v>
      </c>
      <c r="F1961" s="53" t="s">
        <v>93</v>
      </c>
      <c r="G1961" s="53" t="s">
        <v>92</v>
      </c>
      <c r="H1961" s="53" t="s">
        <v>91</v>
      </c>
      <c r="I1961" s="53" t="s">
        <v>83</v>
      </c>
      <c r="J1961" s="53" t="s">
        <v>94</v>
      </c>
      <c r="K1961" s="53" t="s">
        <v>33</v>
      </c>
      <c r="L1961" s="53" t="s">
        <v>102</v>
      </c>
      <c r="M1961" s="53">
        <v>2042.0</v>
      </c>
      <c r="N1961" s="53">
        <v>405.0</v>
      </c>
      <c r="O1961" s="53">
        <v>15.53</v>
      </c>
      <c r="P1961" s="55">
        <f t="shared" si="152"/>
        <v>6289.65</v>
      </c>
      <c r="Q1961" s="53">
        <v>500.0</v>
      </c>
      <c r="R1961" s="105">
        <f t="shared" si="153"/>
        <v>6789.65</v>
      </c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</row>
    <row r="1962">
      <c r="A1962" s="2"/>
      <c r="B1962" s="8"/>
      <c r="C1962" s="6"/>
      <c r="D1962" s="6"/>
      <c r="E1962" s="6"/>
      <c r="F1962" s="6"/>
      <c r="G1962" s="6"/>
      <c r="H1962" s="6"/>
      <c r="I1962" s="6"/>
      <c r="J1962" s="6"/>
      <c r="K1962" s="6"/>
      <c r="L1962" s="6"/>
      <c r="M1962" s="6"/>
      <c r="N1962" s="6"/>
      <c r="O1962" s="6"/>
      <c r="P1962" s="6"/>
      <c r="Q1962" s="6"/>
      <c r="R1962" s="65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</row>
    <row r="1963">
      <c r="A1963" s="2"/>
      <c r="B1963" s="67" t="s">
        <v>64</v>
      </c>
      <c r="C1963" s="68"/>
      <c r="D1963" s="69" t="str">
        <f>MONEYTEXT(R1963, "INR")</f>
        <v>Forty-six thousand six hundred twenty-seven Indian rupees and fifteen paise</v>
      </c>
      <c r="E1963" s="68"/>
      <c r="F1963" s="68"/>
      <c r="G1963" s="68"/>
      <c r="H1963" s="68"/>
      <c r="I1963" s="68"/>
      <c r="J1963" s="68"/>
      <c r="K1963" s="68"/>
      <c r="L1963" s="68"/>
      <c r="M1963" s="68"/>
      <c r="N1963" s="70" t="s">
        <v>65</v>
      </c>
      <c r="O1963" s="4"/>
      <c r="P1963" s="96">
        <f t="shared" ref="P1963:R1963" si="154">SUM(P1952:P1961)</f>
        <v>46127.15</v>
      </c>
      <c r="Q1963" s="96">
        <f t="shared" si="154"/>
        <v>500</v>
      </c>
      <c r="R1963" s="96">
        <f t="shared" si="154"/>
        <v>46627.15</v>
      </c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</row>
    <row r="1964">
      <c r="A1964" s="2"/>
      <c r="B1964" s="67" t="s">
        <v>66</v>
      </c>
      <c r="C1964" s="68"/>
      <c r="D1964" s="68"/>
      <c r="E1964" s="68"/>
      <c r="F1964" s="68"/>
      <c r="G1964" s="68"/>
      <c r="H1964" s="68"/>
      <c r="I1964" s="68"/>
      <c r="J1964" s="68"/>
      <c r="K1964" s="68"/>
      <c r="L1964" s="68"/>
      <c r="M1964" s="68"/>
      <c r="N1964" s="68"/>
      <c r="O1964" s="76"/>
      <c r="P1964" s="97" t="s">
        <v>67</v>
      </c>
      <c r="Q1964" s="31"/>
      <c r="R1964" s="3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</row>
    <row r="1965">
      <c r="A1965" s="2"/>
      <c r="B1965" s="79" t="s">
        <v>68</v>
      </c>
      <c r="P1965" s="27"/>
      <c r="Q1965" s="27"/>
      <c r="R1965" s="83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</row>
    <row r="1966">
      <c r="A1966" s="2"/>
      <c r="B1966" s="79" t="s">
        <v>70</v>
      </c>
      <c r="P1966" s="27"/>
      <c r="Q1966" s="27"/>
      <c r="R1966" s="83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</row>
    <row r="1967">
      <c r="A1967" s="2"/>
      <c r="B1967" s="8"/>
      <c r="C1967" s="6"/>
      <c r="D1967" s="6"/>
      <c r="E1967" s="6"/>
      <c r="F1967" s="6"/>
      <c r="G1967" s="6"/>
      <c r="H1967" s="6"/>
      <c r="I1967" s="6"/>
      <c r="J1967" s="6"/>
      <c r="K1967" s="6"/>
      <c r="L1967" s="6"/>
      <c r="M1967" s="6"/>
      <c r="N1967" s="6"/>
      <c r="O1967" s="6"/>
      <c r="P1967" s="6"/>
      <c r="Q1967" s="6"/>
      <c r="R1967" s="65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</row>
    <row r="1968">
      <c r="A1968" s="2"/>
      <c r="B1968" s="8"/>
      <c r="C1968" s="6"/>
      <c r="D1968" s="6"/>
      <c r="E1968" s="6"/>
      <c r="F1968" s="6"/>
      <c r="G1968" s="6"/>
      <c r="H1968" s="6"/>
      <c r="I1968" s="6"/>
      <c r="J1968" s="6"/>
      <c r="K1968" s="19" t="s">
        <v>71</v>
      </c>
      <c r="L1968" s="6"/>
      <c r="M1968" s="6"/>
      <c r="N1968" s="6"/>
      <c r="O1968" s="6"/>
      <c r="P1968" s="9" t="s">
        <v>72</v>
      </c>
      <c r="R1968" s="10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</row>
    <row r="1969">
      <c r="A1969" s="2"/>
      <c r="B1969" s="88"/>
      <c r="C1969" s="34"/>
      <c r="D1969" s="34"/>
      <c r="E1969" s="34"/>
      <c r="F1969" s="34"/>
      <c r="G1969" s="34"/>
      <c r="H1969" s="34"/>
      <c r="I1969" s="34"/>
      <c r="J1969" s="34"/>
      <c r="K1969" s="34"/>
      <c r="L1969" s="34"/>
      <c r="M1969" s="34"/>
      <c r="N1969" s="34"/>
      <c r="O1969" s="34"/>
      <c r="P1969" s="34"/>
      <c r="Q1969" s="34"/>
      <c r="R1969" s="89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</row>
    <row r="1970">
      <c r="A1970" s="2"/>
      <c r="B1970" s="177"/>
      <c r="C1970" s="177"/>
      <c r="D1970" s="177"/>
      <c r="E1970" s="177"/>
      <c r="F1970" s="177"/>
      <c r="G1970" s="177"/>
      <c r="H1970" s="177"/>
      <c r="I1970" s="177"/>
      <c r="J1970" s="177"/>
      <c r="K1970" s="177"/>
      <c r="L1970" s="177"/>
      <c r="M1970" s="177"/>
      <c r="N1970" s="177"/>
      <c r="O1970" s="177"/>
      <c r="P1970" s="177"/>
      <c r="Q1970" s="177"/>
      <c r="R1970" s="177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</row>
    <row r="1971">
      <c r="A1971" s="2"/>
      <c r="B1971" s="177"/>
      <c r="C1971" s="177"/>
      <c r="D1971" s="177"/>
      <c r="E1971" s="177"/>
      <c r="F1971" s="177"/>
      <c r="G1971" s="177"/>
      <c r="H1971" s="177"/>
      <c r="I1971" s="177"/>
      <c r="J1971" s="177"/>
      <c r="K1971" s="177"/>
      <c r="L1971" s="177"/>
      <c r="M1971" s="177"/>
      <c r="N1971" s="177"/>
      <c r="O1971" s="177"/>
      <c r="P1971" s="177"/>
      <c r="Q1971" s="177"/>
      <c r="R1971" s="177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</row>
    <row r="1972">
      <c r="A1972" s="2"/>
      <c r="B1972" s="177"/>
      <c r="C1972" s="177"/>
      <c r="D1972" s="177"/>
      <c r="E1972" s="177"/>
      <c r="F1972" s="177"/>
      <c r="G1972" s="177"/>
      <c r="H1972" s="177"/>
      <c r="I1972" s="177"/>
      <c r="J1972" s="177"/>
      <c r="K1972" s="177"/>
      <c r="L1972" s="177"/>
      <c r="M1972" s="177"/>
      <c r="N1972" s="177"/>
      <c r="O1972" s="177"/>
      <c r="P1972" s="177"/>
      <c r="Q1972" s="177"/>
      <c r="R1972" s="177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</row>
    <row r="1973">
      <c r="A1973" s="2"/>
      <c r="B1973" s="177"/>
      <c r="C1973" s="177"/>
      <c r="D1973" s="177"/>
      <c r="E1973" s="177"/>
      <c r="F1973" s="177"/>
      <c r="G1973" s="177"/>
      <c r="H1973" s="177"/>
      <c r="I1973" s="177"/>
      <c r="J1973" s="177"/>
      <c r="K1973" s="177"/>
      <c r="L1973" s="177"/>
      <c r="M1973" s="177"/>
      <c r="N1973" s="177"/>
      <c r="O1973" s="177"/>
      <c r="P1973" s="177"/>
      <c r="Q1973" s="177"/>
      <c r="R1973" s="177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</row>
    <row r="1974">
      <c r="A1974" s="2"/>
      <c r="B1974" s="176" t="s">
        <v>1</v>
      </c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5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</row>
    <row r="1975">
      <c r="A1975" s="2"/>
      <c r="B1975" s="8"/>
      <c r="F1975" s="9"/>
      <c r="G1975" s="9"/>
      <c r="H1975" s="9"/>
      <c r="I1975" s="9"/>
      <c r="J1975" s="9" t="s">
        <v>2</v>
      </c>
      <c r="N1975" s="6"/>
      <c r="R1975" s="10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</row>
    <row r="1976">
      <c r="A1976" s="2"/>
      <c r="B1976" s="13"/>
      <c r="F1976" s="9"/>
      <c r="G1976" s="9"/>
      <c r="H1976" s="9"/>
      <c r="I1976" s="9"/>
      <c r="J1976" s="9" t="s">
        <v>3</v>
      </c>
      <c r="N1976" s="6"/>
      <c r="R1976" s="10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</row>
    <row r="1977">
      <c r="A1977" s="2"/>
      <c r="B1977" s="13" t="s">
        <v>4</v>
      </c>
      <c r="R1977" s="10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</row>
    <row r="1978">
      <c r="A1978" s="2"/>
      <c r="B1978" s="16" t="s">
        <v>5</v>
      </c>
      <c r="C1978" s="17" t="s">
        <v>6</v>
      </c>
      <c r="D1978" s="4"/>
      <c r="E1978" s="4"/>
      <c r="F1978" s="4"/>
      <c r="G1978" s="4"/>
      <c r="H1978" s="4"/>
      <c r="I1978" s="4"/>
      <c r="J1978" s="4"/>
      <c r="K1978" s="5"/>
      <c r="L1978" s="18" t="s">
        <v>7</v>
      </c>
      <c r="M1978" s="19">
        <v>73.0</v>
      </c>
      <c r="N1978" s="20"/>
      <c r="O1978" s="4"/>
      <c r="P1978" s="4"/>
      <c r="Q1978" s="4"/>
      <c r="R1978" s="5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</row>
    <row r="1979">
      <c r="A1979" s="2"/>
      <c r="B1979" s="26"/>
      <c r="C1979" s="27" t="s">
        <v>8</v>
      </c>
      <c r="K1979" s="10"/>
      <c r="L1979" s="18" t="s">
        <v>9</v>
      </c>
      <c r="M1979" s="175">
        <v>46058.0</v>
      </c>
      <c r="N1979" s="6"/>
      <c r="R1979" s="10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</row>
    <row r="1980">
      <c r="A1980" s="2"/>
      <c r="B1980" s="16" t="s">
        <v>11</v>
      </c>
      <c r="C1980" s="30" t="s">
        <v>12</v>
      </c>
      <c r="D1980" s="31"/>
      <c r="E1980" s="31"/>
      <c r="F1980" s="31"/>
      <c r="G1980" s="31"/>
      <c r="H1980" s="31"/>
      <c r="I1980" s="31"/>
      <c r="J1980" s="31"/>
      <c r="K1980" s="32"/>
      <c r="L1980" s="18" t="s">
        <v>13</v>
      </c>
      <c r="M1980" s="33" t="s">
        <v>14</v>
      </c>
      <c r="N1980" s="34"/>
      <c r="O1980" s="31"/>
      <c r="P1980" s="31"/>
      <c r="Q1980" s="31"/>
      <c r="R1980" s="3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</row>
    <row r="1981">
      <c r="A1981" s="2"/>
      <c r="B1981" s="8"/>
      <c r="R1981" s="10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</row>
    <row r="1982">
      <c r="A1982" s="2"/>
      <c r="B1982" s="39" t="s">
        <v>15</v>
      </c>
      <c r="C1982" s="40" t="s">
        <v>16</v>
      </c>
      <c r="D1982" s="41" t="s">
        <v>17</v>
      </c>
      <c r="E1982" s="41" t="s">
        <v>18</v>
      </c>
      <c r="F1982" s="42" t="s">
        <v>19</v>
      </c>
      <c r="G1982" s="43"/>
      <c r="H1982" s="43"/>
      <c r="I1982" s="43"/>
      <c r="J1982" s="44"/>
      <c r="K1982" s="41" t="s">
        <v>20</v>
      </c>
      <c r="L1982" s="41" t="s">
        <v>21</v>
      </c>
      <c r="M1982" s="41" t="s">
        <v>22</v>
      </c>
      <c r="N1982" s="41" t="s">
        <v>23</v>
      </c>
      <c r="O1982" s="41" t="s">
        <v>24</v>
      </c>
      <c r="P1982" s="41" t="s">
        <v>25</v>
      </c>
      <c r="Q1982" s="41" t="s">
        <v>26</v>
      </c>
      <c r="R1982" s="45" t="s">
        <v>27</v>
      </c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</row>
    <row r="1983">
      <c r="A1983" s="2"/>
      <c r="B1983" s="52">
        <v>1.0</v>
      </c>
      <c r="C1983" s="53">
        <v>1.004714318E9</v>
      </c>
      <c r="D1983" s="53" t="s">
        <v>175</v>
      </c>
      <c r="E1983" s="53" t="s">
        <v>106</v>
      </c>
      <c r="F1983" s="53" t="s">
        <v>107</v>
      </c>
      <c r="G1983" s="53" t="s">
        <v>108</v>
      </c>
      <c r="H1983" s="53" t="s">
        <v>109</v>
      </c>
      <c r="I1983" s="55"/>
      <c r="J1983" s="55"/>
      <c r="K1983" s="53" t="s">
        <v>33</v>
      </c>
      <c r="L1983" s="53" t="s">
        <v>118</v>
      </c>
      <c r="M1983" s="53">
        <v>1963.0</v>
      </c>
      <c r="N1983" s="53">
        <v>482.0</v>
      </c>
      <c r="O1983" s="53">
        <v>15.53</v>
      </c>
      <c r="P1983" s="55">
        <f t="shared" ref="P1983:P1992" si="155">N1983*O1983</f>
        <v>7485.46</v>
      </c>
      <c r="Q1983" s="53">
        <v>1025.0</v>
      </c>
      <c r="R1983" s="105">
        <f t="shared" ref="R1983:R1992" si="156">P1983+Q1983</f>
        <v>8510.46</v>
      </c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</row>
    <row r="1984">
      <c r="A1984" s="2"/>
      <c r="B1984" s="52">
        <v>2.0</v>
      </c>
      <c r="C1984" s="53">
        <v>1.004714888E9</v>
      </c>
      <c r="D1984" s="53" t="s">
        <v>176</v>
      </c>
      <c r="E1984" s="53" t="s">
        <v>35</v>
      </c>
      <c r="F1984" s="53" t="s">
        <v>36</v>
      </c>
      <c r="G1984" s="53" t="s">
        <v>37</v>
      </c>
      <c r="H1984" s="53" t="s">
        <v>40</v>
      </c>
      <c r="I1984" s="55"/>
      <c r="J1984" s="55"/>
      <c r="K1984" s="53" t="s">
        <v>38</v>
      </c>
      <c r="L1984" s="53" t="s">
        <v>96</v>
      </c>
      <c r="M1984" s="53">
        <v>3036.0</v>
      </c>
      <c r="N1984" s="53">
        <v>200.0</v>
      </c>
      <c r="O1984" s="53">
        <v>19.28</v>
      </c>
      <c r="P1984" s="55">
        <f t="shared" si="155"/>
        <v>3856</v>
      </c>
      <c r="Q1984" s="55"/>
      <c r="R1984" s="105">
        <f t="shared" si="156"/>
        <v>3856</v>
      </c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</row>
    <row r="1985">
      <c r="A1985" s="2"/>
      <c r="B1985" s="52">
        <v>3.0</v>
      </c>
      <c r="C1985" s="53">
        <v>1.004715169E9</v>
      </c>
      <c r="D1985" s="53" t="s">
        <v>176</v>
      </c>
      <c r="E1985" s="53" t="s">
        <v>51</v>
      </c>
      <c r="F1985" s="53" t="s">
        <v>44</v>
      </c>
      <c r="G1985" s="53" t="s">
        <v>49</v>
      </c>
      <c r="H1985" s="55"/>
      <c r="I1985" s="55"/>
      <c r="J1985" s="55"/>
      <c r="K1985" s="53" t="s">
        <v>45</v>
      </c>
      <c r="L1985" s="53" t="s">
        <v>98</v>
      </c>
      <c r="M1985" s="53">
        <v>1513.0</v>
      </c>
      <c r="N1985" s="53">
        <v>230.0</v>
      </c>
      <c r="O1985" s="53">
        <v>15.53</v>
      </c>
      <c r="P1985" s="55">
        <f t="shared" si="155"/>
        <v>3571.9</v>
      </c>
      <c r="Q1985" s="55"/>
      <c r="R1985" s="105">
        <f t="shared" si="156"/>
        <v>3571.9</v>
      </c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</row>
    <row r="1986">
      <c r="A1986" s="2"/>
      <c r="B1986" s="52">
        <v>4.0</v>
      </c>
      <c r="C1986" s="53">
        <v>1.004715728E9</v>
      </c>
      <c r="D1986" s="53" t="s">
        <v>176</v>
      </c>
      <c r="E1986" s="53" t="s">
        <v>51</v>
      </c>
      <c r="F1986" s="53" t="s">
        <v>49</v>
      </c>
      <c r="G1986" s="53" t="s">
        <v>44</v>
      </c>
      <c r="H1986" s="55"/>
      <c r="I1986" s="55"/>
      <c r="J1986" s="55"/>
      <c r="K1986" s="53" t="s">
        <v>45</v>
      </c>
      <c r="L1986" s="53" t="s">
        <v>50</v>
      </c>
      <c r="M1986" s="53">
        <v>1727.0</v>
      </c>
      <c r="N1986" s="53">
        <v>230.0</v>
      </c>
      <c r="O1986" s="53">
        <v>15.53</v>
      </c>
      <c r="P1986" s="55">
        <f t="shared" si="155"/>
        <v>3571.9</v>
      </c>
      <c r="Q1986" s="55"/>
      <c r="R1986" s="105">
        <f t="shared" si="156"/>
        <v>3571.9</v>
      </c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</row>
    <row r="1987">
      <c r="A1987" s="2"/>
      <c r="B1987" s="52">
        <v>5.0</v>
      </c>
      <c r="C1987" s="53">
        <v>1.004716018E9</v>
      </c>
      <c r="D1987" s="53" t="s">
        <v>176</v>
      </c>
      <c r="E1987" s="53" t="s">
        <v>55</v>
      </c>
      <c r="F1987" s="53" t="s">
        <v>59</v>
      </c>
      <c r="G1987" s="53" t="s">
        <v>58</v>
      </c>
      <c r="H1987" s="53" t="s">
        <v>103</v>
      </c>
      <c r="I1987" s="53" t="s">
        <v>56</v>
      </c>
      <c r="J1987" s="55"/>
      <c r="K1987" s="53" t="s">
        <v>80</v>
      </c>
      <c r="L1987" s="53" t="s">
        <v>60</v>
      </c>
      <c r="M1987" s="53">
        <v>2636.0</v>
      </c>
      <c r="N1987" s="53">
        <v>572.0</v>
      </c>
      <c r="O1987" s="53">
        <v>18.28</v>
      </c>
      <c r="P1987" s="55">
        <f t="shared" si="155"/>
        <v>10456.16</v>
      </c>
      <c r="Q1987" s="53">
        <v>330.0</v>
      </c>
      <c r="R1987" s="105">
        <f t="shared" si="156"/>
        <v>10786.16</v>
      </c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</row>
    <row r="1988">
      <c r="A1988" s="2"/>
      <c r="B1988" s="52">
        <v>6.0</v>
      </c>
      <c r="C1988" s="53">
        <v>1.00471679E9</v>
      </c>
      <c r="D1988" s="53" t="s">
        <v>177</v>
      </c>
      <c r="E1988" s="53" t="s">
        <v>28</v>
      </c>
      <c r="F1988" s="53" t="s">
        <v>29</v>
      </c>
      <c r="G1988" s="53" t="s">
        <v>30</v>
      </c>
      <c r="H1988" s="53" t="s">
        <v>31</v>
      </c>
      <c r="I1988" s="53"/>
      <c r="J1988" s="55"/>
      <c r="K1988" s="53" t="s">
        <v>33</v>
      </c>
      <c r="L1988" s="53" t="s">
        <v>34</v>
      </c>
      <c r="M1988" s="53">
        <v>1882.0</v>
      </c>
      <c r="N1988" s="53">
        <v>246.0</v>
      </c>
      <c r="O1988" s="53">
        <v>15.53</v>
      </c>
      <c r="P1988" s="55">
        <f t="shared" si="155"/>
        <v>3820.38</v>
      </c>
      <c r="Q1988" s="55"/>
      <c r="R1988" s="105">
        <f t="shared" si="156"/>
        <v>3820.38</v>
      </c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</row>
    <row r="1989">
      <c r="A1989" s="2"/>
      <c r="B1989" s="52">
        <v>7.0</v>
      </c>
      <c r="C1989" s="53">
        <v>1.004716788E9</v>
      </c>
      <c r="D1989" s="53" t="s">
        <v>177</v>
      </c>
      <c r="E1989" s="53" t="s">
        <v>35</v>
      </c>
      <c r="F1989" s="53" t="s">
        <v>36</v>
      </c>
      <c r="G1989" s="53" t="s">
        <v>40</v>
      </c>
      <c r="H1989" s="53"/>
      <c r="I1989" s="55"/>
      <c r="J1989" s="55"/>
      <c r="K1989" s="53" t="s">
        <v>38</v>
      </c>
      <c r="L1989" s="53" t="s">
        <v>96</v>
      </c>
      <c r="M1989" s="53">
        <v>3474.0</v>
      </c>
      <c r="N1989" s="53">
        <v>150.0</v>
      </c>
      <c r="O1989" s="53">
        <v>19.28</v>
      </c>
      <c r="P1989" s="55">
        <f t="shared" si="155"/>
        <v>2892</v>
      </c>
      <c r="Q1989" s="55"/>
      <c r="R1989" s="105">
        <f t="shared" si="156"/>
        <v>2892</v>
      </c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</row>
    <row r="1990">
      <c r="A1990" s="2"/>
      <c r="B1990" s="52">
        <v>8.0</v>
      </c>
      <c r="C1990" s="53">
        <v>1.004716789E9</v>
      </c>
      <c r="D1990" s="53" t="s">
        <v>177</v>
      </c>
      <c r="E1990" s="53" t="s">
        <v>35</v>
      </c>
      <c r="F1990" s="53" t="s">
        <v>37</v>
      </c>
      <c r="G1990" s="53" t="s">
        <v>36</v>
      </c>
      <c r="H1990" s="53"/>
      <c r="I1990" s="55"/>
      <c r="J1990" s="55"/>
      <c r="K1990" s="53" t="s">
        <v>33</v>
      </c>
      <c r="L1990" s="53" t="s">
        <v>41</v>
      </c>
      <c r="M1990" s="53">
        <v>1876.0</v>
      </c>
      <c r="N1990" s="53">
        <v>200.0</v>
      </c>
      <c r="O1990" s="53">
        <v>15.53</v>
      </c>
      <c r="P1990" s="55">
        <f t="shared" si="155"/>
        <v>3106</v>
      </c>
      <c r="Q1990" s="55"/>
      <c r="R1990" s="105">
        <f t="shared" si="156"/>
        <v>3106</v>
      </c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</row>
    <row r="1991">
      <c r="A1991" s="2"/>
      <c r="B1991" s="52">
        <v>9.0</v>
      </c>
      <c r="C1991" s="53">
        <v>1.004717284E9</v>
      </c>
      <c r="D1991" s="53" t="s">
        <v>177</v>
      </c>
      <c r="E1991" s="53" t="s">
        <v>47</v>
      </c>
      <c r="F1991" s="53" t="s">
        <v>44</v>
      </c>
      <c r="G1991" s="53" t="s">
        <v>48</v>
      </c>
      <c r="H1991" s="53"/>
      <c r="I1991" s="55"/>
      <c r="J1991" s="55"/>
      <c r="K1991" s="53" t="s">
        <v>45</v>
      </c>
      <c r="L1991" s="53" t="s">
        <v>98</v>
      </c>
      <c r="M1991" s="53">
        <v>1674.0</v>
      </c>
      <c r="N1991" s="53">
        <v>250.0</v>
      </c>
      <c r="O1991" s="53">
        <v>15.53</v>
      </c>
      <c r="P1991" s="55">
        <f t="shared" si="155"/>
        <v>3882.5</v>
      </c>
      <c r="Q1991" s="53"/>
      <c r="R1991" s="105">
        <f t="shared" si="156"/>
        <v>3882.5</v>
      </c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</row>
    <row r="1992">
      <c r="A1992" s="2"/>
      <c r="B1992" s="52">
        <v>10.0</v>
      </c>
      <c r="C1992" s="53">
        <v>1.004717378E9</v>
      </c>
      <c r="D1992" s="53" t="s">
        <v>177</v>
      </c>
      <c r="E1992" s="53" t="s">
        <v>51</v>
      </c>
      <c r="F1992" s="53" t="s">
        <v>49</v>
      </c>
      <c r="G1992" s="53" t="s">
        <v>44</v>
      </c>
      <c r="H1992" s="55"/>
      <c r="I1992" s="55"/>
      <c r="J1992" s="55"/>
      <c r="K1992" s="53" t="s">
        <v>45</v>
      </c>
      <c r="L1992" s="53" t="s">
        <v>50</v>
      </c>
      <c r="M1992" s="53">
        <v>1623.0</v>
      </c>
      <c r="N1992" s="53">
        <v>230.0</v>
      </c>
      <c r="O1992" s="53">
        <v>15.53</v>
      </c>
      <c r="P1992" s="55">
        <f t="shared" si="155"/>
        <v>3571.9</v>
      </c>
      <c r="Q1992" s="53"/>
      <c r="R1992" s="105">
        <f t="shared" si="156"/>
        <v>3571.9</v>
      </c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</row>
    <row r="1993">
      <c r="A1993" s="2"/>
      <c r="B1993" s="8"/>
      <c r="C1993" s="6"/>
      <c r="D1993" s="6"/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65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</row>
    <row r="1994">
      <c r="A1994" s="2"/>
      <c r="B1994" s="67" t="s">
        <v>64</v>
      </c>
      <c r="C1994" s="68"/>
      <c r="D1994" s="69" t="str">
        <f>MONEYTEXT(R1994, "INR")</f>
        <v>Forty-seven thousand five hundred sixty-nine Indian rupees and twenty paise</v>
      </c>
      <c r="E1994" s="68"/>
      <c r="F1994" s="68"/>
      <c r="G1994" s="68"/>
      <c r="H1994" s="68"/>
      <c r="I1994" s="68"/>
      <c r="J1994" s="68"/>
      <c r="K1994" s="68"/>
      <c r="L1994" s="68"/>
      <c r="M1994" s="68"/>
      <c r="N1994" s="70" t="s">
        <v>65</v>
      </c>
      <c r="O1994" s="4"/>
      <c r="P1994" s="96">
        <f t="shared" ref="P1994:R1994" si="157">SUM(P1983:P1992)</f>
        <v>46214.2</v>
      </c>
      <c r="Q1994" s="96">
        <f t="shared" si="157"/>
        <v>1355</v>
      </c>
      <c r="R1994" s="96">
        <f t="shared" si="157"/>
        <v>47569.2</v>
      </c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</row>
    <row r="1995">
      <c r="A1995" s="2"/>
      <c r="B1995" s="67" t="s">
        <v>66</v>
      </c>
      <c r="C1995" s="68"/>
      <c r="D1995" s="68"/>
      <c r="E1995" s="68"/>
      <c r="F1995" s="68"/>
      <c r="G1995" s="68"/>
      <c r="H1995" s="68"/>
      <c r="I1995" s="68"/>
      <c r="J1995" s="68"/>
      <c r="K1995" s="68"/>
      <c r="L1995" s="68"/>
      <c r="M1995" s="68"/>
      <c r="N1995" s="68"/>
      <c r="O1995" s="76"/>
      <c r="P1995" s="97" t="s">
        <v>67</v>
      </c>
      <c r="Q1995" s="31"/>
      <c r="R1995" s="3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</row>
    <row r="1996">
      <c r="A1996" s="2"/>
      <c r="B1996" s="79" t="s">
        <v>68</v>
      </c>
      <c r="P1996" s="27"/>
      <c r="Q1996" s="27"/>
      <c r="R1996" s="83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</row>
    <row r="1997">
      <c r="A1997" s="2"/>
      <c r="B1997" s="79" t="s">
        <v>70</v>
      </c>
      <c r="P1997" s="27"/>
      <c r="Q1997" s="27"/>
      <c r="R1997" s="83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</row>
    <row r="1998">
      <c r="A1998" s="2"/>
      <c r="B1998" s="8"/>
      <c r="C1998" s="6"/>
      <c r="D1998" s="6"/>
      <c r="E1998" s="6"/>
      <c r="F1998" s="6"/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6"/>
      <c r="R1998" s="65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</row>
    <row r="1999">
      <c r="A1999" s="2"/>
      <c r="B1999" s="8"/>
      <c r="C1999" s="6"/>
      <c r="D1999" s="6"/>
      <c r="E1999" s="6"/>
      <c r="F1999" s="6"/>
      <c r="G1999" s="6"/>
      <c r="H1999" s="6"/>
      <c r="I1999" s="6"/>
      <c r="J1999" s="6"/>
      <c r="K1999" s="19" t="s">
        <v>71</v>
      </c>
      <c r="L1999" s="6"/>
      <c r="M1999" s="6"/>
      <c r="N1999" s="6"/>
      <c r="O1999" s="6"/>
      <c r="P1999" s="9" t="s">
        <v>72</v>
      </c>
      <c r="R1999" s="10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</row>
    <row r="2000">
      <c r="A2000" s="2"/>
      <c r="B2000" s="88"/>
      <c r="C2000" s="34"/>
      <c r="D2000" s="34"/>
      <c r="E2000" s="34"/>
      <c r="F2000" s="34"/>
      <c r="G2000" s="34"/>
      <c r="H2000" s="34"/>
      <c r="I2000" s="34"/>
      <c r="J2000" s="34"/>
      <c r="K2000" s="34"/>
      <c r="L2000" s="34"/>
      <c r="M2000" s="34"/>
      <c r="N2000" s="34"/>
      <c r="O2000" s="34"/>
      <c r="P2000" s="34"/>
      <c r="Q2000" s="34"/>
      <c r="R2000" s="89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</row>
    <row r="2001">
      <c r="A2001" s="2"/>
      <c r="B2001" s="177"/>
      <c r="C2001" s="177"/>
      <c r="D2001" s="177"/>
      <c r="E2001" s="177"/>
      <c r="F2001" s="177"/>
      <c r="G2001" s="177"/>
      <c r="H2001" s="177"/>
      <c r="I2001" s="177"/>
      <c r="J2001" s="177"/>
      <c r="K2001" s="177"/>
      <c r="L2001" s="177"/>
      <c r="M2001" s="177"/>
      <c r="N2001" s="177"/>
      <c r="O2001" s="177"/>
      <c r="P2001" s="177"/>
      <c r="Q2001" s="177"/>
      <c r="R2001" s="177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</row>
    <row r="2002">
      <c r="A2002" s="2"/>
      <c r="B2002" s="177"/>
      <c r="C2002" s="177"/>
      <c r="D2002" s="177"/>
      <c r="E2002" s="177"/>
      <c r="F2002" s="177"/>
      <c r="G2002" s="177"/>
      <c r="H2002" s="177"/>
      <c r="I2002" s="177"/>
      <c r="J2002" s="177"/>
      <c r="K2002" s="177"/>
      <c r="L2002" s="177"/>
      <c r="M2002" s="177"/>
      <c r="N2002" s="177"/>
      <c r="O2002" s="177"/>
      <c r="P2002" s="177"/>
      <c r="Q2002" s="177"/>
      <c r="R2002" s="177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</row>
    <row r="2003">
      <c r="A2003" s="2"/>
      <c r="B2003" s="177"/>
      <c r="C2003" s="177"/>
      <c r="D2003" s="177"/>
      <c r="E2003" s="177"/>
      <c r="F2003" s="177"/>
      <c r="G2003" s="177"/>
      <c r="H2003" s="177"/>
      <c r="I2003" s="177"/>
      <c r="J2003" s="177"/>
      <c r="K2003" s="177"/>
      <c r="L2003" s="177"/>
      <c r="M2003" s="177"/>
      <c r="N2003" s="177"/>
      <c r="O2003" s="177"/>
      <c r="P2003" s="177"/>
      <c r="Q2003" s="177"/>
      <c r="R2003" s="177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</row>
    <row r="2004">
      <c r="A2004" s="2"/>
      <c r="B2004" s="177"/>
      <c r="C2004" s="177"/>
      <c r="D2004" s="177"/>
      <c r="E2004" s="177"/>
      <c r="F2004" s="177"/>
      <c r="G2004" s="177"/>
      <c r="H2004" s="177"/>
      <c r="I2004" s="177"/>
      <c r="J2004" s="177"/>
      <c r="K2004" s="177"/>
      <c r="L2004" s="177"/>
      <c r="M2004" s="177"/>
      <c r="N2004" s="177"/>
      <c r="O2004" s="177"/>
      <c r="P2004" s="177"/>
      <c r="Q2004" s="177"/>
      <c r="R2004" s="177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</row>
    <row r="2005">
      <c r="A2005" s="2"/>
      <c r="B2005" s="176" t="s">
        <v>1</v>
      </c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5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</row>
    <row r="2006">
      <c r="A2006" s="2"/>
      <c r="B2006" s="8"/>
      <c r="F2006" s="9"/>
      <c r="G2006" s="9"/>
      <c r="H2006" s="9"/>
      <c r="I2006" s="9"/>
      <c r="J2006" s="9" t="s">
        <v>2</v>
      </c>
      <c r="N2006" s="6"/>
      <c r="R2006" s="10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</row>
    <row r="2007">
      <c r="A2007" s="2"/>
      <c r="B2007" s="13"/>
      <c r="F2007" s="9"/>
      <c r="G2007" s="9"/>
      <c r="H2007" s="9"/>
      <c r="I2007" s="9"/>
      <c r="J2007" s="9" t="s">
        <v>3</v>
      </c>
      <c r="N2007" s="6"/>
      <c r="R2007" s="10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</row>
    <row r="2008">
      <c r="A2008" s="2"/>
      <c r="B2008" s="13" t="s">
        <v>4</v>
      </c>
      <c r="R2008" s="10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</row>
    <row r="2009">
      <c r="A2009" s="2"/>
      <c r="B2009" s="16" t="s">
        <v>5</v>
      </c>
      <c r="C2009" s="17" t="s">
        <v>6</v>
      </c>
      <c r="D2009" s="4"/>
      <c r="E2009" s="4"/>
      <c r="F2009" s="4"/>
      <c r="G2009" s="4"/>
      <c r="H2009" s="4"/>
      <c r="I2009" s="4"/>
      <c r="J2009" s="4"/>
      <c r="K2009" s="5"/>
      <c r="L2009" s="18" t="s">
        <v>7</v>
      </c>
      <c r="M2009" s="19">
        <v>74.0</v>
      </c>
      <c r="N2009" s="20"/>
      <c r="O2009" s="4"/>
      <c r="P2009" s="4"/>
      <c r="Q2009" s="4"/>
      <c r="R2009" s="5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</row>
    <row r="2010">
      <c r="A2010" s="2"/>
      <c r="B2010" s="26"/>
      <c r="C2010" s="27" t="s">
        <v>8</v>
      </c>
      <c r="K2010" s="10"/>
      <c r="L2010" s="18" t="s">
        <v>9</v>
      </c>
      <c r="M2010" s="175">
        <v>46058.0</v>
      </c>
      <c r="N2010" s="6"/>
      <c r="R2010" s="10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</row>
    <row r="2011">
      <c r="A2011" s="2"/>
      <c r="B2011" s="16" t="s">
        <v>11</v>
      </c>
      <c r="C2011" s="30" t="s">
        <v>12</v>
      </c>
      <c r="D2011" s="31"/>
      <c r="E2011" s="31"/>
      <c r="F2011" s="31"/>
      <c r="G2011" s="31"/>
      <c r="H2011" s="31"/>
      <c r="I2011" s="31"/>
      <c r="J2011" s="31"/>
      <c r="K2011" s="32"/>
      <c r="L2011" s="18" t="s">
        <v>13</v>
      </c>
      <c r="M2011" s="33" t="s">
        <v>14</v>
      </c>
      <c r="N2011" s="34"/>
      <c r="O2011" s="31"/>
      <c r="P2011" s="31"/>
      <c r="Q2011" s="31"/>
      <c r="R2011" s="3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</row>
    <row r="2012">
      <c r="A2012" s="2"/>
      <c r="B2012" s="8"/>
      <c r="R2012" s="10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</row>
    <row r="2013">
      <c r="A2013" s="2"/>
      <c r="B2013" s="39" t="s">
        <v>15</v>
      </c>
      <c r="C2013" s="40" t="s">
        <v>16</v>
      </c>
      <c r="D2013" s="41" t="s">
        <v>17</v>
      </c>
      <c r="E2013" s="41" t="s">
        <v>18</v>
      </c>
      <c r="F2013" s="42" t="s">
        <v>19</v>
      </c>
      <c r="G2013" s="43"/>
      <c r="H2013" s="43"/>
      <c r="I2013" s="43"/>
      <c r="J2013" s="44"/>
      <c r="K2013" s="41" t="s">
        <v>20</v>
      </c>
      <c r="L2013" s="41" t="s">
        <v>21</v>
      </c>
      <c r="M2013" s="41" t="s">
        <v>22</v>
      </c>
      <c r="N2013" s="41" t="s">
        <v>23</v>
      </c>
      <c r="O2013" s="41" t="s">
        <v>24</v>
      </c>
      <c r="P2013" s="41" t="s">
        <v>25</v>
      </c>
      <c r="Q2013" s="41" t="s">
        <v>26</v>
      </c>
      <c r="R2013" s="45" t="s">
        <v>27</v>
      </c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</row>
    <row r="2014">
      <c r="A2014" s="2"/>
      <c r="B2014" s="52">
        <v>1.0</v>
      </c>
      <c r="C2014" s="53">
        <v>1.004717393E9</v>
      </c>
      <c r="D2014" s="53" t="s">
        <v>177</v>
      </c>
      <c r="E2014" s="53" t="s">
        <v>51</v>
      </c>
      <c r="F2014" s="53" t="s">
        <v>44</v>
      </c>
      <c r="G2014" s="53"/>
      <c r="H2014" s="53"/>
      <c r="I2014" s="55"/>
      <c r="J2014" s="55"/>
      <c r="K2014" s="53" t="s">
        <v>45</v>
      </c>
      <c r="L2014" s="53" t="s">
        <v>52</v>
      </c>
      <c r="M2014" s="53">
        <v>1715.0</v>
      </c>
      <c r="N2014" s="53">
        <v>230.0</v>
      </c>
      <c r="O2014" s="53">
        <v>15.53</v>
      </c>
      <c r="P2014" s="55">
        <f t="shared" ref="P2014:P2023" si="158">N2014*O2014</f>
        <v>3571.9</v>
      </c>
      <c r="Q2014" s="53"/>
      <c r="R2014" s="105">
        <f t="shared" ref="R2014:R2023" si="159">P2014+Q2014</f>
        <v>3571.9</v>
      </c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</row>
    <row r="2015">
      <c r="A2015" s="2"/>
      <c r="B2015" s="52">
        <v>2.0</v>
      </c>
      <c r="C2015" s="53">
        <v>1.004717966E9</v>
      </c>
      <c r="D2015" s="53" t="s">
        <v>177</v>
      </c>
      <c r="E2015" s="53" t="s">
        <v>51</v>
      </c>
      <c r="F2015" s="53" t="s">
        <v>49</v>
      </c>
      <c r="G2015" s="53" t="s">
        <v>44</v>
      </c>
      <c r="H2015" s="53"/>
      <c r="I2015" s="55"/>
      <c r="J2015" s="55"/>
      <c r="K2015" s="53" t="s">
        <v>45</v>
      </c>
      <c r="L2015" s="53" t="s">
        <v>123</v>
      </c>
      <c r="M2015" s="53">
        <v>1478.0</v>
      </c>
      <c r="N2015" s="53">
        <v>230.0</v>
      </c>
      <c r="O2015" s="53">
        <v>15.53</v>
      </c>
      <c r="P2015" s="55">
        <f t="shared" si="158"/>
        <v>3571.9</v>
      </c>
      <c r="Q2015" s="55"/>
      <c r="R2015" s="105">
        <f t="shared" si="159"/>
        <v>3571.9</v>
      </c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</row>
    <row r="2016">
      <c r="A2016" s="2"/>
      <c r="B2016" s="52">
        <v>3.0</v>
      </c>
      <c r="C2016" s="53">
        <v>1.004717406E9</v>
      </c>
      <c r="D2016" s="53" t="s">
        <v>177</v>
      </c>
      <c r="E2016" s="53" t="s">
        <v>51</v>
      </c>
      <c r="F2016" s="53" t="s">
        <v>44</v>
      </c>
      <c r="G2016" s="53"/>
      <c r="H2016" s="55"/>
      <c r="I2016" s="55"/>
      <c r="J2016" s="55"/>
      <c r="K2016" s="53" t="s">
        <v>45</v>
      </c>
      <c r="L2016" s="53" t="s">
        <v>54</v>
      </c>
      <c r="M2016" s="53">
        <v>1362.0</v>
      </c>
      <c r="N2016" s="53">
        <v>230.0</v>
      </c>
      <c r="O2016" s="53">
        <v>15.53</v>
      </c>
      <c r="P2016" s="55">
        <f t="shared" si="158"/>
        <v>3571.9</v>
      </c>
      <c r="Q2016" s="55"/>
      <c r="R2016" s="105">
        <f t="shared" si="159"/>
        <v>3571.9</v>
      </c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</row>
    <row r="2017">
      <c r="A2017" s="2"/>
      <c r="B2017" s="52">
        <v>4.0</v>
      </c>
      <c r="C2017" s="53">
        <v>1.00471741E9</v>
      </c>
      <c r="D2017" s="53" t="s">
        <v>177</v>
      </c>
      <c r="E2017" s="53" t="s">
        <v>51</v>
      </c>
      <c r="F2017" s="53" t="s">
        <v>44</v>
      </c>
      <c r="G2017" s="53"/>
      <c r="H2017" s="55"/>
      <c r="I2017" s="55"/>
      <c r="J2017" s="55"/>
      <c r="K2017" s="53" t="s">
        <v>45</v>
      </c>
      <c r="L2017" s="53" t="s">
        <v>112</v>
      </c>
      <c r="M2017" s="53">
        <v>1464.0</v>
      </c>
      <c r="N2017" s="53">
        <v>230.0</v>
      </c>
      <c r="O2017" s="53">
        <v>15.53</v>
      </c>
      <c r="P2017" s="55">
        <f t="shared" si="158"/>
        <v>3571.9</v>
      </c>
      <c r="Q2017" s="55"/>
      <c r="R2017" s="105">
        <f t="shared" si="159"/>
        <v>3571.9</v>
      </c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</row>
    <row r="2018">
      <c r="A2018" s="2"/>
      <c r="B2018" s="52">
        <v>5.0</v>
      </c>
      <c r="C2018" s="53">
        <v>1.004717185E9</v>
      </c>
      <c r="D2018" s="53" t="s">
        <v>177</v>
      </c>
      <c r="E2018" s="53" t="s">
        <v>61</v>
      </c>
      <c r="F2018" s="53" t="s">
        <v>73</v>
      </c>
      <c r="G2018" s="53" t="s">
        <v>75</v>
      </c>
      <c r="H2018" s="55"/>
      <c r="I2018" s="55"/>
      <c r="J2018" s="55"/>
      <c r="K2018" s="53" t="s">
        <v>80</v>
      </c>
      <c r="L2018" s="53" t="s">
        <v>76</v>
      </c>
      <c r="M2018" s="53">
        <v>2078.0</v>
      </c>
      <c r="N2018" s="53">
        <v>560.0</v>
      </c>
      <c r="O2018" s="53">
        <v>18.28</v>
      </c>
      <c r="P2018" s="55">
        <f t="shared" si="158"/>
        <v>10236.8</v>
      </c>
      <c r="Q2018" s="53">
        <v>1085.0</v>
      </c>
      <c r="R2018" s="105">
        <f t="shared" si="159"/>
        <v>11321.8</v>
      </c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</row>
    <row r="2019">
      <c r="A2019" s="2"/>
      <c r="B2019" s="52">
        <v>6.0</v>
      </c>
      <c r="C2019" s="53">
        <v>1.004718264E9</v>
      </c>
      <c r="D2019" s="53" t="s">
        <v>177</v>
      </c>
      <c r="E2019" s="53" t="s">
        <v>106</v>
      </c>
      <c r="F2019" s="53" t="s">
        <v>107</v>
      </c>
      <c r="G2019" s="53" t="s">
        <v>108</v>
      </c>
      <c r="H2019" s="53" t="s">
        <v>109</v>
      </c>
      <c r="I2019" s="55"/>
      <c r="J2019" s="55"/>
      <c r="K2019" s="53" t="s">
        <v>38</v>
      </c>
      <c r="L2019" s="53" t="s">
        <v>110</v>
      </c>
      <c r="M2019" s="53">
        <v>3078.0</v>
      </c>
      <c r="N2019" s="53">
        <v>482.0</v>
      </c>
      <c r="O2019" s="53">
        <v>19.28</v>
      </c>
      <c r="P2019" s="55">
        <f t="shared" si="158"/>
        <v>9292.96</v>
      </c>
      <c r="Q2019" s="53">
        <v>1025.0</v>
      </c>
      <c r="R2019" s="105">
        <f t="shared" si="159"/>
        <v>10317.96</v>
      </c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</row>
    <row r="2020">
      <c r="A2020" s="2"/>
      <c r="B2020" s="52">
        <v>7.0</v>
      </c>
      <c r="C2020" s="53">
        <v>1.004718438E9</v>
      </c>
      <c r="D2020" s="53" t="s">
        <v>177</v>
      </c>
      <c r="E2020" s="53" t="s">
        <v>82</v>
      </c>
      <c r="F2020" s="53" t="s">
        <v>83</v>
      </c>
      <c r="G2020" s="53" t="s">
        <v>87</v>
      </c>
      <c r="H2020" s="53" t="s">
        <v>86</v>
      </c>
      <c r="I2020" s="53" t="s">
        <v>88</v>
      </c>
      <c r="J2020" s="55"/>
      <c r="K2020" s="53" t="s">
        <v>38</v>
      </c>
      <c r="L2020" s="53" t="s">
        <v>89</v>
      </c>
      <c r="M2020" s="53">
        <v>3355.0</v>
      </c>
      <c r="N2020" s="53">
        <v>484.0</v>
      </c>
      <c r="O2020" s="53">
        <v>19.28</v>
      </c>
      <c r="P2020" s="55">
        <f t="shared" si="158"/>
        <v>9331.52</v>
      </c>
      <c r="Q2020" s="53">
        <v>930.0</v>
      </c>
      <c r="R2020" s="105">
        <f t="shared" si="159"/>
        <v>10261.52</v>
      </c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</row>
    <row r="2021">
      <c r="A2021" s="2"/>
      <c r="B2021" s="52">
        <v>8.0</v>
      </c>
      <c r="C2021" s="53">
        <v>1.004718387E9</v>
      </c>
      <c r="D2021" s="53" t="s">
        <v>177</v>
      </c>
      <c r="E2021" s="53" t="s">
        <v>77</v>
      </c>
      <c r="F2021" s="53" t="s">
        <v>79</v>
      </c>
      <c r="G2021" s="53" t="s">
        <v>78</v>
      </c>
      <c r="H2021" s="53"/>
      <c r="I2021" s="55"/>
      <c r="J2021" s="55"/>
      <c r="K2021" s="53" t="s">
        <v>38</v>
      </c>
      <c r="L2021" s="53" t="s">
        <v>81</v>
      </c>
      <c r="M2021" s="53">
        <v>3560.0</v>
      </c>
      <c r="N2021" s="53">
        <v>416.0</v>
      </c>
      <c r="O2021" s="53">
        <v>19.28</v>
      </c>
      <c r="P2021" s="55">
        <f t="shared" si="158"/>
        <v>8020.48</v>
      </c>
      <c r="Q2021" s="53">
        <v>505.0</v>
      </c>
      <c r="R2021" s="105">
        <f t="shared" si="159"/>
        <v>8525.48</v>
      </c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</row>
    <row r="2022">
      <c r="A2022" s="2"/>
      <c r="B2022" s="52">
        <v>9.0</v>
      </c>
      <c r="C2022" s="53">
        <v>1.004718561E9</v>
      </c>
      <c r="D2022" s="53" t="s">
        <v>177</v>
      </c>
      <c r="E2022" s="53" t="s">
        <v>55</v>
      </c>
      <c r="F2022" s="53" t="s">
        <v>103</v>
      </c>
      <c r="G2022" s="53" t="s">
        <v>56</v>
      </c>
      <c r="H2022" s="53" t="s">
        <v>58</v>
      </c>
      <c r="I2022" s="55"/>
      <c r="J2022" s="55"/>
      <c r="K2022" s="53" t="s">
        <v>38</v>
      </c>
      <c r="L2022" s="53" t="s">
        <v>105</v>
      </c>
      <c r="M2022" s="53">
        <v>3286.0</v>
      </c>
      <c r="N2022" s="53">
        <v>572.0</v>
      </c>
      <c r="O2022" s="53">
        <v>19.28</v>
      </c>
      <c r="P2022" s="55">
        <f t="shared" si="158"/>
        <v>11028.16</v>
      </c>
      <c r="Q2022" s="53">
        <v>330.0</v>
      </c>
      <c r="R2022" s="105">
        <f t="shared" si="159"/>
        <v>11358.16</v>
      </c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</row>
    <row r="2023">
      <c r="A2023" s="2"/>
      <c r="B2023" s="52">
        <v>10.0</v>
      </c>
      <c r="C2023" s="53">
        <v>1.004718552E9</v>
      </c>
      <c r="D2023" s="53" t="s">
        <v>177</v>
      </c>
      <c r="E2023" s="53" t="s">
        <v>90</v>
      </c>
      <c r="F2023" s="53" t="s">
        <v>91</v>
      </c>
      <c r="G2023" s="53" t="s">
        <v>83</v>
      </c>
      <c r="H2023" s="55"/>
      <c r="I2023" s="55"/>
      <c r="J2023" s="55"/>
      <c r="K2023" s="53" t="s">
        <v>33</v>
      </c>
      <c r="L2023" s="53" t="s">
        <v>118</v>
      </c>
      <c r="M2023" s="53">
        <v>1792.0</v>
      </c>
      <c r="N2023" s="53">
        <v>216.0</v>
      </c>
      <c r="O2023" s="53">
        <v>15.53</v>
      </c>
      <c r="P2023" s="55">
        <f t="shared" si="158"/>
        <v>3354.48</v>
      </c>
      <c r="Q2023" s="53"/>
      <c r="R2023" s="105">
        <f t="shared" si="159"/>
        <v>3354.48</v>
      </c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</row>
    <row r="2024">
      <c r="A2024" s="2"/>
      <c r="B2024" s="8"/>
      <c r="C2024" s="6"/>
      <c r="D2024" s="6"/>
      <c r="E2024" s="6"/>
      <c r="F2024" s="6"/>
      <c r="G2024" s="6"/>
      <c r="H2024" s="6"/>
      <c r="I2024" s="6"/>
      <c r="J2024" s="6"/>
      <c r="K2024" s="6"/>
      <c r="L2024" s="6"/>
      <c r="M2024" s="6"/>
      <c r="N2024" s="6"/>
      <c r="O2024" s="6"/>
      <c r="P2024" s="6"/>
      <c r="Q2024" s="6"/>
      <c r="R2024" s="65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</row>
    <row r="2025">
      <c r="A2025" s="2"/>
      <c r="B2025" s="67" t="s">
        <v>64</v>
      </c>
      <c r="C2025" s="68"/>
      <c r="D2025" s="69" t="str">
        <f>MONEYTEXT(R2025, "INR")</f>
        <v>Sixty-nine thousand four hundred twenty-seven Indian rupees</v>
      </c>
      <c r="E2025" s="68"/>
      <c r="F2025" s="68"/>
      <c r="G2025" s="68"/>
      <c r="H2025" s="68"/>
      <c r="I2025" s="68"/>
      <c r="J2025" s="68"/>
      <c r="K2025" s="68"/>
      <c r="L2025" s="68"/>
      <c r="M2025" s="68"/>
      <c r="N2025" s="70" t="s">
        <v>65</v>
      </c>
      <c r="O2025" s="4"/>
      <c r="P2025" s="96">
        <f t="shared" ref="P2025:R2025" si="160">SUM(P2014:P2023)</f>
        <v>65552</v>
      </c>
      <c r="Q2025" s="96">
        <f t="shared" si="160"/>
        <v>3875</v>
      </c>
      <c r="R2025" s="96">
        <f t="shared" si="160"/>
        <v>69427</v>
      </c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</row>
    <row r="2026">
      <c r="A2026" s="2"/>
      <c r="B2026" s="67" t="s">
        <v>66</v>
      </c>
      <c r="C2026" s="68"/>
      <c r="D2026" s="68"/>
      <c r="E2026" s="68"/>
      <c r="F2026" s="68"/>
      <c r="G2026" s="68"/>
      <c r="H2026" s="68"/>
      <c r="I2026" s="68"/>
      <c r="J2026" s="68"/>
      <c r="K2026" s="68"/>
      <c r="L2026" s="68"/>
      <c r="M2026" s="68"/>
      <c r="N2026" s="68"/>
      <c r="O2026" s="76"/>
      <c r="P2026" s="97" t="s">
        <v>67</v>
      </c>
      <c r="Q2026" s="31"/>
      <c r="R2026" s="3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</row>
    <row r="2027">
      <c r="A2027" s="2"/>
      <c r="B2027" s="79" t="s">
        <v>68</v>
      </c>
      <c r="P2027" s="27"/>
      <c r="Q2027" s="27"/>
      <c r="R2027" s="83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</row>
    <row r="2028">
      <c r="A2028" s="2"/>
      <c r="B2028" s="79" t="s">
        <v>70</v>
      </c>
      <c r="P2028" s="27"/>
      <c r="Q2028" s="27"/>
      <c r="R2028" s="83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</row>
    <row r="2029">
      <c r="A2029" s="2"/>
      <c r="B2029" s="8"/>
      <c r="C2029" s="6"/>
      <c r="D2029" s="6"/>
      <c r="E2029" s="6"/>
      <c r="F2029" s="6"/>
      <c r="G2029" s="6"/>
      <c r="H2029" s="6"/>
      <c r="I2029" s="6"/>
      <c r="J2029" s="6"/>
      <c r="K2029" s="6"/>
      <c r="L2029" s="6"/>
      <c r="M2029" s="6"/>
      <c r="N2029" s="6"/>
      <c r="O2029" s="6"/>
      <c r="P2029" s="6"/>
      <c r="Q2029" s="6"/>
      <c r="R2029" s="65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</row>
    <row r="2030">
      <c r="A2030" s="2"/>
      <c r="B2030" s="8"/>
      <c r="C2030" s="6"/>
      <c r="D2030" s="6"/>
      <c r="E2030" s="6"/>
      <c r="F2030" s="6"/>
      <c r="G2030" s="6"/>
      <c r="H2030" s="6"/>
      <c r="I2030" s="6"/>
      <c r="J2030" s="6"/>
      <c r="K2030" s="19" t="s">
        <v>71</v>
      </c>
      <c r="L2030" s="6"/>
      <c r="M2030" s="6"/>
      <c r="N2030" s="6"/>
      <c r="O2030" s="6"/>
      <c r="P2030" s="9" t="s">
        <v>72</v>
      </c>
      <c r="R2030" s="10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</row>
    <row r="2031">
      <c r="A2031" s="2"/>
      <c r="B2031" s="88"/>
      <c r="C2031" s="34"/>
      <c r="D2031" s="34"/>
      <c r="E2031" s="34"/>
      <c r="F2031" s="34"/>
      <c r="G2031" s="34"/>
      <c r="H2031" s="34"/>
      <c r="I2031" s="34"/>
      <c r="J2031" s="34"/>
      <c r="K2031" s="34"/>
      <c r="L2031" s="34"/>
      <c r="M2031" s="34"/>
      <c r="N2031" s="34"/>
      <c r="O2031" s="34"/>
      <c r="P2031" s="34"/>
      <c r="Q2031" s="34"/>
      <c r="R2031" s="89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</row>
    <row r="2032">
      <c r="A2032" s="2"/>
      <c r="B2032" s="177"/>
      <c r="C2032" s="177"/>
      <c r="D2032" s="177"/>
      <c r="E2032" s="177"/>
      <c r="F2032" s="177"/>
      <c r="G2032" s="177"/>
      <c r="H2032" s="177"/>
      <c r="I2032" s="177"/>
      <c r="J2032" s="177"/>
      <c r="K2032" s="177"/>
      <c r="L2032" s="177"/>
      <c r="M2032" s="177"/>
      <c r="N2032" s="177"/>
      <c r="O2032" s="177"/>
      <c r="P2032" s="177"/>
      <c r="Q2032" s="177"/>
      <c r="R2032" s="177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</row>
    <row r="2033">
      <c r="A2033" s="2"/>
      <c r="B2033" s="177"/>
      <c r="C2033" s="177"/>
      <c r="D2033" s="177"/>
      <c r="E2033" s="177"/>
      <c r="F2033" s="177"/>
      <c r="G2033" s="177"/>
      <c r="H2033" s="177"/>
      <c r="I2033" s="177"/>
      <c r="J2033" s="177"/>
      <c r="K2033" s="177"/>
      <c r="L2033" s="177"/>
      <c r="M2033" s="177"/>
      <c r="N2033" s="177"/>
      <c r="O2033" s="177"/>
      <c r="P2033" s="177"/>
      <c r="Q2033" s="177"/>
      <c r="R2033" s="177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</row>
    <row r="2034">
      <c r="A2034" s="2"/>
      <c r="B2034" s="177"/>
      <c r="C2034" s="177"/>
      <c r="D2034" s="177"/>
      <c r="E2034" s="177"/>
      <c r="F2034" s="177"/>
      <c r="G2034" s="177"/>
      <c r="H2034" s="177"/>
      <c r="I2034" s="177"/>
      <c r="J2034" s="177"/>
      <c r="K2034" s="177"/>
      <c r="L2034" s="177"/>
      <c r="M2034" s="177"/>
      <c r="N2034" s="177"/>
      <c r="O2034" s="177"/>
      <c r="P2034" s="177"/>
      <c r="Q2034" s="177"/>
      <c r="R2034" s="177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</row>
    <row r="2035">
      <c r="A2035" s="2"/>
      <c r="B2035" s="177"/>
      <c r="C2035" s="177"/>
      <c r="D2035" s="177"/>
      <c r="E2035" s="177"/>
      <c r="F2035" s="177"/>
      <c r="G2035" s="177"/>
      <c r="H2035" s="177"/>
      <c r="I2035" s="177"/>
      <c r="J2035" s="177"/>
      <c r="K2035" s="177"/>
      <c r="L2035" s="177"/>
      <c r="M2035" s="177"/>
      <c r="N2035" s="177"/>
      <c r="O2035" s="177"/>
      <c r="P2035" s="177"/>
      <c r="Q2035" s="177"/>
      <c r="R2035" s="177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</row>
    <row r="2036">
      <c r="A2036" s="2"/>
      <c r="B2036" s="176" t="s">
        <v>1</v>
      </c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5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</row>
    <row r="2037">
      <c r="A2037" s="2"/>
      <c r="B2037" s="8"/>
      <c r="F2037" s="9"/>
      <c r="G2037" s="9"/>
      <c r="H2037" s="9"/>
      <c r="I2037" s="9"/>
      <c r="J2037" s="9" t="s">
        <v>2</v>
      </c>
      <c r="N2037" s="6"/>
      <c r="R2037" s="10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</row>
    <row r="2038">
      <c r="A2038" s="2"/>
      <c r="B2038" s="13"/>
      <c r="F2038" s="9"/>
      <c r="G2038" s="9"/>
      <c r="H2038" s="9"/>
      <c r="I2038" s="9"/>
      <c r="J2038" s="9" t="s">
        <v>3</v>
      </c>
      <c r="N2038" s="6"/>
      <c r="R2038" s="10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</row>
    <row r="2039">
      <c r="A2039" s="2"/>
      <c r="B2039" s="13"/>
      <c r="R2039" s="10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</row>
    <row r="2040">
      <c r="A2040" s="2"/>
      <c r="B2040" s="16" t="s">
        <v>5</v>
      </c>
      <c r="C2040" s="17" t="s">
        <v>6</v>
      </c>
      <c r="D2040" s="4"/>
      <c r="E2040" s="4"/>
      <c r="F2040" s="4"/>
      <c r="G2040" s="4"/>
      <c r="H2040" s="4"/>
      <c r="I2040" s="4"/>
      <c r="J2040" s="4"/>
      <c r="K2040" s="5"/>
      <c r="L2040" s="18" t="s">
        <v>7</v>
      </c>
      <c r="M2040" s="19">
        <v>75.0</v>
      </c>
      <c r="N2040" s="20"/>
      <c r="O2040" s="4"/>
      <c r="P2040" s="4"/>
      <c r="Q2040" s="4"/>
      <c r="R2040" s="5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</row>
    <row r="2041">
      <c r="A2041" s="2"/>
      <c r="B2041" s="26"/>
      <c r="C2041" s="27" t="s">
        <v>8</v>
      </c>
      <c r="K2041" s="10"/>
      <c r="L2041" s="18" t="s">
        <v>9</v>
      </c>
      <c r="M2041" s="175">
        <v>46058.0</v>
      </c>
      <c r="N2041" s="6"/>
      <c r="R2041" s="10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</row>
    <row r="2042">
      <c r="A2042" s="2"/>
      <c r="B2042" s="16" t="s">
        <v>11</v>
      </c>
      <c r="C2042" s="30" t="s">
        <v>12</v>
      </c>
      <c r="D2042" s="31"/>
      <c r="E2042" s="31"/>
      <c r="F2042" s="31"/>
      <c r="G2042" s="31"/>
      <c r="H2042" s="31"/>
      <c r="I2042" s="31"/>
      <c r="J2042" s="31"/>
      <c r="K2042" s="32"/>
      <c r="L2042" s="18" t="s">
        <v>13</v>
      </c>
      <c r="M2042" s="33" t="s">
        <v>14</v>
      </c>
      <c r="N2042" s="34"/>
      <c r="O2042" s="31"/>
      <c r="P2042" s="31"/>
      <c r="Q2042" s="31"/>
      <c r="R2042" s="3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</row>
    <row r="2043">
      <c r="A2043" s="2"/>
      <c r="B2043" s="8"/>
      <c r="R2043" s="10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</row>
    <row r="2044">
      <c r="A2044" s="2"/>
      <c r="B2044" s="39" t="s">
        <v>15</v>
      </c>
      <c r="C2044" s="40" t="s">
        <v>16</v>
      </c>
      <c r="D2044" s="41" t="s">
        <v>17</v>
      </c>
      <c r="E2044" s="41" t="s">
        <v>18</v>
      </c>
      <c r="F2044" s="42" t="s">
        <v>19</v>
      </c>
      <c r="G2044" s="43"/>
      <c r="H2044" s="43"/>
      <c r="I2044" s="43"/>
      <c r="J2044" s="44"/>
      <c r="K2044" s="41" t="s">
        <v>20</v>
      </c>
      <c r="L2044" s="41" t="s">
        <v>21</v>
      </c>
      <c r="M2044" s="41" t="s">
        <v>22</v>
      </c>
      <c r="N2044" s="41" t="s">
        <v>23</v>
      </c>
      <c r="O2044" s="41" t="s">
        <v>24</v>
      </c>
      <c r="P2044" s="41" t="s">
        <v>25</v>
      </c>
      <c r="Q2044" s="41" t="s">
        <v>26</v>
      </c>
      <c r="R2044" s="45" t="s">
        <v>27</v>
      </c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</row>
    <row r="2045">
      <c r="A2045" s="2"/>
      <c r="B2045" s="52">
        <v>1.0</v>
      </c>
      <c r="C2045" s="53">
        <v>1.00471855E9</v>
      </c>
      <c r="D2045" s="53" t="s">
        <v>177</v>
      </c>
      <c r="E2045" s="53" t="s">
        <v>90</v>
      </c>
      <c r="F2045" s="53" t="s">
        <v>94</v>
      </c>
      <c r="G2045" s="53" t="s">
        <v>92</v>
      </c>
      <c r="H2045" s="53" t="s">
        <v>93</v>
      </c>
      <c r="I2045" s="53" t="s">
        <v>91</v>
      </c>
      <c r="J2045" s="55"/>
      <c r="K2045" s="53" t="s">
        <v>38</v>
      </c>
      <c r="L2045" s="53" t="s">
        <v>102</v>
      </c>
      <c r="M2045" s="53">
        <v>3547.0</v>
      </c>
      <c r="N2045" s="53">
        <v>405.0</v>
      </c>
      <c r="O2045" s="53">
        <v>19.28</v>
      </c>
      <c r="P2045" s="55">
        <f t="shared" ref="P2045:P2054" si="161">N2045*O2045</f>
        <v>7808.4</v>
      </c>
      <c r="Q2045" s="53">
        <v>535.0</v>
      </c>
      <c r="R2045" s="105">
        <f t="shared" ref="R2045:R2054" si="162">P2045+Q2045</f>
        <v>8343.4</v>
      </c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</row>
    <row r="2046">
      <c r="A2046" s="2"/>
      <c r="B2046" s="52">
        <v>2.0</v>
      </c>
      <c r="C2046" s="53"/>
      <c r="D2046" s="54"/>
      <c r="E2046" s="53"/>
      <c r="F2046" s="53"/>
      <c r="G2046" s="53"/>
      <c r="H2046" s="53"/>
      <c r="I2046" s="55"/>
      <c r="J2046" s="55"/>
      <c r="K2046" s="53"/>
      <c r="L2046" s="53"/>
      <c r="M2046" s="53"/>
      <c r="N2046" s="53"/>
      <c r="O2046" s="53"/>
      <c r="P2046" s="55">
        <f t="shared" si="161"/>
        <v>0</v>
      </c>
      <c r="Q2046" s="55"/>
      <c r="R2046" s="105">
        <f t="shared" si="162"/>
        <v>0</v>
      </c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</row>
    <row r="2047">
      <c r="A2047" s="2"/>
      <c r="B2047" s="52">
        <v>3.0</v>
      </c>
      <c r="C2047" s="53"/>
      <c r="D2047" s="54"/>
      <c r="E2047" s="53"/>
      <c r="F2047" s="53"/>
      <c r="G2047" s="53"/>
      <c r="H2047" s="55"/>
      <c r="I2047" s="55"/>
      <c r="J2047" s="55"/>
      <c r="K2047" s="53"/>
      <c r="L2047" s="53"/>
      <c r="M2047" s="53"/>
      <c r="N2047" s="53"/>
      <c r="O2047" s="53"/>
      <c r="P2047" s="55">
        <f t="shared" si="161"/>
        <v>0</v>
      </c>
      <c r="Q2047" s="55"/>
      <c r="R2047" s="105">
        <f t="shared" si="162"/>
        <v>0</v>
      </c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</row>
    <row r="2048">
      <c r="A2048" s="2"/>
      <c r="B2048" s="52">
        <v>4.0</v>
      </c>
      <c r="C2048" s="53"/>
      <c r="D2048" s="54"/>
      <c r="E2048" s="53"/>
      <c r="F2048" s="53"/>
      <c r="G2048" s="53"/>
      <c r="H2048" s="55"/>
      <c r="I2048" s="55"/>
      <c r="J2048" s="55"/>
      <c r="K2048" s="53"/>
      <c r="L2048" s="53"/>
      <c r="M2048" s="53"/>
      <c r="N2048" s="53"/>
      <c r="O2048" s="53"/>
      <c r="P2048" s="55">
        <f t="shared" si="161"/>
        <v>0</v>
      </c>
      <c r="Q2048" s="55"/>
      <c r="R2048" s="105">
        <f t="shared" si="162"/>
        <v>0</v>
      </c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</row>
    <row r="2049">
      <c r="A2049" s="2"/>
      <c r="B2049" s="52">
        <v>5.0</v>
      </c>
      <c r="C2049" s="53"/>
      <c r="D2049" s="54"/>
      <c r="E2049" s="53"/>
      <c r="F2049" s="53"/>
      <c r="G2049" s="53"/>
      <c r="H2049" s="55"/>
      <c r="I2049" s="55"/>
      <c r="J2049" s="55"/>
      <c r="K2049" s="53"/>
      <c r="L2049" s="53"/>
      <c r="M2049" s="53"/>
      <c r="N2049" s="53"/>
      <c r="O2049" s="53"/>
      <c r="P2049" s="55">
        <f t="shared" si="161"/>
        <v>0</v>
      </c>
      <c r="Q2049" s="55"/>
      <c r="R2049" s="105">
        <f t="shared" si="162"/>
        <v>0</v>
      </c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</row>
    <row r="2050">
      <c r="A2050" s="2"/>
      <c r="B2050" s="52">
        <v>6.0</v>
      </c>
      <c r="C2050" s="53"/>
      <c r="D2050" s="54"/>
      <c r="E2050" s="53"/>
      <c r="F2050" s="53"/>
      <c r="G2050" s="55"/>
      <c r="H2050" s="55"/>
      <c r="I2050" s="55"/>
      <c r="J2050" s="55"/>
      <c r="K2050" s="53"/>
      <c r="L2050" s="53"/>
      <c r="M2050" s="53"/>
      <c r="N2050" s="53"/>
      <c r="O2050" s="53"/>
      <c r="P2050" s="55">
        <f t="shared" si="161"/>
        <v>0</v>
      </c>
      <c r="Q2050" s="55"/>
      <c r="R2050" s="105">
        <f t="shared" si="162"/>
        <v>0</v>
      </c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</row>
    <row r="2051">
      <c r="A2051" s="2"/>
      <c r="B2051" s="52">
        <v>7.0</v>
      </c>
      <c r="C2051" s="53"/>
      <c r="D2051" s="54"/>
      <c r="E2051" s="53"/>
      <c r="F2051" s="53"/>
      <c r="G2051" s="53"/>
      <c r="H2051" s="53"/>
      <c r="I2051" s="55"/>
      <c r="J2051" s="55"/>
      <c r="K2051" s="53"/>
      <c r="L2051" s="53"/>
      <c r="M2051" s="53"/>
      <c r="N2051" s="53"/>
      <c r="O2051" s="53"/>
      <c r="P2051" s="55">
        <f t="shared" si="161"/>
        <v>0</v>
      </c>
      <c r="Q2051" s="55"/>
      <c r="R2051" s="105">
        <f t="shared" si="162"/>
        <v>0</v>
      </c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</row>
    <row r="2052">
      <c r="A2052" s="2"/>
      <c r="B2052" s="52">
        <v>8.0</v>
      </c>
      <c r="C2052" s="53"/>
      <c r="D2052" s="54"/>
      <c r="E2052" s="53"/>
      <c r="F2052" s="53"/>
      <c r="G2052" s="53"/>
      <c r="H2052" s="53"/>
      <c r="I2052" s="55"/>
      <c r="J2052" s="55"/>
      <c r="K2052" s="53"/>
      <c r="L2052" s="53"/>
      <c r="M2052" s="53"/>
      <c r="N2052" s="53"/>
      <c r="O2052" s="53"/>
      <c r="P2052" s="55">
        <f t="shared" si="161"/>
        <v>0</v>
      </c>
      <c r="Q2052" s="55"/>
      <c r="R2052" s="105">
        <f t="shared" si="162"/>
        <v>0</v>
      </c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</row>
    <row r="2053">
      <c r="A2053" s="2"/>
      <c r="B2053" s="52">
        <v>9.0</v>
      </c>
      <c r="C2053" s="53"/>
      <c r="D2053" s="54"/>
      <c r="E2053" s="53"/>
      <c r="F2053" s="53"/>
      <c r="G2053" s="55"/>
      <c r="H2053" s="53"/>
      <c r="I2053" s="55"/>
      <c r="J2053" s="55"/>
      <c r="K2053" s="53"/>
      <c r="L2053" s="53"/>
      <c r="M2053" s="53"/>
      <c r="N2053" s="53"/>
      <c r="O2053" s="53"/>
      <c r="P2053" s="55">
        <f t="shared" si="161"/>
        <v>0</v>
      </c>
      <c r="Q2053" s="53"/>
      <c r="R2053" s="105">
        <f t="shared" si="162"/>
        <v>0</v>
      </c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</row>
    <row r="2054">
      <c r="A2054" s="2"/>
      <c r="B2054" s="52">
        <v>10.0</v>
      </c>
      <c r="C2054" s="53"/>
      <c r="D2054" s="54"/>
      <c r="E2054" s="53"/>
      <c r="F2054" s="53"/>
      <c r="G2054" s="55"/>
      <c r="H2054" s="55"/>
      <c r="I2054" s="55"/>
      <c r="J2054" s="55"/>
      <c r="K2054" s="53"/>
      <c r="L2054" s="53"/>
      <c r="M2054" s="53"/>
      <c r="N2054" s="53"/>
      <c r="O2054" s="53"/>
      <c r="P2054" s="55">
        <f t="shared" si="161"/>
        <v>0</v>
      </c>
      <c r="Q2054" s="53"/>
      <c r="R2054" s="105">
        <f t="shared" si="162"/>
        <v>0</v>
      </c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</row>
    <row r="2055">
      <c r="A2055" s="2"/>
      <c r="B2055" s="8"/>
      <c r="C2055" s="6"/>
      <c r="D2055" s="6"/>
      <c r="E2055" s="6"/>
      <c r="F2055" s="6"/>
      <c r="G2055" s="6"/>
      <c r="H2055" s="6"/>
      <c r="I2055" s="6"/>
      <c r="J2055" s="6"/>
      <c r="K2055" s="6"/>
      <c r="L2055" s="6"/>
      <c r="M2055" s="6"/>
      <c r="N2055" s="6"/>
      <c r="O2055" s="6"/>
      <c r="P2055" s="6"/>
      <c r="Q2055" s="6"/>
      <c r="R2055" s="65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</row>
    <row r="2056">
      <c r="A2056" s="2"/>
      <c r="B2056" s="67" t="s">
        <v>64</v>
      </c>
      <c r="C2056" s="68"/>
      <c r="D2056" s="69" t="str">
        <f>MONEYTEXT(R2056, "INR")</f>
        <v/>
      </c>
      <c r="E2056" s="68"/>
      <c r="F2056" s="68"/>
      <c r="G2056" s="68"/>
      <c r="H2056" s="68"/>
      <c r="I2056" s="68"/>
      <c r="J2056" s="68"/>
      <c r="K2056" s="68"/>
      <c r="L2056" s="68"/>
      <c r="M2056" s="68"/>
      <c r="N2056" s="70" t="s">
        <v>65</v>
      </c>
      <c r="O2056" s="4"/>
      <c r="P2056" s="96">
        <f t="shared" ref="P2056:R2056" si="163">SUM(P2045:P2054)</f>
        <v>7808.4</v>
      </c>
      <c r="Q2056" s="96">
        <f t="shared" si="163"/>
        <v>535</v>
      </c>
      <c r="R2056" s="96">
        <f t="shared" si="163"/>
        <v>8343.4</v>
      </c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</row>
    <row r="2057">
      <c r="A2057" s="2"/>
      <c r="B2057" s="67" t="s">
        <v>66</v>
      </c>
      <c r="C2057" s="68"/>
      <c r="D2057" s="68"/>
      <c r="E2057" s="68"/>
      <c r="F2057" s="68"/>
      <c r="G2057" s="68"/>
      <c r="H2057" s="68"/>
      <c r="I2057" s="68"/>
      <c r="J2057" s="68"/>
      <c r="K2057" s="68"/>
      <c r="L2057" s="68"/>
      <c r="M2057" s="68"/>
      <c r="N2057" s="68"/>
      <c r="O2057" s="76"/>
      <c r="P2057" s="97" t="s">
        <v>67</v>
      </c>
      <c r="Q2057" s="31"/>
      <c r="R2057" s="3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</row>
    <row r="2058">
      <c r="A2058" s="2"/>
      <c r="B2058" s="79" t="s">
        <v>68</v>
      </c>
      <c r="P2058" s="27"/>
      <c r="Q2058" s="27"/>
      <c r="R2058" s="83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</row>
    <row r="2059">
      <c r="A2059" s="2"/>
      <c r="B2059" s="79" t="s">
        <v>70</v>
      </c>
      <c r="P2059" s="27"/>
      <c r="Q2059" s="27"/>
      <c r="R2059" s="83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</row>
    <row r="2060">
      <c r="A2060" s="2"/>
      <c r="B2060" s="8"/>
      <c r="C2060" s="6"/>
      <c r="D2060" s="6"/>
      <c r="E2060" s="6"/>
      <c r="F2060" s="6"/>
      <c r="G2060" s="6"/>
      <c r="H2060" s="6"/>
      <c r="I2060" s="6"/>
      <c r="J2060" s="6"/>
      <c r="K2060" s="6"/>
      <c r="L2060" s="6"/>
      <c r="M2060" s="6"/>
      <c r="N2060" s="6"/>
      <c r="O2060" s="6"/>
      <c r="P2060" s="6"/>
      <c r="Q2060" s="6"/>
      <c r="R2060" s="65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</row>
    <row r="2061">
      <c r="A2061" s="2"/>
      <c r="B2061" s="8"/>
      <c r="C2061" s="6"/>
      <c r="D2061" s="6"/>
      <c r="E2061" s="6"/>
      <c r="F2061" s="6"/>
      <c r="G2061" s="6"/>
      <c r="H2061" s="6"/>
      <c r="I2061" s="6"/>
      <c r="J2061" s="6"/>
      <c r="K2061" s="19" t="s">
        <v>71</v>
      </c>
      <c r="L2061" s="6"/>
      <c r="M2061" s="6"/>
      <c r="N2061" s="6"/>
      <c r="O2061" s="6"/>
      <c r="P2061" s="9" t="s">
        <v>72</v>
      </c>
      <c r="R2061" s="10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</row>
    <row r="2062">
      <c r="A2062" s="2"/>
      <c r="B2062" s="88"/>
      <c r="C2062" s="34"/>
      <c r="D2062" s="34"/>
      <c r="E2062" s="34"/>
      <c r="F2062" s="34"/>
      <c r="G2062" s="34"/>
      <c r="H2062" s="34"/>
      <c r="I2062" s="34"/>
      <c r="J2062" s="34"/>
      <c r="K2062" s="34"/>
      <c r="L2062" s="34"/>
      <c r="M2062" s="34"/>
      <c r="N2062" s="34"/>
      <c r="O2062" s="34"/>
      <c r="P2062" s="34"/>
      <c r="Q2062" s="34"/>
      <c r="R2062" s="89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</row>
    <row r="2063">
      <c r="A2063" s="2"/>
      <c r="B2063" s="177"/>
      <c r="C2063" s="177"/>
      <c r="D2063" s="177"/>
      <c r="E2063" s="177"/>
      <c r="F2063" s="177"/>
      <c r="G2063" s="177"/>
      <c r="H2063" s="177"/>
      <c r="I2063" s="177"/>
      <c r="J2063" s="177"/>
      <c r="K2063" s="177"/>
      <c r="L2063" s="177"/>
      <c r="M2063" s="177"/>
      <c r="N2063" s="177"/>
      <c r="O2063" s="177"/>
      <c r="P2063" s="177"/>
      <c r="Q2063" s="177"/>
      <c r="R2063" s="177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</row>
    <row r="2064">
      <c r="A2064" s="2"/>
      <c r="B2064" s="177"/>
      <c r="C2064" s="177"/>
      <c r="D2064" s="177"/>
      <c r="E2064" s="177"/>
      <c r="F2064" s="177"/>
      <c r="G2064" s="177"/>
      <c r="H2064" s="177"/>
      <c r="I2064" s="177"/>
      <c r="J2064" s="177"/>
      <c r="K2064" s="177"/>
      <c r="L2064" s="177"/>
      <c r="M2064" s="177"/>
      <c r="N2064" s="177"/>
      <c r="O2064" s="177"/>
      <c r="P2064" s="177"/>
      <c r="Q2064" s="177"/>
      <c r="R2064" s="177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</row>
    <row r="2065">
      <c r="A2065" s="2"/>
      <c r="B2065" s="177"/>
      <c r="C2065" s="177"/>
      <c r="D2065" s="177"/>
      <c r="E2065" s="177"/>
      <c r="F2065" s="177"/>
      <c r="G2065" s="177"/>
      <c r="H2065" s="177"/>
      <c r="I2065" s="177"/>
      <c r="J2065" s="177"/>
      <c r="K2065" s="177"/>
      <c r="L2065" s="177"/>
      <c r="M2065" s="177"/>
      <c r="N2065" s="177"/>
      <c r="O2065" s="177"/>
      <c r="P2065" s="177"/>
      <c r="Q2065" s="177"/>
      <c r="R2065" s="177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</row>
    <row r="2066">
      <c r="A2066" s="2"/>
      <c r="B2066" s="181" t="s">
        <v>1</v>
      </c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5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</row>
    <row r="2067" ht="40.5" customHeight="1">
      <c r="A2067" s="2"/>
      <c r="B2067" s="182"/>
      <c r="F2067" s="183"/>
      <c r="G2067" s="183"/>
      <c r="H2067" s="183"/>
      <c r="I2067" s="183"/>
      <c r="J2067" s="183" t="s">
        <v>2</v>
      </c>
      <c r="N2067" s="184"/>
      <c r="R2067" s="10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</row>
    <row r="2068" ht="37.5" customHeight="1">
      <c r="A2068" s="2"/>
      <c r="B2068" s="185"/>
      <c r="F2068" s="183"/>
      <c r="G2068" s="183"/>
      <c r="H2068" s="183"/>
      <c r="I2068" s="183"/>
      <c r="J2068" s="183" t="s">
        <v>3</v>
      </c>
      <c r="N2068" s="184"/>
      <c r="R2068" s="10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</row>
    <row r="2069" ht="39.0" customHeight="1">
      <c r="A2069" s="2"/>
      <c r="B2069" s="186" t="s">
        <v>4</v>
      </c>
      <c r="R2069" s="10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</row>
    <row r="2070">
      <c r="A2070" s="2"/>
      <c r="B2070" s="187" t="s">
        <v>5</v>
      </c>
      <c r="C2070" s="188" t="s">
        <v>6</v>
      </c>
      <c r="D2070" s="4"/>
      <c r="E2070" s="4"/>
      <c r="F2070" s="4"/>
      <c r="G2070" s="4"/>
      <c r="H2070" s="4"/>
      <c r="I2070" s="4"/>
      <c r="J2070" s="4"/>
      <c r="K2070" s="5"/>
      <c r="L2070" s="189" t="s">
        <v>7</v>
      </c>
      <c r="M2070" s="190">
        <v>81.0</v>
      </c>
      <c r="N2070" s="191"/>
      <c r="O2070" s="4"/>
      <c r="P2070" s="4"/>
      <c r="Q2070" s="4"/>
      <c r="R2070" s="5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</row>
    <row r="2071" ht="46.5" customHeight="1">
      <c r="A2071" s="2"/>
      <c r="B2071" s="192"/>
      <c r="C2071" s="193" t="s">
        <v>8</v>
      </c>
      <c r="K2071" s="10"/>
      <c r="L2071" s="189" t="s">
        <v>9</v>
      </c>
      <c r="M2071" s="194" t="s">
        <v>178</v>
      </c>
      <c r="N2071" s="195"/>
      <c r="R2071" s="10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</row>
    <row r="2072" ht="55.5" customHeight="1">
      <c r="A2072" s="2"/>
      <c r="B2072" s="187" t="s">
        <v>11</v>
      </c>
      <c r="C2072" s="196" t="s">
        <v>12</v>
      </c>
      <c r="D2072" s="31"/>
      <c r="E2072" s="31"/>
      <c r="F2072" s="31"/>
      <c r="G2072" s="31"/>
      <c r="H2072" s="31"/>
      <c r="I2072" s="31"/>
      <c r="J2072" s="31"/>
      <c r="K2072" s="32"/>
      <c r="L2072" s="189" t="s">
        <v>13</v>
      </c>
      <c r="M2072" s="197" t="s">
        <v>14</v>
      </c>
      <c r="N2072" s="198"/>
      <c r="O2072" s="31"/>
      <c r="P2072" s="31"/>
      <c r="Q2072" s="31"/>
      <c r="R2072" s="3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</row>
    <row r="2073">
      <c r="A2073" s="2"/>
      <c r="B2073" s="199"/>
      <c r="R2073" s="10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</row>
    <row r="2074" ht="55.5" customHeight="1">
      <c r="A2074" s="2"/>
      <c r="B2074" s="200" t="s">
        <v>15</v>
      </c>
      <c r="C2074" s="201" t="s">
        <v>16</v>
      </c>
      <c r="D2074" s="202" t="s">
        <v>17</v>
      </c>
      <c r="E2074" s="202" t="s">
        <v>18</v>
      </c>
      <c r="F2074" s="203" t="s">
        <v>19</v>
      </c>
      <c r="G2074" s="43"/>
      <c r="H2074" s="43"/>
      <c r="I2074" s="43"/>
      <c r="J2074" s="44"/>
      <c r="K2074" s="202" t="s">
        <v>20</v>
      </c>
      <c r="L2074" s="202" t="s">
        <v>21</v>
      </c>
      <c r="M2074" s="202" t="s">
        <v>22</v>
      </c>
      <c r="N2074" s="202" t="s">
        <v>23</v>
      </c>
      <c r="O2074" s="202" t="s">
        <v>24</v>
      </c>
      <c r="P2074" s="202" t="s">
        <v>25</v>
      </c>
      <c r="Q2074" s="202" t="s">
        <v>26</v>
      </c>
      <c r="R2074" s="204" t="s">
        <v>27</v>
      </c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</row>
    <row r="2075" ht="48.0" customHeight="1">
      <c r="A2075" s="2"/>
      <c r="B2075" s="205">
        <v>1.0</v>
      </c>
      <c r="C2075" s="206">
        <v>1.004719721E9</v>
      </c>
      <c r="D2075" s="207">
        <v>46028.0</v>
      </c>
      <c r="E2075" s="206" t="s">
        <v>28</v>
      </c>
      <c r="F2075" s="206" t="s">
        <v>29</v>
      </c>
      <c r="G2075" s="206" t="s">
        <v>30</v>
      </c>
      <c r="H2075" s="206" t="s">
        <v>31</v>
      </c>
      <c r="I2075" s="206" t="s">
        <v>32</v>
      </c>
      <c r="J2075" s="208"/>
      <c r="K2075" s="206" t="s">
        <v>38</v>
      </c>
      <c r="L2075" s="206" t="s">
        <v>34</v>
      </c>
      <c r="M2075" s="209">
        <v>3185.0</v>
      </c>
      <c r="N2075" s="209">
        <v>246.0</v>
      </c>
      <c r="O2075" s="209">
        <v>19.28</v>
      </c>
      <c r="P2075" s="210">
        <f t="shared" ref="P2075:P2084" si="164">N2075*O2075</f>
        <v>4742.88</v>
      </c>
      <c r="Q2075" s="209"/>
      <c r="R2075" s="211">
        <f t="shared" ref="R2075:R2084" si="165">P2075+Q2075</f>
        <v>4742.88</v>
      </c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</row>
    <row r="2076" ht="42.0" customHeight="1">
      <c r="A2076" s="2"/>
      <c r="B2076" s="205">
        <v>2.0</v>
      </c>
      <c r="C2076" s="206">
        <v>1.004719694E9</v>
      </c>
      <c r="D2076" s="207">
        <v>46028.0</v>
      </c>
      <c r="E2076" s="206" t="s">
        <v>35</v>
      </c>
      <c r="F2076" s="206" t="s">
        <v>36</v>
      </c>
      <c r="G2076" s="206" t="s">
        <v>40</v>
      </c>
      <c r="H2076" s="206"/>
      <c r="I2076" s="208"/>
      <c r="J2076" s="208"/>
      <c r="K2076" s="206" t="s">
        <v>38</v>
      </c>
      <c r="L2076" s="206" t="s">
        <v>96</v>
      </c>
      <c r="M2076" s="209">
        <v>3065.0</v>
      </c>
      <c r="N2076" s="209">
        <v>150.0</v>
      </c>
      <c r="O2076" s="209">
        <v>19.28</v>
      </c>
      <c r="P2076" s="210">
        <f t="shared" si="164"/>
        <v>2892</v>
      </c>
      <c r="Q2076" s="210"/>
      <c r="R2076" s="211">
        <f t="shared" si="165"/>
        <v>2892</v>
      </c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</row>
    <row r="2077" ht="42.0" customHeight="1">
      <c r="A2077" s="2"/>
      <c r="B2077" s="205">
        <v>3.0</v>
      </c>
      <c r="C2077" s="206">
        <v>1.004719699E9</v>
      </c>
      <c r="D2077" s="207">
        <v>46028.0</v>
      </c>
      <c r="E2077" s="206" t="s">
        <v>35</v>
      </c>
      <c r="F2077" s="206" t="s">
        <v>36</v>
      </c>
      <c r="G2077" s="206"/>
      <c r="H2077" s="208"/>
      <c r="I2077" s="208"/>
      <c r="J2077" s="208"/>
      <c r="K2077" s="206" t="s">
        <v>38</v>
      </c>
      <c r="L2077" s="206" t="s">
        <v>97</v>
      </c>
      <c r="M2077" s="209">
        <v>3050.0</v>
      </c>
      <c r="N2077" s="209">
        <v>130.0</v>
      </c>
      <c r="O2077" s="209">
        <v>19.28</v>
      </c>
      <c r="P2077" s="210">
        <f t="shared" si="164"/>
        <v>2506.4</v>
      </c>
      <c r="Q2077" s="210"/>
      <c r="R2077" s="211">
        <f t="shared" si="165"/>
        <v>2506.4</v>
      </c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</row>
    <row r="2078" ht="43.5" customHeight="1">
      <c r="A2078" s="2"/>
      <c r="B2078" s="205">
        <v>4.0</v>
      </c>
      <c r="C2078" s="206">
        <v>1.004719708E9</v>
      </c>
      <c r="D2078" s="207">
        <v>46028.0</v>
      </c>
      <c r="E2078" s="206" t="s">
        <v>35</v>
      </c>
      <c r="F2078" s="206" t="s">
        <v>36</v>
      </c>
      <c r="G2078" s="206" t="s">
        <v>37</v>
      </c>
      <c r="H2078" s="208"/>
      <c r="I2078" s="208"/>
      <c r="J2078" s="208"/>
      <c r="K2078" s="206" t="s">
        <v>38</v>
      </c>
      <c r="L2078" s="206" t="s">
        <v>41</v>
      </c>
      <c r="M2078" s="209">
        <v>3194.0</v>
      </c>
      <c r="N2078" s="209">
        <v>200.0</v>
      </c>
      <c r="O2078" s="209">
        <v>19.28</v>
      </c>
      <c r="P2078" s="210">
        <f t="shared" si="164"/>
        <v>3856</v>
      </c>
      <c r="Q2078" s="210"/>
      <c r="R2078" s="211">
        <f t="shared" si="165"/>
        <v>3856</v>
      </c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</row>
    <row r="2079" ht="49.5" customHeight="1">
      <c r="A2079" s="2"/>
      <c r="B2079" s="205">
        <v>5.0</v>
      </c>
      <c r="C2079" s="206">
        <v>1.004719838E9</v>
      </c>
      <c r="D2079" s="207">
        <v>46028.0</v>
      </c>
      <c r="E2079" s="206" t="s">
        <v>42</v>
      </c>
      <c r="F2079" s="206" t="s">
        <v>44</v>
      </c>
      <c r="G2079" s="206" t="s">
        <v>43</v>
      </c>
      <c r="H2079" s="208"/>
      <c r="I2079" s="208"/>
      <c r="J2079" s="208"/>
      <c r="K2079" s="206" t="s">
        <v>45</v>
      </c>
      <c r="L2079" s="206" t="s">
        <v>98</v>
      </c>
      <c r="M2079" s="209">
        <v>1617.0</v>
      </c>
      <c r="N2079" s="209">
        <v>299.0</v>
      </c>
      <c r="O2079" s="209">
        <v>15.53</v>
      </c>
      <c r="P2079" s="210">
        <f t="shared" si="164"/>
        <v>4643.47</v>
      </c>
      <c r="Q2079" s="210"/>
      <c r="R2079" s="211">
        <f t="shared" si="165"/>
        <v>4643.47</v>
      </c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</row>
    <row r="2080" ht="43.5" customHeight="1">
      <c r="A2080" s="2"/>
      <c r="B2080" s="205">
        <v>6.0</v>
      </c>
      <c r="C2080" s="206">
        <v>1.004719856E9</v>
      </c>
      <c r="D2080" s="207">
        <v>46028.0</v>
      </c>
      <c r="E2080" s="206" t="s">
        <v>47</v>
      </c>
      <c r="F2080" s="206" t="s">
        <v>44</v>
      </c>
      <c r="G2080" s="206" t="s">
        <v>48</v>
      </c>
      <c r="H2080" s="208"/>
      <c r="I2080" s="208"/>
      <c r="J2080" s="208"/>
      <c r="K2080" s="206" t="s">
        <v>45</v>
      </c>
      <c r="L2080" s="206" t="s">
        <v>50</v>
      </c>
      <c r="M2080" s="209">
        <v>1591.0</v>
      </c>
      <c r="N2080" s="209">
        <v>250.0</v>
      </c>
      <c r="O2080" s="209">
        <v>15.53</v>
      </c>
      <c r="P2080" s="210">
        <f t="shared" si="164"/>
        <v>3882.5</v>
      </c>
      <c r="Q2080" s="210"/>
      <c r="R2080" s="211">
        <f t="shared" si="165"/>
        <v>3882.5</v>
      </c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</row>
    <row r="2081" ht="43.5" customHeight="1">
      <c r="A2081" s="2"/>
      <c r="B2081" s="205">
        <v>7.0</v>
      </c>
      <c r="C2081" s="206">
        <v>1.004719869E9</v>
      </c>
      <c r="D2081" s="207">
        <v>46028.0</v>
      </c>
      <c r="E2081" s="206" t="s">
        <v>51</v>
      </c>
      <c r="F2081" s="206" t="s">
        <v>44</v>
      </c>
      <c r="G2081" s="206"/>
      <c r="H2081" s="206"/>
      <c r="I2081" s="208"/>
      <c r="J2081" s="208"/>
      <c r="K2081" s="206" t="s">
        <v>45</v>
      </c>
      <c r="L2081" s="206" t="s">
        <v>52</v>
      </c>
      <c r="M2081" s="209">
        <v>1739.0</v>
      </c>
      <c r="N2081" s="209">
        <v>230.0</v>
      </c>
      <c r="O2081" s="209">
        <v>15.53</v>
      </c>
      <c r="P2081" s="210">
        <f t="shared" si="164"/>
        <v>3571.9</v>
      </c>
      <c r="Q2081" s="210"/>
      <c r="R2081" s="211">
        <f t="shared" si="165"/>
        <v>3571.9</v>
      </c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</row>
    <row r="2082" ht="49.5" customHeight="1">
      <c r="A2082" s="2"/>
      <c r="B2082" s="205">
        <v>8.0</v>
      </c>
      <c r="C2082" s="206">
        <v>1.004719889E9</v>
      </c>
      <c r="D2082" s="207">
        <v>46028.0</v>
      </c>
      <c r="E2082" s="206" t="s">
        <v>51</v>
      </c>
      <c r="F2082" s="206" t="s">
        <v>44</v>
      </c>
      <c r="G2082" s="206" t="s">
        <v>49</v>
      </c>
      <c r="H2082" s="206"/>
      <c r="I2082" s="208"/>
      <c r="J2082" s="208"/>
      <c r="K2082" s="206" t="s">
        <v>45</v>
      </c>
      <c r="L2082" s="206" t="s">
        <v>123</v>
      </c>
      <c r="M2082" s="209">
        <v>1812.0</v>
      </c>
      <c r="N2082" s="209">
        <v>230.0</v>
      </c>
      <c r="O2082" s="209">
        <v>15.53</v>
      </c>
      <c r="P2082" s="210">
        <f t="shared" si="164"/>
        <v>3571.9</v>
      </c>
      <c r="Q2082" s="210"/>
      <c r="R2082" s="211">
        <f t="shared" si="165"/>
        <v>3571.9</v>
      </c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</row>
    <row r="2083" ht="52.5" customHeight="1">
      <c r="A2083" s="2"/>
      <c r="B2083" s="205">
        <v>9.0</v>
      </c>
      <c r="C2083" s="206">
        <v>1.004719886E9</v>
      </c>
      <c r="D2083" s="207">
        <v>46028.0</v>
      </c>
      <c r="E2083" s="206" t="s">
        <v>51</v>
      </c>
      <c r="F2083" s="206" t="s">
        <v>44</v>
      </c>
      <c r="G2083" s="208"/>
      <c r="H2083" s="206"/>
      <c r="I2083" s="208"/>
      <c r="J2083" s="208"/>
      <c r="K2083" s="206" t="s">
        <v>45</v>
      </c>
      <c r="L2083" s="206" t="s">
        <v>112</v>
      </c>
      <c r="M2083" s="209">
        <v>1664.0</v>
      </c>
      <c r="N2083" s="209">
        <v>230.0</v>
      </c>
      <c r="O2083" s="209">
        <v>15.53</v>
      </c>
      <c r="P2083" s="210">
        <f t="shared" si="164"/>
        <v>3571.9</v>
      </c>
      <c r="Q2083" s="209"/>
      <c r="R2083" s="211">
        <f t="shared" si="165"/>
        <v>3571.9</v>
      </c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</row>
    <row r="2084" ht="51.0" customHeight="1">
      <c r="A2084" s="2"/>
      <c r="B2084" s="205">
        <v>10.0</v>
      </c>
      <c r="C2084" s="206">
        <v>1.004719872E9</v>
      </c>
      <c r="D2084" s="207">
        <v>46028.0</v>
      </c>
      <c r="E2084" s="206" t="s">
        <v>51</v>
      </c>
      <c r="F2084" s="206" t="s">
        <v>44</v>
      </c>
      <c r="G2084" s="208"/>
      <c r="H2084" s="208"/>
      <c r="I2084" s="208"/>
      <c r="J2084" s="208"/>
      <c r="K2084" s="206" t="s">
        <v>45</v>
      </c>
      <c r="L2084" s="206" t="s">
        <v>54</v>
      </c>
      <c r="M2084" s="209">
        <v>1359.0</v>
      </c>
      <c r="N2084" s="209">
        <v>230.0</v>
      </c>
      <c r="O2084" s="209">
        <v>15.53</v>
      </c>
      <c r="P2084" s="210">
        <f t="shared" si="164"/>
        <v>3571.9</v>
      </c>
      <c r="Q2084" s="209"/>
      <c r="R2084" s="211">
        <f t="shared" si="165"/>
        <v>3571.9</v>
      </c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</row>
    <row r="2085" ht="39.0" customHeight="1">
      <c r="A2085" s="2"/>
      <c r="B2085" s="212"/>
      <c r="C2085" s="213"/>
      <c r="D2085" s="213"/>
      <c r="E2085" s="213"/>
      <c r="F2085" s="213"/>
      <c r="G2085" s="213"/>
      <c r="H2085" s="213"/>
      <c r="I2085" s="213"/>
      <c r="J2085" s="213"/>
      <c r="K2085" s="213"/>
      <c r="L2085" s="213"/>
      <c r="M2085" s="213"/>
      <c r="N2085" s="213"/>
      <c r="O2085" s="213"/>
      <c r="P2085" s="213"/>
      <c r="Q2085" s="213"/>
      <c r="R2085" s="214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</row>
    <row r="2086" ht="46.5" customHeight="1">
      <c r="A2086" s="2"/>
      <c r="B2086" s="67" t="s">
        <v>64</v>
      </c>
      <c r="C2086" s="68"/>
      <c r="D2086" s="69" t="str">
        <f>MONEYTEXT(R2086, "INR")</f>
        <v/>
      </c>
      <c r="E2086" s="68"/>
      <c r="F2086" s="68"/>
      <c r="G2086" s="68"/>
      <c r="H2086" s="68"/>
      <c r="I2086" s="68"/>
      <c r="J2086" s="68"/>
      <c r="K2086" s="68"/>
      <c r="L2086" s="68"/>
      <c r="M2086" s="68"/>
      <c r="N2086" s="215" t="s">
        <v>65</v>
      </c>
      <c r="O2086" s="4"/>
      <c r="P2086" s="216">
        <f t="shared" ref="P2086:R2086" si="166">SUM(P2075:P2084)</f>
        <v>36810.85</v>
      </c>
      <c r="Q2086" s="216">
        <f t="shared" si="166"/>
        <v>0</v>
      </c>
      <c r="R2086" s="216">
        <f t="shared" si="166"/>
        <v>36810.85</v>
      </c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</row>
    <row r="2087" ht="55.5" customHeight="1">
      <c r="A2087" s="2"/>
      <c r="B2087" s="67" t="s">
        <v>66</v>
      </c>
      <c r="C2087" s="68"/>
      <c r="D2087" s="68"/>
      <c r="E2087" s="68"/>
      <c r="F2087" s="68"/>
      <c r="G2087" s="68"/>
      <c r="H2087" s="68"/>
      <c r="I2087" s="68"/>
      <c r="J2087" s="68"/>
      <c r="K2087" s="68"/>
      <c r="L2087" s="68"/>
      <c r="M2087" s="68"/>
      <c r="N2087" s="68"/>
      <c r="O2087" s="76"/>
      <c r="P2087" s="217" t="s">
        <v>67</v>
      </c>
      <c r="Q2087" s="31"/>
      <c r="R2087" s="3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</row>
    <row r="2088" ht="46.5" customHeight="1">
      <c r="A2088" s="2"/>
      <c r="B2088" s="79" t="s">
        <v>68</v>
      </c>
      <c r="P2088" s="27"/>
      <c r="Q2088" s="27"/>
      <c r="R2088" s="83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</row>
    <row r="2089">
      <c r="A2089" s="2"/>
      <c r="B2089" s="79" t="s">
        <v>70</v>
      </c>
      <c r="P2089" s="27"/>
      <c r="Q2089" s="27"/>
      <c r="R2089" s="83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</row>
    <row r="2090" ht="39.0" customHeight="1">
      <c r="A2090" s="2"/>
      <c r="B2090" s="8"/>
      <c r="C2090" s="6"/>
      <c r="D2090" s="6"/>
      <c r="E2090" s="6"/>
      <c r="F2090" s="6"/>
      <c r="G2090" s="6"/>
      <c r="H2090" s="6"/>
      <c r="I2090" s="6"/>
      <c r="J2090" s="6"/>
      <c r="K2090" s="6"/>
      <c r="L2090" s="6"/>
      <c r="M2090" s="6"/>
      <c r="N2090" s="6"/>
      <c r="O2090" s="6"/>
      <c r="P2090" s="6"/>
      <c r="Q2090" s="6"/>
      <c r="R2090" s="65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</row>
    <row r="2091">
      <c r="A2091" s="2"/>
      <c r="B2091" s="8"/>
      <c r="C2091" s="6"/>
      <c r="D2091" s="6"/>
      <c r="E2091" s="6"/>
      <c r="F2091" s="6"/>
      <c r="G2091" s="6"/>
      <c r="H2091" s="6"/>
      <c r="I2091" s="6"/>
      <c r="J2091" s="6"/>
      <c r="K2091" s="218" t="s">
        <v>71</v>
      </c>
      <c r="L2091" s="6"/>
      <c r="M2091" s="6"/>
      <c r="N2091" s="6"/>
      <c r="O2091" s="6"/>
      <c r="P2091" s="219" t="s">
        <v>72</v>
      </c>
      <c r="R2091" s="10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</row>
    <row r="2092">
      <c r="A2092" s="2"/>
      <c r="B2092" s="88"/>
      <c r="C2092" s="34"/>
      <c r="D2092" s="34"/>
      <c r="E2092" s="34"/>
      <c r="F2092" s="34"/>
      <c r="G2092" s="34"/>
      <c r="H2092" s="34"/>
      <c r="I2092" s="34"/>
      <c r="J2092" s="34"/>
      <c r="K2092" s="34"/>
      <c r="L2092" s="34"/>
      <c r="M2092" s="34"/>
      <c r="N2092" s="34"/>
      <c r="O2092" s="34"/>
      <c r="P2092" s="34"/>
      <c r="Q2092" s="34"/>
      <c r="R2092" s="89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</row>
    <row r="2093">
      <c r="A2093" s="2"/>
      <c r="B2093" s="177"/>
      <c r="C2093" s="177"/>
      <c r="D2093" s="177"/>
      <c r="E2093" s="177"/>
      <c r="F2093" s="177"/>
      <c r="G2093" s="177"/>
      <c r="H2093" s="177"/>
      <c r="I2093" s="177"/>
      <c r="J2093" s="177"/>
      <c r="K2093" s="177"/>
      <c r="L2093" s="177"/>
      <c r="M2093" s="177"/>
      <c r="N2093" s="177"/>
      <c r="O2093" s="177"/>
      <c r="P2093" s="177"/>
      <c r="Q2093" s="177"/>
      <c r="R2093" s="177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</row>
    <row r="2094">
      <c r="A2094" s="2"/>
      <c r="B2094" s="177"/>
      <c r="C2094" s="177"/>
      <c r="D2094" s="177"/>
      <c r="E2094" s="177"/>
      <c r="F2094" s="177"/>
      <c r="G2094" s="177"/>
      <c r="H2094" s="177"/>
      <c r="I2094" s="177"/>
      <c r="J2094" s="177"/>
      <c r="K2094" s="177"/>
      <c r="L2094" s="177"/>
      <c r="M2094" s="177"/>
      <c r="N2094" s="177"/>
      <c r="O2094" s="177"/>
      <c r="P2094" s="177"/>
      <c r="Q2094" s="177"/>
      <c r="R2094" s="177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</row>
    <row r="2095">
      <c r="A2095" s="2"/>
      <c r="B2095" s="177"/>
      <c r="C2095" s="177"/>
      <c r="D2095" s="177"/>
      <c r="E2095" s="177"/>
      <c r="F2095" s="177"/>
      <c r="G2095" s="177"/>
      <c r="H2095" s="177"/>
      <c r="I2095" s="177"/>
      <c r="J2095" s="177"/>
      <c r="K2095" s="177"/>
      <c r="L2095" s="177"/>
      <c r="M2095" s="177"/>
      <c r="N2095" s="177"/>
      <c r="O2095" s="177"/>
      <c r="P2095" s="177"/>
      <c r="Q2095" s="177"/>
      <c r="R2095" s="177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</row>
    <row r="2096">
      <c r="A2096" s="2"/>
      <c r="B2096" s="177"/>
      <c r="C2096" s="177"/>
      <c r="D2096" s="177"/>
      <c r="E2096" s="177"/>
      <c r="F2096" s="177"/>
      <c r="G2096" s="177"/>
      <c r="H2096" s="177"/>
      <c r="I2096" s="177"/>
      <c r="J2096" s="177"/>
      <c r="K2096" s="177"/>
      <c r="L2096" s="177"/>
      <c r="M2096" s="177"/>
      <c r="N2096" s="177"/>
      <c r="O2096" s="177"/>
      <c r="P2096" s="177"/>
      <c r="Q2096" s="177"/>
      <c r="R2096" s="177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</row>
    <row r="2097">
      <c r="A2097" s="2"/>
      <c r="B2097" s="220" t="s">
        <v>1</v>
      </c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5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</row>
    <row r="2098">
      <c r="A2098" s="2"/>
      <c r="B2098" s="221"/>
      <c r="F2098" s="98"/>
      <c r="G2098" s="98"/>
      <c r="H2098" s="98"/>
      <c r="I2098" s="98"/>
      <c r="J2098" s="98" t="s">
        <v>2</v>
      </c>
      <c r="N2098" s="222"/>
      <c r="R2098" s="10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</row>
    <row r="2099">
      <c r="A2099" s="2"/>
      <c r="B2099" s="223"/>
      <c r="F2099" s="98"/>
      <c r="G2099" s="98"/>
      <c r="H2099" s="98"/>
      <c r="I2099" s="98"/>
      <c r="J2099" s="98" t="s">
        <v>3</v>
      </c>
      <c r="N2099" s="222"/>
      <c r="R2099" s="10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</row>
    <row r="2100">
      <c r="A2100" s="2"/>
      <c r="B2100" s="13" t="s">
        <v>4</v>
      </c>
      <c r="R2100" s="10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</row>
    <row r="2101">
      <c r="A2101" s="2"/>
      <c r="B2101" s="16" t="s">
        <v>5</v>
      </c>
      <c r="C2101" s="17" t="s">
        <v>6</v>
      </c>
      <c r="D2101" s="4"/>
      <c r="E2101" s="4"/>
      <c r="F2101" s="4"/>
      <c r="G2101" s="4"/>
      <c r="H2101" s="4"/>
      <c r="I2101" s="4"/>
      <c r="J2101" s="4"/>
      <c r="K2101" s="5"/>
      <c r="L2101" s="18" t="s">
        <v>7</v>
      </c>
      <c r="M2101" s="224">
        <v>82.0</v>
      </c>
      <c r="N2101" s="20"/>
      <c r="O2101" s="4"/>
      <c r="P2101" s="4"/>
      <c r="Q2101" s="4"/>
      <c r="R2101" s="5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</row>
    <row r="2102">
      <c r="A2102" s="2"/>
      <c r="B2102" s="26"/>
      <c r="C2102" s="27" t="s">
        <v>8</v>
      </c>
      <c r="K2102" s="10"/>
      <c r="L2102" s="18" t="s">
        <v>9</v>
      </c>
      <c r="M2102" s="225" t="s">
        <v>178</v>
      </c>
      <c r="N2102" s="6"/>
      <c r="R2102" s="10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</row>
    <row r="2103">
      <c r="A2103" s="2"/>
      <c r="B2103" s="16" t="s">
        <v>11</v>
      </c>
      <c r="C2103" s="30" t="s">
        <v>12</v>
      </c>
      <c r="D2103" s="31"/>
      <c r="E2103" s="31"/>
      <c r="F2103" s="31"/>
      <c r="G2103" s="31"/>
      <c r="H2103" s="31"/>
      <c r="I2103" s="31"/>
      <c r="J2103" s="31"/>
      <c r="K2103" s="32"/>
      <c r="L2103" s="18" t="s">
        <v>13</v>
      </c>
      <c r="M2103" s="226" t="s">
        <v>14</v>
      </c>
      <c r="N2103" s="34"/>
      <c r="O2103" s="31"/>
      <c r="P2103" s="31"/>
      <c r="Q2103" s="31"/>
      <c r="R2103" s="3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</row>
    <row r="2104">
      <c r="A2104" s="2"/>
      <c r="B2104" s="8"/>
      <c r="R2104" s="10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</row>
    <row r="2105">
      <c r="A2105" s="2"/>
      <c r="B2105" s="39" t="s">
        <v>15</v>
      </c>
      <c r="C2105" s="40" t="s">
        <v>16</v>
      </c>
      <c r="D2105" s="41" t="s">
        <v>17</v>
      </c>
      <c r="E2105" s="41" t="s">
        <v>18</v>
      </c>
      <c r="F2105" s="42" t="s">
        <v>19</v>
      </c>
      <c r="G2105" s="43"/>
      <c r="H2105" s="43"/>
      <c r="I2105" s="43"/>
      <c r="J2105" s="44"/>
      <c r="K2105" s="41" t="s">
        <v>20</v>
      </c>
      <c r="L2105" s="41" t="s">
        <v>21</v>
      </c>
      <c r="M2105" s="41" t="s">
        <v>22</v>
      </c>
      <c r="N2105" s="41" t="s">
        <v>23</v>
      </c>
      <c r="O2105" s="41" t="s">
        <v>24</v>
      </c>
      <c r="P2105" s="41" t="s">
        <v>25</v>
      </c>
      <c r="Q2105" s="41" t="s">
        <v>26</v>
      </c>
      <c r="R2105" s="45" t="s">
        <v>27</v>
      </c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</row>
    <row r="2106">
      <c r="A2106" s="2"/>
      <c r="B2106" s="227">
        <v>1.0</v>
      </c>
      <c r="C2106" s="228">
        <v>1.004720739E9</v>
      </c>
      <c r="D2106" s="229">
        <v>46028.0</v>
      </c>
      <c r="E2106" s="228" t="s">
        <v>51</v>
      </c>
      <c r="F2106" s="228" t="s">
        <v>44</v>
      </c>
      <c r="G2106" s="228" t="s">
        <v>49</v>
      </c>
      <c r="H2106" s="228"/>
      <c r="I2106" s="230"/>
      <c r="J2106" s="230"/>
      <c r="K2106" s="228" t="s">
        <v>45</v>
      </c>
      <c r="L2106" s="228" t="s">
        <v>99</v>
      </c>
      <c r="M2106" s="228">
        <v>1356.0</v>
      </c>
      <c r="N2106" s="228">
        <v>230.0</v>
      </c>
      <c r="O2106" s="228">
        <v>15.53</v>
      </c>
      <c r="P2106" s="230">
        <f t="shared" ref="P2106:P2115" si="167">N2106*O2106</f>
        <v>3571.9</v>
      </c>
      <c r="Q2106" s="228"/>
      <c r="R2106" s="231">
        <f t="shared" ref="R2106:R2115" si="168">P2106+Q2106</f>
        <v>3571.9</v>
      </c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</row>
    <row r="2107">
      <c r="A2107" s="2"/>
      <c r="B2107" s="227">
        <v>2.0</v>
      </c>
      <c r="C2107" s="228">
        <v>1.004720735E9</v>
      </c>
      <c r="D2107" s="229">
        <v>46028.0</v>
      </c>
      <c r="E2107" s="228" t="s">
        <v>51</v>
      </c>
      <c r="F2107" s="228" t="s">
        <v>44</v>
      </c>
      <c r="G2107" s="228"/>
      <c r="H2107" s="228"/>
      <c r="I2107" s="230"/>
      <c r="J2107" s="230"/>
      <c r="K2107" s="228" t="s">
        <v>45</v>
      </c>
      <c r="L2107" s="228" t="s">
        <v>179</v>
      </c>
      <c r="M2107" s="228">
        <v>1749.0</v>
      </c>
      <c r="N2107" s="228">
        <v>230.0</v>
      </c>
      <c r="O2107" s="228">
        <v>15.53</v>
      </c>
      <c r="P2107" s="230">
        <f t="shared" si="167"/>
        <v>3571.9</v>
      </c>
      <c r="Q2107" s="230"/>
      <c r="R2107" s="231">
        <f t="shared" si="168"/>
        <v>3571.9</v>
      </c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</row>
    <row r="2108">
      <c r="A2108" s="2"/>
      <c r="B2108" s="227">
        <v>3.0</v>
      </c>
      <c r="C2108" s="228">
        <v>1.004721112E9</v>
      </c>
      <c r="D2108" s="229">
        <v>46028.0</v>
      </c>
      <c r="E2108" s="228" t="s">
        <v>90</v>
      </c>
      <c r="F2108" s="228" t="s">
        <v>91</v>
      </c>
      <c r="G2108" s="228" t="s">
        <v>83</v>
      </c>
      <c r="H2108" s="230"/>
      <c r="I2108" s="230"/>
      <c r="J2108" s="230"/>
      <c r="K2108" s="228" t="s">
        <v>38</v>
      </c>
      <c r="L2108" s="228" t="s">
        <v>124</v>
      </c>
      <c r="M2108" s="228">
        <v>2797.0</v>
      </c>
      <c r="N2108" s="228">
        <v>216.0</v>
      </c>
      <c r="O2108" s="228">
        <v>19.28</v>
      </c>
      <c r="P2108" s="230">
        <f t="shared" si="167"/>
        <v>4164.48</v>
      </c>
      <c r="Q2108" s="230"/>
      <c r="R2108" s="231">
        <f t="shared" si="168"/>
        <v>4164.48</v>
      </c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</row>
    <row r="2109">
      <c r="A2109" s="2"/>
      <c r="B2109" s="227">
        <v>4.0</v>
      </c>
      <c r="C2109" s="228">
        <v>1.004720866E9</v>
      </c>
      <c r="D2109" s="229">
        <v>46028.0</v>
      </c>
      <c r="E2109" s="228" t="s">
        <v>77</v>
      </c>
      <c r="F2109" s="228" t="s">
        <v>78</v>
      </c>
      <c r="G2109" s="228"/>
      <c r="H2109" s="230"/>
      <c r="I2109" s="230"/>
      <c r="J2109" s="230"/>
      <c r="K2109" s="228" t="s">
        <v>80</v>
      </c>
      <c r="L2109" s="228" t="s">
        <v>104</v>
      </c>
      <c r="M2109" s="228">
        <v>2342.0</v>
      </c>
      <c r="N2109" s="228">
        <v>266.0</v>
      </c>
      <c r="O2109" s="228">
        <v>18.28</v>
      </c>
      <c r="P2109" s="230">
        <f t="shared" si="167"/>
        <v>4862.48</v>
      </c>
      <c r="Q2109" s="230"/>
      <c r="R2109" s="231">
        <f t="shared" si="168"/>
        <v>4862.48</v>
      </c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</row>
    <row r="2110">
      <c r="A2110" s="2"/>
      <c r="B2110" s="227">
        <v>5.0</v>
      </c>
      <c r="C2110" s="228">
        <v>1.004720854E9</v>
      </c>
      <c r="D2110" s="229">
        <v>46028.0</v>
      </c>
      <c r="E2110" s="228" t="s">
        <v>77</v>
      </c>
      <c r="F2110" s="228" t="s">
        <v>116</v>
      </c>
      <c r="G2110" s="228" t="s">
        <v>78</v>
      </c>
      <c r="H2110" s="228" t="s">
        <v>79</v>
      </c>
      <c r="I2110" s="228" t="s">
        <v>128</v>
      </c>
      <c r="J2110" s="230"/>
      <c r="K2110" s="228" t="s">
        <v>38</v>
      </c>
      <c r="L2110" s="228" t="s">
        <v>81</v>
      </c>
      <c r="M2110" s="228">
        <v>3300.0</v>
      </c>
      <c r="N2110" s="228">
        <v>462.0</v>
      </c>
      <c r="O2110" s="228">
        <v>19.28</v>
      </c>
      <c r="P2110" s="230">
        <f t="shared" si="167"/>
        <v>8907.36</v>
      </c>
      <c r="Q2110" s="228">
        <v>505.0</v>
      </c>
      <c r="R2110" s="231">
        <f t="shared" si="168"/>
        <v>9412.36</v>
      </c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</row>
    <row r="2111" ht="34.5" customHeight="1">
      <c r="A2111" s="2"/>
      <c r="B2111" s="227">
        <v>6.0</v>
      </c>
      <c r="C2111" s="228">
        <v>1.004721129E9</v>
      </c>
      <c r="D2111" s="229">
        <v>46028.0</v>
      </c>
      <c r="E2111" s="228" t="s">
        <v>61</v>
      </c>
      <c r="F2111" s="228" t="s">
        <v>74</v>
      </c>
      <c r="G2111" s="228" t="s">
        <v>62</v>
      </c>
      <c r="H2111" s="230"/>
      <c r="I2111" s="230"/>
      <c r="J2111" s="230"/>
      <c r="K2111" s="228" t="s">
        <v>80</v>
      </c>
      <c r="L2111" s="228" t="s">
        <v>76</v>
      </c>
      <c r="M2111" s="228">
        <v>2621.0</v>
      </c>
      <c r="N2111" s="228">
        <v>330.0</v>
      </c>
      <c r="O2111" s="228">
        <v>18.28</v>
      </c>
      <c r="P2111" s="230">
        <f t="shared" si="167"/>
        <v>6032.4</v>
      </c>
      <c r="Q2111" s="228">
        <v>820.0</v>
      </c>
      <c r="R2111" s="231">
        <f t="shared" si="168"/>
        <v>6852.4</v>
      </c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</row>
    <row r="2112" ht="44.25" customHeight="1">
      <c r="A2112" s="2"/>
      <c r="B2112" s="227">
        <v>7.0</v>
      </c>
      <c r="C2112" s="228">
        <v>1.004721122E9</v>
      </c>
      <c r="D2112" s="229">
        <v>46028.0</v>
      </c>
      <c r="E2112" s="228" t="s">
        <v>61</v>
      </c>
      <c r="F2112" s="228" t="s">
        <v>73</v>
      </c>
      <c r="G2112" s="228" t="s">
        <v>75</v>
      </c>
      <c r="H2112" s="228" t="s">
        <v>74</v>
      </c>
      <c r="I2112" s="230"/>
      <c r="J2112" s="230"/>
      <c r="K2112" s="228" t="s">
        <v>38</v>
      </c>
      <c r="L2112" s="228" t="s">
        <v>110</v>
      </c>
      <c r="M2112" s="228">
        <v>3014.0</v>
      </c>
      <c r="N2112" s="228">
        <v>560.0</v>
      </c>
      <c r="O2112" s="228">
        <v>19.28</v>
      </c>
      <c r="P2112" s="230">
        <f t="shared" si="167"/>
        <v>10796.8</v>
      </c>
      <c r="Q2112" s="228">
        <v>1085.0</v>
      </c>
      <c r="R2112" s="231">
        <f t="shared" si="168"/>
        <v>11881.8</v>
      </c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</row>
    <row r="2113">
      <c r="A2113" s="2"/>
      <c r="B2113" s="227">
        <v>8.0</v>
      </c>
      <c r="C2113" s="228">
        <v>1.004721081E9</v>
      </c>
      <c r="D2113" s="229">
        <v>46028.0</v>
      </c>
      <c r="E2113" s="228" t="s">
        <v>82</v>
      </c>
      <c r="F2113" s="228" t="s">
        <v>86</v>
      </c>
      <c r="G2113" s="228" t="s">
        <v>87</v>
      </c>
      <c r="H2113" s="228" t="s">
        <v>84</v>
      </c>
      <c r="I2113" s="230"/>
      <c r="J2113" s="230"/>
      <c r="K2113" s="228" t="s">
        <v>38</v>
      </c>
      <c r="L2113" s="228" t="s">
        <v>101</v>
      </c>
      <c r="M2113" s="228">
        <v>3618.0</v>
      </c>
      <c r="N2113" s="228">
        <v>428.0</v>
      </c>
      <c r="O2113" s="228">
        <v>19.28</v>
      </c>
      <c r="P2113" s="230">
        <f t="shared" si="167"/>
        <v>8251.84</v>
      </c>
      <c r="Q2113" s="228">
        <v>755.0</v>
      </c>
      <c r="R2113" s="231">
        <f t="shared" si="168"/>
        <v>9006.84</v>
      </c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</row>
    <row r="2114">
      <c r="A2114" s="2"/>
      <c r="B2114" s="227">
        <v>9.0</v>
      </c>
      <c r="C2114" s="228">
        <v>1.004721026E9</v>
      </c>
      <c r="D2114" s="229">
        <v>46028.0</v>
      </c>
      <c r="E2114" s="228" t="s">
        <v>55</v>
      </c>
      <c r="F2114" s="228" t="s">
        <v>56</v>
      </c>
      <c r="G2114" s="228" t="s">
        <v>57</v>
      </c>
      <c r="H2114" s="228" t="s">
        <v>103</v>
      </c>
      <c r="I2114" s="228" t="s">
        <v>58</v>
      </c>
      <c r="J2114" s="228" t="s">
        <v>59</v>
      </c>
      <c r="K2114" s="228" t="s">
        <v>38</v>
      </c>
      <c r="L2114" s="228" t="s">
        <v>60</v>
      </c>
      <c r="M2114" s="228">
        <v>3390.0</v>
      </c>
      <c r="N2114" s="228">
        <v>572.0</v>
      </c>
      <c r="O2114" s="228">
        <v>19.28</v>
      </c>
      <c r="P2114" s="230">
        <f t="shared" si="167"/>
        <v>11028.16</v>
      </c>
      <c r="Q2114" s="228">
        <v>330.0</v>
      </c>
      <c r="R2114" s="231">
        <f t="shared" si="168"/>
        <v>11358.16</v>
      </c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</row>
    <row r="2115">
      <c r="A2115" s="2"/>
      <c r="B2115" s="227">
        <v>10.0</v>
      </c>
      <c r="C2115" s="228">
        <v>1.004722017E9</v>
      </c>
      <c r="D2115" s="229">
        <v>46059.0</v>
      </c>
      <c r="E2115" s="228" t="s">
        <v>28</v>
      </c>
      <c r="F2115" s="228" t="s">
        <v>29</v>
      </c>
      <c r="G2115" s="228" t="s">
        <v>30</v>
      </c>
      <c r="H2115" s="228" t="s">
        <v>31</v>
      </c>
      <c r="I2115" s="230"/>
      <c r="J2115" s="230"/>
      <c r="K2115" s="228" t="s">
        <v>33</v>
      </c>
      <c r="L2115" s="228" t="s">
        <v>34</v>
      </c>
      <c r="M2115" s="228">
        <v>246.0</v>
      </c>
      <c r="N2115" s="228">
        <v>1716.0</v>
      </c>
      <c r="O2115" s="228">
        <v>15.53</v>
      </c>
      <c r="P2115" s="230">
        <f t="shared" si="167"/>
        <v>26649.48</v>
      </c>
      <c r="Q2115" s="228"/>
      <c r="R2115" s="231">
        <f t="shared" si="168"/>
        <v>26649.48</v>
      </c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</row>
    <row r="2116">
      <c r="A2116" s="2"/>
      <c r="B2116" s="8"/>
      <c r="C2116" s="6"/>
      <c r="D2116" s="6"/>
      <c r="E2116" s="6"/>
      <c r="F2116" s="6"/>
      <c r="G2116" s="6"/>
      <c r="H2116" s="6"/>
      <c r="I2116" s="6"/>
      <c r="J2116" s="6"/>
      <c r="K2116" s="6"/>
      <c r="L2116" s="6"/>
      <c r="M2116" s="6"/>
      <c r="N2116" s="6"/>
      <c r="O2116" s="6"/>
      <c r="P2116" s="6"/>
      <c r="Q2116" s="6"/>
      <c r="R2116" s="65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</row>
    <row r="2117">
      <c r="A2117" s="2"/>
      <c r="B2117" s="67" t="s">
        <v>64</v>
      </c>
      <c r="C2117" s="68"/>
      <c r="D2117" s="69" t="str">
        <f>MONEYTEXT(R2117, "INR")</f>
        <v>Ninety-one thousand three hundred thirty-one Indian rupees and eighty paise</v>
      </c>
      <c r="E2117" s="68"/>
      <c r="F2117" s="68"/>
      <c r="G2117" s="68"/>
      <c r="H2117" s="68"/>
      <c r="I2117" s="68"/>
      <c r="J2117" s="68"/>
      <c r="K2117" s="68"/>
      <c r="L2117" s="68"/>
      <c r="M2117" s="68"/>
      <c r="N2117" s="70" t="s">
        <v>65</v>
      </c>
      <c r="O2117" s="4"/>
      <c r="P2117" s="96">
        <f t="shared" ref="P2117:R2117" si="169">SUM(P2106:P2115)</f>
        <v>87836.8</v>
      </c>
      <c r="Q2117" s="96">
        <f t="shared" si="169"/>
        <v>3495</v>
      </c>
      <c r="R2117" s="96">
        <f t="shared" si="169"/>
        <v>91331.8</v>
      </c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</row>
    <row r="2118">
      <c r="A2118" s="2"/>
      <c r="B2118" s="67" t="s">
        <v>66</v>
      </c>
      <c r="C2118" s="68"/>
      <c r="D2118" s="68"/>
      <c r="E2118" s="68"/>
      <c r="F2118" s="68"/>
      <c r="G2118" s="68"/>
      <c r="H2118" s="68"/>
      <c r="I2118" s="68"/>
      <c r="J2118" s="68"/>
      <c r="K2118" s="68"/>
      <c r="L2118" s="68"/>
      <c r="M2118" s="68"/>
      <c r="N2118" s="68"/>
      <c r="O2118" s="76"/>
      <c r="P2118" s="97" t="s">
        <v>67</v>
      </c>
      <c r="Q2118" s="31"/>
      <c r="R2118" s="3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</row>
    <row r="2119">
      <c r="A2119" s="2"/>
      <c r="B2119" s="79" t="s">
        <v>68</v>
      </c>
      <c r="P2119" s="27"/>
      <c r="Q2119" s="27"/>
      <c r="R2119" s="83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</row>
    <row r="2120">
      <c r="A2120" s="2"/>
      <c r="B2120" s="79" t="s">
        <v>70</v>
      </c>
      <c r="P2120" s="27"/>
      <c r="Q2120" s="27"/>
      <c r="R2120" s="83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</row>
    <row r="2121">
      <c r="A2121" s="2"/>
      <c r="B2121" s="8"/>
      <c r="C2121" s="6"/>
      <c r="D2121" s="6"/>
      <c r="E2121" s="6"/>
      <c r="F2121" s="6"/>
      <c r="G2121" s="6"/>
      <c r="H2121" s="6"/>
      <c r="I2121" s="6"/>
      <c r="J2121" s="6"/>
      <c r="K2121" s="6"/>
      <c r="L2121" s="6"/>
      <c r="M2121" s="6"/>
      <c r="N2121" s="6"/>
      <c r="O2121" s="6"/>
      <c r="P2121" s="6"/>
      <c r="Q2121" s="6"/>
      <c r="R2121" s="65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</row>
    <row r="2122">
      <c r="A2122" s="2"/>
      <c r="B2122" s="8"/>
      <c r="C2122" s="6"/>
      <c r="D2122" s="6"/>
      <c r="E2122" s="6"/>
      <c r="F2122" s="6"/>
      <c r="G2122" s="6"/>
      <c r="H2122" s="6"/>
      <c r="I2122" s="6"/>
      <c r="J2122" s="6"/>
      <c r="K2122" s="19" t="s">
        <v>71</v>
      </c>
      <c r="L2122" s="6"/>
      <c r="M2122" s="6"/>
      <c r="N2122" s="6"/>
      <c r="O2122" s="6"/>
      <c r="P2122" s="9" t="s">
        <v>72</v>
      </c>
      <c r="R2122" s="10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</row>
    <row r="2123">
      <c r="A2123" s="2"/>
      <c r="B2123" s="88"/>
      <c r="C2123" s="34"/>
      <c r="D2123" s="34"/>
      <c r="E2123" s="34"/>
      <c r="F2123" s="34"/>
      <c r="G2123" s="34"/>
      <c r="H2123" s="34"/>
      <c r="I2123" s="34"/>
      <c r="J2123" s="34"/>
      <c r="K2123" s="34"/>
      <c r="L2123" s="34"/>
      <c r="M2123" s="34"/>
      <c r="N2123" s="34"/>
      <c r="O2123" s="34"/>
      <c r="P2123" s="34"/>
      <c r="Q2123" s="34"/>
      <c r="R2123" s="89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</row>
    <row r="2124">
      <c r="A2124" s="2"/>
      <c r="B2124" s="177"/>
      <c r="C2124" s="177"/>
      <c r="D2124" s="177"/>
      <c r="E2124" s="177"/>
      <c r="F2124" s="177"/>
      <c r="G2124" s="177"/>
      <c r="H2124" s="177"/>
      <c r="I2124" s="177"/>
      <c r="J2124" s="177"/>
      <c r="K2124" s="177"/>
      <c r="L2124" s="177"/>
      <c r="M2124" s="177"/>
      <c r="N2124" s="177"/>
      <c r="O2124" s="177"/>
      <c r="P2124" s="177"/>
      <c r="Q2124" s="177"/>
      <c r="R2124" s="177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</row>
    <row r="2125">
      <c r="A2125" s="2"/>
      <c r="B2125" s="177"/>
      <c r="C2125" s="177"/>
      <c r="D2125" s="177"/>
      <c r="E2125" s="177"/>
      <c r="F2125" s="177"/>
      <c r="G2125" s="177"/>
      <c r="H2125" s="177"/>
      <c r="I2125" s="177"/>
      <c r="J2125" s="177"/>
      <c r="K2125" s="177"/>
      <c r="L2125" s="177"/>
      <c r="M2125" s="177"/>
      <c r="N2125" s="177"/>
      <c r="O2125" s="177"/>
      <c r="P2125" s="177"/>
      <c r="Q2125" s="177"/>
      <c r="R2125" s="177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</row>
    <row r="2126">
      <c r="A2126" s="2"/>
      <c r="B2126" s="177"/>
      <c r="C2126" s="177"/>
      <c r="D2126" s="177"/>
      <c r="E2126" s="177"/>
      <c r="F2126" s="177"/>
      <c r="G2126" s="177"/>
      <c r="H2126" s="177"/>
      <c r="I2126" s="177"/>
      <c r="J2126" s="177"/>
      <c r="K2126" s="177"/>
      <c r="L2126" s="177"/>
      <c r="M2126" s="177"/>
      <c r="N2126" s="177"/>
      <c r="O2126" s="177"/>
      <c r="P2126" s="177"/>
      <c r="Q2126" s="177"/>
      <c r="R2126" s="177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</row>
    <row r="2127">
      <c r="A2127" s="2"/>
      <c r="B2127" s="177"/>
      <c r="C2127" s="177"/>
      <c r="D2127" s="177"/>
      <c r="E2127" s="177"/>
      <c r="F2127" s="177"/>
      <c r="G2127" s="177"/>
      <c r="H2127" s="177"/>
      <c r="I2127" s="177"/>
      <c r="J2127" s="177"/>
      <c r="K2127" s="177"/>
      <c r="L2127" s="177"/>
      <c r="M2127" s="177"/>
      <c r="N2127" s="177"/>
      <c r="O2127" s="177"/>
      <c r="P2127" s="177"/>
      <c r="Q2127" s="177"/>
      <c r="R2127" s="177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</row>
    <row r="2128">
      <c r="A2128" s="2"/>
      <c r="B2128" s="176" t="s">
        <v>1</v>
      </c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5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</row>
    <row r="2129">
      <c r="A2129" s="2"/>
      <c r="B2129" s="8"/>
      <c r="F2129" s="9"/>
      <c r="G2129" s="9"/>
      <c r="H2129" s="9"/>
      <c r="I2129" s="9"/>
      <c r="J2129" s="9" t="s">
        <v>2</v>
      </c>
      <c r="N2129" s="6"/>
      <c r="R2129" s="10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</row>
    <row r="2130">
      <c r="A2130" s="2"/>
      <c r="B2130" s="13"/>
      <c r="F2130" s="9"/>
      <c r="G2130" s="9"/>
      <c r="H2130" s="9"/>
      <c r="I2130" s="9"/>
      <c r="J2130" s="9" t="s">
        <v>3</v>
      </c>
      <c r="N2130" s="6"/>
      <c r="R2130" s="10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</row>
    <row r="2131">
      <c r="A2131" s="2"/>
      <c r="B2131" s="13" t="s">
        <v>4</v>
      </c>
      <c r="R2131" s="10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</row>
    <row r="2132">
      <c r="A2132" s="2"/>
      <c r="B2132" s="16" t="s">
        <v>5</v>
      </c>
      <c r="C2132" s="17" t="s">
        <v>6</v>
      </c>
      <c r="D2132" s="4"/>
      <c r="E2132" s="4"/>
      <c r="F2132" s="4"/>
      <c r="G2132" s="4"/>
      <c r="H2132" s="4"/>
      <c r="I2132" s="4"/>
      <c r="J2132" s="4"/>
      <c r="K2132" s="5"/>
      <c r="L2132" s="18" t="s">
        <v>7</v>
      </c>
      <c r="M2132" s="19">
        <v>83.0</v>
      </c>
      <c r="N2132" s="20"/>
      <c r="O2132" s="4"/>
      <c r="P2132" s="4"/>
      <c r="Q2132" s="4"/>
      <c r="R2132" s="5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</row>
    <row r="2133">
      <c r="A2133" s="2"/>
      <c r="B2133" s="26"/>
      <c r="C2133" s="27" t="s">
        <v>8</v>
      </c>
      <c r="K2133" s="10"/>
      <c r="L2133" s="18" t="s">
        <v>9</v>
      </c>
      <c r="M2133" s="9" t="s">
        <v>178</v>
      </c>
      <c r="N2133" s="6"/>
      <c r="R2133" s="10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</row>
    <row r="2134">
      <c r="A2134" s="2"/>
      <c r="B2134" s="16" t="s">
        <v>11</v>
      </c>
      <c r="C2134" s="30" t="s">
        <v>12</v>
      </c>
      <c r="D2134" s="31"/>
      <c r="E2134" s="31"/>
      <c r="F2134" s="31"/>
      <c r="G2134" s="31"/>
      <c r="H2134" s="31"/>
      <c r="I2134" s="31"/>
      <c r="J2134" s="31"/>
      <c r="K2134" s="32"/>
      <c r="L2134" s="18" t="s">
        <v>13</v>
      </c>
      <c r="M2134" s="33" t="s">
        <v>14</v>
      </c>
      <c r="N2134" s="34"/>
      <c r="O2134" s="31"/>
      <c r="P2134" s="31"/>
      <c r="Q2134" s="31"/>
      <c r="R2134" s="3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</row>
    <row r="2135">
      <c r="A2135" s="2"/>
      <c r="B2135" s="8"/>
      <c r="R2135" s="10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</row>
    <row r="2136">
      <c r="A2136" s="2"/>
      <c r="B2136" s="39" t="s">
        <v>15</v>
      </c>
      <c r="C2136" s="40" t="s">
        <v>16</v>
      </c>
      <c r="D2136" s="41" t="s">
        <v>17</v>
      </c>
      <c r="E2136" s="41" t="s">
        <v>18</v>
      </c>
      <c r="F2136" s="42" t="s">
        <v>19</v>
      </c>
      <c r="G2136" s="43"/>
      <c r="H2136" s="43"/>
      <c r="I2136" s="43"/>
      <c r="J2136" s="44"/>
      <c r="K2136" s="41" t="s">
        <v>20</v>
      </c>
      <c r="L2136" s="41" t="s">
        <v>21</v>
      </c>
      <c r="M2136" s="41" t="s">
        <v>22</v>
      </c>
      <c r="N2136" s="41" t="s">
        <v>23</v>
      </c>
      <c r="O2136" s="41" t="s">
        <v>24</v>
      </c>
      <c r="P2136" s="41" t="s">
        <v>25</v>
      </c>
      <c r="Q2136" s="41" t="s">
        <v>26</v>
      </c>
      <c r="R2136" s="45" t="s">
        <v>27</v>
      </c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</row>
    <row r="2137">
      <c r="A2137" s="2"/>
      <c r="B2137" s="52">
        <v>1.0</v>
      </c>
      <c r="C2137" s="53">
        <v>1.004722024E9</v>
      </c>
      <c r="D2137" s="54">
        <v>46059.0</v>
      </c>
      <c r="E2137" s="53" t="s">
        <v>35</v>
      </c>
      <c r="F2137" s="53" t="s">
        <v>36</v>
      </c>
      <c r="G2137" s="53" t="s">
        <v>40</v>
      </c>
      <c r="H2137" s="53" t="s">
        <v>37</v>
      </c>
      <c r="I2137" s="53"/>
      <c r="J2137" s="55"/>
      <c r="K2137" s="53" t="s">
        <v>38</v>
      </c>
      <c r="L2137" s="53" t="s">
        <v>96</v>
      </c>
      <c r="M2137" s="53">
        <v>3347.0</v>
      </c>
      <c r="N2137" s="53">
        <v>200.0</v>
      </c>
      <c r="O2137" s="53">
        <v>19.28</v>
      </c>
      <c r="P2137" s="55">
        <f t="shared" ref="P2137:P2146" si="170">N2137*O2137</f>
        <v>3856</v>
      </c>
      <c r="Q2137" s="53"/>
      <c r="R2137" s="105">
        <f t="shared" ref="R2137:R2146" si="171">P2137+Q2137</f>
        <v>3856</v>
      </c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</row>
    <row r="2138">
      <c r="A2138" s="2"/>
      <c r="B2138" s="52">
        <v>2.0</v>
      </c>
      <c r="C2138" s="53">
        <v>1.004722551E9</v>
      </c>
      <c r="D2138" s="54">
        <v>46059.0</v>
      </c>
      <c r="E2138" s="53" t="s">
        <v>35</v>
      </c>
      <c r="F2138" s="53" t="s">
        <v>36</v>
      </c>
      <c r="G2138" s="53"/>
      <c r="H2138" s="53"/>
      <c r="I2138" s="55"/>
      <c r="J2138" s="55"/>
      <c r="K2138" s="53" t="s">
        <v>38</v>
      </c>
      <c r="L2138" s="53" t="s">
        <v>97</v>
      </c>
      <c r="M2138" s="53">
        <v>3434.0</v>
      </c>
      <c r="N2138" s="53">
        <v>130.0</v>
      </c>
      <c r="O2138" s="53">
        <v>19.28</v>
      </c>
      <c r="P2138" s="55">
        <f t="shared" si="170"/>
        <v>2506.4</v>
      </c>
      <c r="Q2138" s="55"/>
      <c r="R2138" s="105">
        <f t="shared" si="171"/>
        <v>2506.4</v>
      </c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</row>
    <row r="2139">
      <c r="A2139" s="2"/>
      <c r="B2139" s="52">
        <v>3.0</v>
      </c>
      <c r="C2139" s="53">
        <v>1.004722385E9</v>
      </c>
      <c r="D2139" s="54">
        <v>46059.0</v>
      </c>
      <c r="E2139" s="53" t="s">
        <v>47</v>
      </c>
      <c r="F2139" s="53" t="s">
        <v>44</v>
      </c>
      <c r="G2139" s="53" t="s">
        <v>48</v>
      </c>
      <c r="H2139" s="55"/>
      <c r="I2139" s="55"/>
      <c r="J2139" s="55"/>
      <c r="K2139" s="53" t="s">
        <v>45</v>
      </c>
      <c r="L2139" s="53" t="s">
        <v>98</v>
      </c>
      <c r="M2139" s="53">
        <v>1446.0</v>
      </c>
      <c r="N2139" s="53">
        <v>250.0</v>
      </c>
      <c r="O2139" s="53">
        <v>15.53</v>
      </c>
      <c r="P2139" s="55">
        <f t="shared" si="170"/>
        <v>3882.5</v>
      </c>
      <c r="Q2139" s="55"/>
      <c r="R2139" s="105">
        <f t="shared" si="171"/>
        <v>3882.5</v>
      </c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</row>
    <row r="2140">
      <c r="A2140" s="2"/>
      <c r="B2140" s="52">
        <v>4.0</v>
      </c>
      <c r="C2140" s="53">
        <v>1.004722436E9</v>
      </c>
      <c r="D2140" s="54">
        <v>46059.0</v>
      </c>
      <c r="E2140" s="53" t="s">
        <v>51</v>
      </c>
      <c r="F2140" s="53" t="s">
        <v>44</v>
      </c>
      <c r="G2140" s="53"/>
      <c r="H2140" s="55"/>
      <c r="I2140" s="55"/>
      <c r="J2140" s="55"/>
      <c r="K2140" s="53" t="s">
        <v>45</v>
      </c>
      <c r="L2140" s="53" t="s">
        <v>50</v>
      </c>
      <c r="M2140" s="53">
        <v>1640.0</v>
      </c>
      <c r="N2140" s="53">
        <v>230.0</v>
      </c>
      <c r="O2140" s="53">
        <v>15.53</v>
      </c>
      <c r="P2140" s="55">
        <f t="shared" si="170"/>
        <v>3571.9</v>
      </c>
      <c r="Q2140" s="55"/>
      <c r="R2140" s="105">
        <f t="shared" si="171"/>
        <v>3571.9</v>
      </c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</row>
    <row r="2141">
      <c r="A2141" s="2"/>
      <c r="B2141" s="52">
        <v>5.0</v>
      </c>
      <c r="C2141" s="53">
        <v>1.004722419E9</v>
      </c>
      <c r="D2141" s="54">
        <v>46059.0</v>
      </c>
      <c r="E2141" s="53" t="s">
        <v>51</v>
      </c>
      <c r="F2141" s="53" t="s">
        <v>44</v>
      </c>
      <c r="G2141" s="53"/>
      <c r="H2141" s="55"/>
      <c r="I2141" s="55"/>
      <c r="J2141" s="55"/>
      <c r="K2141" s="53" t="s">
        <v>45</v>
      </c>
      <c r="L2141" s="53" t="s">
        <v>52</v>
      </c>
      <c r="M2141" s="53">
        <v>1782.0</v>
      </c>
      <c r="N2141" s="53">
        <v>230.0</v>
      </c>
      <c r="O2141" s="53">
        <v>15.53</v>
      </c>
      <c r="P2141" s="55">
        <f t="shared" si="170"/>
        <v>3571.9</v>
      </c>
      <c r="Q2141" s="55"/>
      <c r="R2141" s="105">
        <f t="shared" si="171"/>
        <v>3571.9</v>
      </c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</row>
    <row r="2142">
      <c r="A2142" s="2"/>
      <c r="B2142" s="52">
        <v>6.0</v>
      </c>
      <c r="C2142" s="53">
        <v>1.004723176E9</v>
      </c>
      <c r="D2142" s="54">
        <v>46059.0</v>
      </c>
      <c r="E2142" s="53" t="s">
        <v>51</v>
      </c>
      <c r="F2142" s="53" t="s">
        <v>44</v>
      </c>
      <c r="G2142" s="55"/>
      <c r="H2142" s="55"/>
      <c r="I2142" s="55"/>
      <c r="J2142" s="55"/>
      <c r="K2142" s="53" t="s">
        <v>45</v>
      </c>
      <c r="L2142" s="53" t="s">
        <v>99</v>
      </c>
      <c r="M2142" s="53">
        <v>1451.0</v>
      </c>
      <c r="N2142" s="53">
        <v>230.0</v>
      </c>
      <c r="O2142" s="53">
        <v>15.53</v>
      </c>
      <c r="P2142" s="55">
        <f t="shared" si="170"/>
        <v>3571.9</v>
      </c>
      <c r="Q2142" s="55"/>
      <c r="R2142" s="105">
        <f t="shared" si="171"/>
        <v>3571.9</v>
      </c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</row>
    <row r="2143">
      <c r="A2143" s="2"/>
      <c r="B2143" s="52">
        <v>7.0</v>
      </c>
      <c r="C2143" s="53">
        <v>1.00472318E9</v>
      </c>
      <c r="D2143" s="54">
        <v>46059.0</v>
      </c>
      <c r="E2143" s="53" t="s">
        <v>51</v>
      </c>
      <c r="F2143" s="53" t="s">
        <v>44</v>
      </c>
      <c r="G2143" s="53"/>
      <c r="H2143" s="53"/>
      <c r="I2143" s="55"/>
      <c r="J2143" s="55"/>
      <c r="K2143" s="53" t="s">
        <v>45</v>
      </c>
      <c r="L2143" s="53" t="s">
        <v>123</v>
      </c>
      <c r="M2143" s="53">
        <v>1598.0</v>
      </c>
      <c r="N2143" s="53">
        <v>230.0</v>
      </c>
      <c r="O2143" s="53">
        <v>15.53</v>
      </c>
      <c r="P2143" s="55">
        <f t="shared" si="170"/>
        <v>3571.9</v>
      </c>
      <c r="Q2143" s="55"/>
      <c r="R2143" s="105">
        <f t="shared" si="171"/>
        <v>3571.9</v>
      </c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</row>
    <row r="2144">
      <c r="A2144" s="2"/>
      <c r="B2144" s="52">
        <v>8.0</v>
      </c>
      <c r="C2144" s="53">
        <v>1.004723267E9</v>
      </c>
      <c r="D2144" s="54">
        <v>46059.0</v>
      </c>
      <c r="E2144" s="53" t="s">
        <v>106</v>
      </c>
      <c r="F2144" s="53" t="s">
        <v>107</v>
      </c>
      <c r="G2144" s="53" t="s">
        <v>108</v>
      </c>
      <c r="H2144" s="53"/>
      <c r="I2144" s="55"/>
      <c r="J2144" s="55"/>
      <c r="K2144" s="53" t="s">
        <v>33</v>
      </c>
      <c r="L2144" s="53" t="s">
        <v>104</v>
      </c>
      <c r="M2144" s="53">
        <v>1628.0</v>
      </c>
      <c r="N2144" s="53">
        <v>410.0</v>
      </c>
      <c r="O2144" s="53">
        <v>15.53</v>
      </c>
      <c r="P2144" s="55">
        <f t="shared" si="170"/>
        <v>6367.3</v>
      </c>
      <c r="Q2144" s="55"/>
      <c r="R2144" s="105">
        <f t="shared" si="171"/>
        <v>6367.3</v>
      </c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</row>
    <row r="2145">
      <c r="A2145" s="2"/>
      <c r="B2145" s="52">
        <v>9.0</v>
      </c>
      <c r="C2145" s="53">
        <v>1.004723263E9</v>
      </c>
      <c r="D2145" s="54">
        <v>46059.0</v>
      </c>
      <c r="E2145" s="53" t="s">
        <v>106</v>
      </c>
      <c r="F2145" s="53" t="s">
        <v>108</v>
      </c>
      <c r="G2145" s="53" t="s">
        <v>109</v>
      </c>
      <c r="H2145" s="53"/>
      <c r="I2145" s="55"/>
      <c r="J2145" s="55"/>
      <c r="K2145" s="53" t="s">
        <v>38</v>
      </c>
      <c r="L2145" s="53" t="s">
        <v>118</v>
      </c>
      <c r="M2145" s="53">
        <v>3010.0</v>
      </c>
      <c r="N2145" s="53">
        <v>482.0</v>
      </c>
      <c r="O2145" s="53">
        <v>19.28</v>
      </c>
      <c r="P2145" s="55">
        <f t="shared" si="170"/>
        <v>9292.96</v>
      </c>
      <c r="Q2145" s="53">
        <v>1040.0</v>
      </c>
      <c r="R2145" s="105">
        <f t="shared" si="171"/>
        <v>10332.96</v>
      </c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</row>
    <row r="2146">
      <c r="A2146" s="2"/>
      <c r="B2146" s="52">
        <v>10.0</v>
      </c>
      <c r="C2146" s="53">
        <v>1.004723502E9</v>
      </c>
      <c r="D2146" s="54">
        <v>46059.0</v>
      </c>
      <c r="E2146" s="53" t="s">
        <v>55</v>
      </c>
      <c r="F2146" s="53" t="s">
        <v>57</v>
      </c>
      <c r="G2146" s="53" t="s">
        <v>59</v>
      </c>
      <c r="H2146" s="53" t="s">
        <v>58</v>
      </c>
      <c r="I2146" s="55"/>
      <c r="J2146" s="55"/>
      <c r="K2146" s="53" t="s">
        <v>80</v>
      </c>
      <c r="L2146" s="53" t="s">
        <v>76</v>
      </c>
      <c r="M2146" s="53">
        <v>2273.0</v>
      </c>
      <c r="N2146" s="53">
        <v>518.0</v>
      </c>
      <c r="O2146" s="53">
        <v>18.28</v>
      </c>
      <c r="P2146" s="55">
        <f t="shared" si="170"/>
        <v>9469.04</v>
      </c>
      <c r="Q2146" s="53">
        <v>480.0</v>
      </c>
      <c r="R2146" s="105">
        <f t="shared" si="171"/>
        <v>9949.04</v>
      </c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</row>
    <row r="2147">
      <c r="A2147" s="2"/>
      <c r="B2147" s="8"/>
      <c r="C2147" s="6"/>
      <c r="D2147" s="6"/>
      <c r="E2147" s="6"/>
      <c r="F2147" s="6"/>
      <c r="G2147" s="6"/>
      <c r="H2147" s="6"/>
      <c r="I2147" s="6"/>
      <c r="J2147" s="6"/>
      <c r="K2147" s="6"/>
      <c r="L2147" s="6"/>
      <c r="M2147" s="6"/>
      <c r="N2147" s="6"/>
      <c r="O2147" s="6"/>
      <c r="P2147" s="6"/>
      <c r="Q2147" s="6"/>
      <c r="R2147" s="65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</row>
    <row r="2148">
      <c r="A2148" s="2"/>
      <c r="B2148" s="67" t="s">
        <v>64</v>
      </c>
      <c r="C2148" s="68"/>
      <c r="D2148" s="69" t="str">
        <f>MONEYTEXT(R2148, "INR")</f>
        <v>Fifty-one thousand one hundred eighty-one Indian rupees and eighty paise</v>
      </c>
      <c r="E2148" s="68"/>
      <c r="F2148" s="68"/>
      <c r="G2148" s="68"/>
      <c r="H2148" s="68"/>
      <c r="I2148" s="68"/>
      <c r="J2148" s="68"/>
      <c r="K2148" s="68"/>
      <c r="L2148" s="68"/>
      <c r="M2148" s="68"/>
      <c r="N2148" s="70" t="s">
        <v>65</v>
      </c>
      <c r="O2148" s="4"/>
      <c r="P2148" s="96">
        <f t="shared" ref="P2148:R2148" si="172">SUM(P2137:P2146)</f>
        <v>49661.8</v>
      </c>
      <c r="Q2148" s="96">
        <f t="shared" si="172"/>
        <v>1520</v>
      </c>
      <c r="R2148" s="96">
        <f t="shared" si="172"/>
        <v>51181.8</v>
      </c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</row>
    <row r="2149">
      <c r="A2149" s="2"/>
      <c r="B2149" s="67" t="s">
        <v>66</v>
      </c>
      <c r="C2149" s="68"/>
      <c r="D2149" s="68"/>
      <c r="E2149" s="68"/>
      <c r="F2149" s="68"/>
      <c r="G2149" s="68"/>
      <c r="H2149" s="68"/>
      <c r="I2149" s="68"/>
      <c r="J2149" s="68"/>
      <c r="K2149" s="68"/>
      <c r="L2149" s="68"/>
      <c r="M2149" s="68"/>
      <c r="N2149" s="68"/>
      <c r="O2149" s="76"/>
      <c r="P2149" s="97" t="s">
        <v>67</v>
      </c>
      <c r="Q2149" s="31"/>
      <c r="R2149" s="3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</row>
    <row r="2150">
      <c r="A2150" s="2"/>
      <c r="B2150" s="79" t="s">
        <v>68</v>
      </c>
      <c r="P2150" s="27"/>
      <c r="Q2150" s="27"/>
      <c r="R2150" s="83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</row>
    <row r="2151">
      <c r="A2151" s="2"/>
      <c r="B2151" s="79" t="s">
        <v>70</v>
      </c>
      <c r="P2151" s="27"/>
      <c r="Q2151" s="27"/>
      <c r="R2151" s="83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</row>
    <row r="2152">
      <c r="A2152" s="2"/>
      <c r="B2152" s="8"/>
      <c r="C2152" s="6"/>
      <c r="D2152" s="6"/>
      <c r="E2152" s="6"/>
      <c r="F2152" s="6"/>
      <c r="G2152" s="6"/>
      <c r="H2152" s="6"/>
      <c r="I2152" s="6"/>
      <c r="J2152" s="6"/>
      <c r="K2152" s="6"/>
      <c r="L2152" s="6"/>
      <c r="M2152" s="6"/>
      <c r="N2152" s="6"/>
      <c r="O2152" s="6"/>
      <c r="P2152" s="6"/>
      <c r="Q2152" s="6"/>
      <c r="R2152" s="65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</row>
    <row r="2153">
      <c r="A2153" s="2"/>
      <c r="B2153" s="8"/>
      <c r="C2153" s="6"/>
      <c r="D2153" s="6"/>
      <c r="E2153" s="6"/>
      <c r="F2153" s="6"/>
      <c r="G2153" s="6"/>
      <c r="H2153" s="6"/>
      <c r="I2153" s="6"/>
      <c r="J2153" s="6"/>
      <c r="K2153" s="19" t="s">
        <v>71</v>
      </c>
      <c r="L2153" s="6"/>
      <c r="M2153" s="6"/>
      <c r="N2153" s="6"/>
      <c r="O2153" s="6"/>
      <c r="P2153" s="9" t="s">
        <v>72</v>
      </c>
      <c r="R2153" s="10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</row>
    <row r="2154">
      <c r="A2154" s="2"/>
      <c r="B2154" s="88"/>
      <c r="C2154" s="34"/>
      <c r="D2154" s="34"/>
      <c r="E2154" s="34"/>
      <c r="F2154" s="34"/>
      <c r="G2154" s="34"/>
      <c r="H2154" s="34"/>
      <c r="I2154" s="34"/>
      <c r="J2154" s="34"/>
      <c r="K2154" s="34"/>
      <c r="L2154" s="34"/>
      <c r="M2154" s="34"/>
      <c r="N2154" s="34"/>
      <c r="O2154" s="34"/>
      <c r="P2154" s="34"/>
      <c r="Q2154" s="34"/>
      <c r="R2154" s="89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</row>
    <row r="2155">
      <c r="A2155" s="2"/>
      <c r="B2155" s="177"/>
      <c r="C2155" s="177"/>
      <c r="D2155" s="177"/>
      <c r="E2155" s="177"/>
      <c r="F2155" s="177"/>
      <c r="G2155" s="177"/>
      <c r="H2155" s="177"/>
      <c r="I2155" s="177"/>
      <c r="J2155" s="177"/>
      <c r="K2155" s="177"/>
      <c r="L2155" s="177"/>
      <c r="M2155" s="177"/>
      <c r="N2155" s="177"/>
      <c r="O2155" s="177"/>
      <c r="P2155" s="177"/>
      <c r="Q2155" s="177"/>
      <c r="R2155" s="177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</row>
    <row r="2156">
      <c r="A2156" s="2"/>
      <c r="B2156" s="177"/>
      <c r="C2156" s="177"/>
      <c r="D2156" s="177"/>
      <c r="E2156" s="177"/>
      <c r="F2156" s="177"/>
      <c r="G2156" s="177"/>
      <c r="H2156" s="177"/>
      <c r="I2156" s="177"/>
      <c r="J2156" s="177"/>
      <c r="K2156" s="177"/>
      <c r="L2156" s="177"/>
      <c r="M2156" s="177"/>
      <c r="N2156" s="177"/>
      <c r="O2156" s="177"/>
      <c r="P2156" s="177"/>
      <c r="Q2156" s="177"/>
      <c r="R2156" s="177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</row>
    <row r="2157">
      <c r="A2157" s="2"/>
      <c r="B2157" s="177"/>
      <c r="C2157" s="177"/>
      <c r="D2157" s="177"/>
      <c r="E2157" s="177"/>
      <c r="F2157" s="177"/>
      <c r="G2157" s="177"/>
      <c r="H2157" s="177"/>
      <c r="I2157" s="177"/>
      <c r="J2157" s="177"/>
      <c r="K2157" s="177"/>
      <c r="L2157" s="177"/>
      <c r="M2157" s="177"/>
      <c r="N2157" s="177"/>
      <c r="O2157" s="177"/>
      <c r="P2157" s="177"/>
      <c r="Q2157" s="177"/>
      <c r="R2157" s="177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</row>
    <row r="2158">
      <c r="A2158" s="2"/>
      <c r="B2158" s="176" t="s">
        <v>1</v>
      </c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5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</row>
    <row r="2159">
      <c r="A2159" s="2"/>
      <c r="B2159" s="8"/>
      <c r="F2159" s="9"/>
      <c r="G2159" s="9"/>
      <c r="H2159" s="9"/>
      <c r="I2159" s="9"/>
      <c r="J2159" s="9" t="s">
        <v>2</v>
      </c>
      <c r="N2159" s="6"/>
      <c r="R2159" s="10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</row>
    <row r="2160">
      <c r="A2160" s="2"/>
      <c r="B2160" s="13"/>
      <c r="F2160" s="9"/>
      <c r="G2160" s="9"/>
      <c r="H2160" s="9"/>
      <c r="I2160" s="9"/>
      <c r="J2160" s="9" t="s">
        <v>3</v>
      </c>
      <c r="N2160" s="6"/>
      <c r="R2160" s="10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</row>
    <row r="2161">
      <c r="A2161" s="2"/>
      <c r="B2161" s="13" t="s">
        <v>4</v>
      </c>
      <c r="R2161" s="10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</row>
    <row r="2162">
      <c r="A2162" s="2"/>
      <c r="B2162" s="16" t="s">
        <v>5</v>
      </c>
      <c r="C2162" s="17" t="s">
        <v>6</v>
      </c>
      <c r="D2162" s="4"/>
      <c r="E2162" s="4"/>
      <c r="F2162" s="4"/>
      <c r="G2162" s="4"/>
      <c r="H2162" s="4"/>
      <c r="I2162" s="4"/>
      <c r="J2162" s="4"/>
      <c r="K2162" s="5"/>
      <c r="L2162" s="18" t="s">
        <v>7</v>
      </c>
      <c r="M2162" s="19">
        <v>84.0</v>
      </c>
      <c r="N2162" s="20"/>
      <c r="O2162" s="4"/>
      <c r="P2162" s="4"/>
      <c r="Q2162" s="4"/>
      <c r="R2162" s="5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</row>
    <row r="2163">
      <c r="A2163" s="2"/>
      <c r="B2163" s="26"/>
      <c r="C2163" s="27" t="s">
        <v>8</v>
      </c>
      <c r="K2163" s="10"/>
      <c r="L2163" s="18" t="s">
        <v>9</v>
      </c>
      <c r="M2163" s="9" t="s">
        <v>178</v>
      </c>
      <c r="N2163" s="6"/>
      <c r="R2163" s="10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</row>
    <row r="2164">
      <c r="A2164" s="2"/>
      <c r="B2164" s="16" t="s">
        <v>11</v>
      </c>
      <c r="C2164" s="30" t="s">
        <v>12</v>
      </c>
      <c r="D2164" s="31"/>
      <c r="E2164" s="31"/>
      <c r="F2164" s="31"/>
      <c r="G2164" s="31"/>
      <c r="H2164" s="31"/>
      <c r="I2164" s="31"/>
      <c r="J2164" s="31"/>
      <c r="K2164" s="32"/>
      <c r="L2164" s="18" t="s">
        <v>13</v>
      </c>
      <c r="M2164" s="33" t="s">
        <v>14</v>
      </c>
      <c r="N2164" s="34"/>
      <c r="O2164" s="31"/>
      <c r="P2164" s="31"/>
      <c r="Q2164" s="31"/>
      <c r="R2164" s="3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</row>
    <row r="2165">
      <c r="A2165" s="2"/>
      <c r="B2165" s="8"/>
      <c r="R2165" s="10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</row>
    <row r="2166">
      <c r="A2166" s="2"/>
      <c r="B2166" s="39" t="s">
        <v>15</v>
      </c>
      <c r="C2166" s="40" t="s">
        <v>16</v>
      </c>
      <c r="D2166" s="41" t="s">
        <v>17</v>
      </c>
      <c r="E2166" s="41" t="s">
        <v>18</v>
      </c>
      <c r="F2166" s="42" t="s">
        <v>19</v>
      </c>
      <c r="G2166" s="43"/>
      <c r="H2166" s="43"/>
      <c r="I2166" s="43"/>
      <c r="J2166" s="44"/>
      <c r="K2166" s="41" t="s">
        <v>20</v>
      </c>
      <c r="L2166" s="41" t="s">
        <v>21</v>
      </c>
      <c r="M2166" s="41" t="s">
        <v>22</v>
      </c>
      <c r="N2166" s="41" t="s">
        <v>23</v>
      </c>
      <c r="O2166" s="41" t="s">
        <v>24</v>
      </c>
      <c r="P2166" s="41" t="s">
        <v>25</v>
      </c>
      <c r="Q2166" s="41" t="s">
        <v>26</v>
      </c>
      <c r="R2166" s="45" t="s">
        <v>27</v>
      </c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</row>
    <row r="2167">
      <c r="A2167" s="2"/>
      <c r="B2167" s="52">
        <v>1.0</v>
      </c>
      <c r="C2167" s="53">
        <v>1.004723491E9</v>
      </c>
      <c r="D2167" s="54">
        <v>46059.0</v>
      </c>
      <c r="E2167" s="53" t="s">
        <v>55</v>
      </c>
      <c r="F2167" s="53" t="s">
        <v>56</v>
      </c>
      <c r="G2167" s="53" t="s">
        <v>103</v>
      </c>
      <c r="H2167" s="53" t="s">
        <v>58</v>
      </c>
      <c r="I2167" s="55"/>
      <c r="J2167" s="55"/>
      <c r="K2167" s="53" t="s">
        <v>38</v>
      </c>
      <c r="L2167" s="53" t="s">
        <v>180</v>
      </c>
      <c r="M2167" s="53">
        <v>3309.0</v>
      </c>
      <c r="N2167" s="53">
        <v>572.0</v>
      </c>
      <c r="O2167" s="53">
        <v>19.28</v>
      </c>
      <c r="P2167" s="55">
        <f t="shared" ref="P2167:P2176" si="173">N2167*O2167</f>
        <v>11028.16</v>
      </c>
      <c r="Q2167" s="53">
        <v>305.0</v>
      </c>
      <c r="R2167" s="105">
        <f t="shared" ref="R2167:R2176" si="174">P2167+Q2167</f>
        <v>11333.16</v>
      </c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</row>
    <row r="2168">
      <c r="A2168" s="2"/>
      <c r="B2168" s="52">
        <v>2.0</v>
      </c>
      <c r="C2168" s="53">
        <v>1.004723473E9</v>
      </c>
      <c r="D2168" s="54">
        <v>46059.0</v>
      </c>
      <c r="E2168" s="53" t="s">
        <v>90</v>
      </c>
      <c r="F2168" s="53" t="s">
        <v>91</v>
      </c>
      <c r="G2168" s="53" t="s">
        <v>92</v>
      </c>
      <c r="H2168" s="53" t="s">
        <v>93</v>
      </c>
      <c r="I2168" s="53" t="s">
        <v>83</v>
      </c>
      <c r="J2168" s="53" t="s">
        <v>94</v>
      </c>
      <c r="K2168" s="53" t="s">
        <v>38</v>
      </c>
      <c r="L2168" s="53" t="s">
        <v>102</v>
      </c>
      <c r="M2168" s="53">
        <v>3001.0</v>
      </c>
      <c r="N2168" s="53">
        <v>405.0</v>
      </c>
      <c r="O2168" s="53">
        <v>19.28</v>
      </c>
      <c r="P2168" s="55">
        <f t="shared" si="173"/>
        <v>7808.4</v>
      </c>
      <c r="Q2168" s="53">
        <v>505.0</v>
      </c>
      <c r="R2168" s="105">
        <f t="shared" si="174"/>
        <v>8313.4</v>
      </c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</row>
    <row r="2169">
      <c r="A2169" s="2"/>
      <c r="B2169" s="52">
        <v>3.0</v>
      </c>
      <c r="C2169" s="53">
        <v>1.004723461E9</v>
      </c>
      <c r="D2169" s="54">
        <v>46059.0</v>
      </c>
      <c r="E2169" s="53" t="s">
        <v>82</v>
      </c>
      <c r="F2169" s="53" t="s">
        <v>87</v>
      </c>
      <c r="G2169" s="53"/>
      <c r="H2169" s="53" t="s">
        <v>94</v>
      </c>
      <c r="I2169" s="55"/>
      <c r="J2169" s="55"/>
      <c r="K2169" s="53" t="s">
        <v>80</v>
      </c>
      <c r="L2169" s="53" t="s">
        <v>85</v>
      </c>
      <c r="M2169" s="53">
        <v>2576.0</v>
      </c>
      <c r="N2169" s="53">
        <v>428.0</v>
      </c>
      <c r="O2169" s="53">
        <v>18.28</v>
      </c>
      <c r="P2169" s="55">
        <f t="shared" si="173"/>
        <v>7823.84</v>
      </c>
      <c r="Q2169" s="53">
        <v>755.0</v>
      </c>
      <c r="R2169" s="105">
        <f t="shared" si="174"/>
        <v>8578.84</v>
      </c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</row>
    <row r="2170">
      <c r="A2170" s="2"/>
      <c r="B2170" s="52">
        <v>4.0</v>
      </c>
      <c r="C2170" s="53">
        <v>1.004723459E9</v>
      </c>
      <c r="D2170" s="54">
        <v>46059.0</v>
      </c>
      <c r="E2170" s="53" t="s">
        <v>82</v>
      </c>
      <c r="F2170" s="53" t="s">
        <v>87</v>
      </c>
      <c r="G2170" s="53" t="s">
        <v>86</v>
      </c>
      <c r="H2170" s="53" t="s">
        <v>88</v>
      </c>
      <c r="I2170" s="55"/>
      <c r="J2170" s="55"/>
      <c r="K2170" s="53" t="s">
        <v>38</v>
      </c>
      <c r="L2170" s="53" t="s">
        <v>89</v>
      </c>
      <c r="M2170" s="53">
        <v>3387.0</v>
      </c>
      <c r="N2170" s="53">
        <v>484.0</v>
      </c>
      <c r="O2170" s="53">
        <v>19.28</v>
      </c>
      <c r="P2170" s="55">
        <f t="shared" si="173"/>
        <v>9331.52</v>
      </c>
      <c r="Q2170" s="53">
        <v>755.0</v>
      </c>
      <c r="R2170" s="105">
        <f t="shared" si="174"/>
        <v>10086.52</v>
      </c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</row>
    <row r="2171">
      <c r="A2171" s="2"/>
      <c r="B2171" s="52">
        <v>5.0</v>
      </c>
      <c r="C2171" s="53">
        <v>1.004724132E9</v>
      </c>
      <c r="D2171" s="54">
        <v>46087.0</v>
      </c>
      <c r="E2171" s="53" t="s">
        <v>28</v>
      </c>
      <c r="F2171" s="53" t="s">
        <v>29</v>
      </c>
      <c r="G2171" s="53" t="s">
        <v>30</v>
      </c>
      <c r="H2171" s="53" t="s">
        <v>31</v>
      </c>
      <c r="I2171" s="55"/>
      <c r="J2171" s="55"/>
      <c r="K2171" s="53" t="s">
        <v>38</v>
      </c>
      <c r="L2171" s="53" t="s">
        <v>34</v>
      </c>
      <c r="M2171" s="53">
        <v>3019.0</v>
      </c>
      <c r="N2171" s="53">
        <v>246.0</v>
      </c>
      <c r="O2171" s="53">
        <v>19.28</v>
      </c>
      <c r="P2171" s="55">
        <f t="shared" si="173"/>
        <v>4742.88</v>
      </c>
      <c r="Q2171" s="55"/>
      <c r="R2171" s="105">
        <f t="shared" si="174"/>
        <v>4742.88</v>
      </c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</row>
    <row r="2172">
      <c r="A2172" s="2"/>
      <c r="B2172" s="52">
        <v>6.0</v>
      </c>
      <c r="C2172" s="53">
        <v>1.004724139E9</v>
      </c>
      <c r="D2172" s="54">
        <v>46087.0</v>
      </c>
      <c r="E2172" s="53" t="s">
        <v>28</v>
      </c>
      <c r="F2172" s="53" t="s">
        <v>29</v>
      </c>
      <c r="G2172" s="53" t="s">
        <v>32</v>
      </c>
      <c r="H2172" s="55"/>
      <c r="I2172" s="55"/>
      <c r="J2172" s="55"/>
      <c r="K2172" s="53" t="s">
        <v>33</v>
      </c>
      <c r="L2172" s="53" t="s">
        <v>76</v>
      </c>
      <c r="M2172" s="53">
        <v>1387.0</v>
      </c>
      <c r="N2172" s="53">
        <v>142.0</v>
      </c>
      <c r="O2172" s="53">
        <v>15.53</v>
      </c>
      <c r="P2172" s="55">
        <f t="shared" si="173"/>
        <v>2205.26</v>
      </c>
      <c r="Q2172" s="55"/>
      <c r="R2172" s="105">
        <f t="shared" si="174"/>
        <v>2205.26</v>
      </c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</row>
    <row r="2173">
      <c r="A2173" s="2"/>
      <c r="B2173" s="52">
        <v>7.0</v>
      </c>
      <c r="C2173" s="53">
        <v>1.004724207E9</v>
      </c>
      <c r="D2173" s="54">
        <v>46087.0</v>
      </c>
      <c r="E2173" s="53" t="s">
        <v>35</v>
      </c>
      <c r="F2173" s="53" t="s">
        <v>36</v>
      </c>
      <c r="G2173" s="53" t="s">
        <v>37</v>
      </c>
      <c r="H2173" s="53"/>
      <c r="I2173" s="55"/>
      <c r="J2173" s="55"/>
      <c r="K2173" s="53" t="s">
        <v>38</v>
      </c>
      <c r="L2173" s="53" t="s">
        <v>96</v>
      </c>
      <c r="M2173" s="53">
        <v>3375.0</v>
      </c>
      <c r="N2173" s="53">
        <v>200.0</v>
      </c>
      <c r="O2173" s="53">
        <v>19.28</v>
      </c>
      <c r="P2173" s="55">
        <f t="shared" si="173"/>
        <v>3856</v>
      </c>
      <c r="Q2173" s="55"/>
      <c r="R2173" s="105">
        <f t="shared" si="174"/>
        <v>3856</v>
      </c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</row>
    <row r="2174">
      <c r="A2174" s="2"/>
      <c r="B2174" s="52">
        <v>8.0</v>
      </c>
      <c r="C2174" s="53">
        <v>1.004724174E9</v>
      </c>
      <c r="D2174" s="54">
        <v>46087.0</v>
      </c>
      <c r="E2174" s="53" t="s">
        <v>35</v>
      </c>
      <c r="F2174" s="53" t="s">
        <v>40</v>
      </c>
      <c r="G2174" s="53" t="s">
        <v>36</v>
      </c>
      <c r="H2174" s="53"/>
      <c r="I2174" s="55"/>
      <c r="J2174" s="55"/>
      <c r="K2174" s="53" t="s">
        <v>38</v>
      </c>
      <c r="L2174" s="53" t="s">
        <v>97</v>
      </c>
      <c r="M2174" s="53">
        <v>3046.0</v>
      </c>
      <c r="N2174" s="53">
        <v>150.0</v>
      </c>
      <c r="O2174" s="53">
        <v>19.28</v>
      </c>
      <c r="P2174" s="55">
        <f t="shared" si="173"/>
        <v>2892</v>
      </c>
      <c r="Q2174" s="55"/>
      <c r="R2174" s="105">
        <f t="shared" si="174"/>
        <v>2892</v>
      </c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</row>
    <row r="2175">
      <c r="A2175" s="2"/>
      <c r="B2175" s="52">
        <v>9.0</v>
      </c>
      <c r="C2175" s="53">
        <v>1.004724211E9</v>
      </c>
      <c r="D2175" s="54">
        <v>46087.0</v>
      </c>
      <c r="E2175" s="53" t="s">
        <v>35</v>
      </c>
      <c r="F2175" s="53" t="s">
        <v>36</v>
      </c>
      <c r="G2175" s="55"/>
      <c r="H2175" s="53"/>
      <c r="I2175" s="55"/>
      <c r="J2175" s="55"/>
      <c r="K2175" s="53" t="s">
        <v>33</v>
      </c>
      <c r="L2175" s="53" t="s">
        <v>181</v>
      </c>
      <c r="M2175" s="53">
        <v>2200.0</v>
      </c>
      <c r="N2175" s="53">
        <v>130.0</v>
      </c>
      <c r="O2175" s="53">
        <v>15.53</v>
      </c>
      <c r="P2175" s="55">
        <f t="shared" si="173"/>
        <v>2018.9</v>
      </c>
      <c r="Q2175" s="53"/>
      <c r="R2175" s="105">
        <f t="shared" si="174"/>
        <v>2018.9</v>
      </c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</row>
    <row r="2176">
      <c r="A2176" s="2"/>
      <c r="B2176" s="52">
        <v>10.0</v>
      </c>
      <c r="C2176" s="53">
        <v>1.004724499E9</v>
      </c>
      <c r="D2176" s="54">
        <v>46087.0</v>
      </c>
      <c r="E2176" s="53" t="s">
        <v>42</v>
      </c>
      <c r="F2176" s="53" t="s">
        <v>43</v>
      </c>
      <c r="G2176" s="53" t="s">
        <v>44</v>
      </c>
      <c r="H2176" s="55"/>
      <c r="I2176" s="55"/>
      <c r="J2176" s="55"/>
      <c r="K2176" s="53" t="s">
        <v>45</v>
      </c>
      <c r="L2176" s="53" t="s">
        <v>98</v>
      </c>
      <c r="M2176" s="53">
        <v>1588.0</v>
      </c>
      <c r="N2176" s="53">
        <v>299.0</v>
      </c>
      <c r="O2176" s="53">
        <v>15.53</v>
      </c>
      <c r="P2176" s="55">
        <f t="shared" si="173"/>
        <v>4643.47</v>
      </c>
      <c r="Q2176" s="53"/>
      <c r="R2176" s="105">
        <f t="shared" si="174"/>
        <v>4643.47</v>
      </c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</row>
    <row r="2177">
      <c r="A2177" s="2"/>
      <c r="B2177" s="8"/>
      <c r="C2177" s="6"/>
      <c r="D2177" s="6"/>
      <c r="E2177" s="6"/>
      <c r="F2177" s="6"/>
      <c r="G2177" s="6"/>
      <c r="H2177" s="6"/>
      <c r="I2177" s="6"/>
      <c r="J2177" s="6"/>
      <c r="K2177" s="6"/>
      <c r="L2177" s="6"/>
      <c r="M2177" s="6"/>
      <c r="N2177" s="6"/>
      <c r="O2177" s="6"/>
      <c r="P2177" s="6"/>
      <c r="Q2177" s="6"/>
      <c r="R2177" s="65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</row>
    <row r="2178">
      <c r="A2178" s="2"/>
      <c r="B2178" s="67" t="s">
        <v>64</v>
      </c>
      <c r="C2178" s="68"/>
      <c r="D2178" s="69" t="str">
        <f>MONEYTEXT(R2178, "INR")</f>
        <v>Fifty-eight thousand six hundred seventy Indian rupees and forty-three paise</v>
      </c>
      <c r="E2178" s="68"/>
      <c r="F2178" s="68"/>
      <c r="G2178" s="68"/>
      <c r="H2178" s="68"/>
      <c r="I2178" s="68"/>
      <c r="J2178" s="68"/>
      <c r="K2178" s="68"/>
      <c r="L2178" s="68"/>
      <c r="M2178" s="68"/>
      <c r="N2178" s="70" t="s">
        <v>65</v>
      </c>
      <c r="O2178" s="4"/>
      <c r="P2178" s="96">
        <f t="shared" ref="P2178:R2178" si="175">SUM(P2167:P2176)</f>
        <v>56350.43</v>
      </c>
      <c r="Q2178" s="96">
        <f t="shared" si="175"/>
        <v>2320</v>
      </c>
      <c r="R2178" s="96">
        <f t="shared" si="175"/>
        <v>58670.43</v>
      </c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</row>
    <row r="2179">
      <c r="A2179" s="2"/>
      <c r="B2179" s="67" t="s">
        <v>66</v>
      </c>
      <c r="C2179" s="68"/>
      <c r="D2179" s="68"/>
      <c r="E2179" s="68"/>
      <c r="F2179" s="68"/>
      <c r="G2179" s="68"/>
      <c r="H2179" s="68"/>
      <c r="I2179" s="68"/>
      <c r="J2179" s="68"/>
      <c r="K2179" s="68"/>
      <c r="L2179" s="68"/>
      <c r="M2179" s="68"/>
      <c r="N2179" s="68"/>
      <c r="O2179" s="76"/>
      <c r="P2179" s="97" t="s">
        <v>67</v>
      </c>
      <c r="Q2179" s="31"/>
      <c r="R2179" s="3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</row>
    <row r="2180">
      <c r="A2180" s="2"/>
      <c r="B2180" s="79" t="s">
        <v>68</v>
      </c>
      <c r="P2180" s="27"/>
      <c r="Q2180" s="27"/>
      <c r="R2180" s="83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</row>
    <row r="2181">
      <c r="A2181" s="2"/>
      <c r="B2181" s="79" t="s">
        <v>70</v>
      </c>
      <c r="P2181" s="27"/>
      <c r="Q2181" s="27"/>
      <c r="R2181" s="83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</row>
    <row r="2182">
      <c r="A2182" s="2"/>
      <c r="B2182" s="8"/>
      <c r="C2182" s="6"/>
      <c r="D2182" s="6"/>
      <c r="E2182" s="6"/>
      <c r="F2182" s="6"/>
      <c r="G2182" s="6"/>
      <c r="H2182" s="6"/>
      <c r="I2182" s="6"/>
      <c r="J2182" s="6"/>
      <c r="K2182" s="6"/>
      <c r="L2182" s="6"/>
      <c r="M2182" s="6"/>
      <c r="N2182" s="6"/>
      <c r="O2182" s="6"/>
      <c r="P2182" s="6"/>
      <c r="Q2182" s="6"/>
      <c r="R2182" s="65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</row>
    <row r="2183">
      <c r="A2183" s="2"/>
      <c r="B2183" s="8"/>
      <c r="C2183" s="6"/>
      <c r="D2183" s="6"/>
      <c r="E2183" s="6"/>
      <c r="F2183" s="6"/>
      <c r="G2183" s="6"/>
      <c r="H2183" s="6"/>
      <c r="I2183" s="6"/>
      <c r="J2183" s="6"/>
      <c r="K2183" s="19" t="s">
        <v>71</v>
      </c>
      <c r="L2183" s="6"/>
      <c r="M2183" s="6"/>
      <c r="N2183" s="6"/>
      <c r="O2183" s="6"/>
      <c r="P2183" s="9" t="s">
        <v>72</v>
      </c>
      <c r="R2183" s="10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</row>
    <row r="2184">
      <c r="A2184" s="2"/>
      <c r="B2184" s="88"/>
      <c r="C2184" s="34"/>
      <c r="D2184" s="34"/>
      <c r="E2184" s="34"/>
      <c r="F2184" s="34"/>
      <c r="G2184" s="34"/>
      <c r="H2184" s="34"/>
      <c r="I2184" s="34"/>
      <c r="J2184" s="34"/>
      <c r="K2184" s="34"/>
      <c r="L2184" s="34"/>
      <c r="M2184" s="34"/>
      <c r="N2184" s="34"/>
      <c r="O2184" s="34"/>
      <c r="P2184" s="34"/>
      <c r="Q2184" s="34"/>
      <c r="R2184" s="89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</row>
    <row r="2185">
      <c r="A2185" s="2"/>
      <c r="B2185" s="177"/>
      <c r="C2185" s="177"/>
      <c r="D2185" s="177"/>
      <c r="E2185" s="177"/>
      <c r="F2185" s="177"/>
      <c r="G2185" s="177"/>
      <c r="H2185" s="177"/>
      <c r="I2185" s="177"/>
      <c r="J2185" s="177"/>
      <c r="K2185" s="177"/>
      <c r="L2185" s="177"/>
      <c r="M2185" s="177"/>
      <c r="N2185" s="177"/>
      <c r="O2185" s="177"/>
      <c r="P2185" s="177"/>
      <c r="Q2185" s="177"/>
      <c r="R2185" s="177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</row>
    <row r="2186">
      <c r="A2186" s="2"/>
      <c r="B2186" s="177"/>
      <c r="C2186" s="177"/>
      <c r="D2186" s="177"/>
      <c r="E2186" s="177"/>
      <c r="F2186" s="177"/>
      <c r="G2186" s="177"/>
      <c r="H2186" s="177"/>
      <c r="I2186" s="177"/>
      <c r="J2186" s="177"/>
      <c r="K2186" s="177"/>
      <c r="L2186" s="177"/>
      <c r="M2186" s="177"/>
      <c r="N2186" s="177"/>
      <c r="O2186" s="177"/>
      <c r="P2186" s="177"/>
      <c r="Q2186" s="177"/>
      <c r="R2186" s="177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</row>
    <row r="2187">
      <c r="A2187" s="2"/>
      <c r="B2187" s="177"/>
      <c r="C2187" s="177"/>
      <c r="D2187" s="177"/>
      <c r="E2187" s="177"/>
      <c r="F2187" s="177"/>
      <c r="G2187" s="177"/>
      <c r="H2187" s="177"/>
      <c r="I2187" s="177"/>
      <c r="J2187" s="177"/>
      <c r="K2187" s="177"/>
      <c r="L2187" s="177"/>
      <c r="M2187" s="177"/>
      <c r="N2187" s="177"/>
      <c r="O2187" s="177"/>
      <c r="P2187" s="177"/>
      <c r="Q2187" s="177"/>
      <c r="R2187" s="177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</row>
    <row r="2188">
      <c r="A2188" s="2"/>
      <c r="B2188" s="177"/>
      <c r="C2188" s="177"/>
      <c r="D2188" s="177"/>
      <c r="E2188" s="177"/>
      <c r="F2188" s="177"/>
      <c r="G2188" s="177"/>
      <c r="H2188" s="177"/>
      <c r="I2188" s="177"/>
      <c r="J2188" s="177"/>
      <c r="K2188" s="177"/>
      <c r="L2188" s="177"/>
      <c r="M2188" s="177"/>
      <c r="N2188" s="177"/>
      <c r="O2188" s="177"/>
      <c r="P2188" s="177"/>
      <c r="Q2188" s="177"/>
      <c r="R2188" s="177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</row>
    <row r="2189">
      <c r="A2189" s="2"/>
      <c r="B2189" s="176" t="s">
        <v>1</v>
      </c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5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</row>
    <row r="2190">
      <c r="A2190" s="2"/>
      <c r="B2190" s="8"/>
      <c r="F2190" s="9"/>
      <c r="G2190" s="9"/>
      <c r="H2190" s="9"/>
      <c r="I2190" s="9"/>
      <c r="J2190" s="9" t="s">
        <v>2</v>
      </c>
      <c r="N2190" s="6"/>
      <c r="R2190" s="10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</row>
    <row r="2191">
      <c r="A2191" s="2"/>
      <c r="B2191" s="13"/>
      <c r="F2191" s="9"/>
      <c r="G2191" s="9"/>
      <c r="H2191" s="9"/>
      <c r="I2191" s="9"/>
      <c r="J2191" s="9" t="s">
        <v>3</v>
      </c>
      <c r="N2191" s="6"/>
      <c r="R2191" s="10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</row>
    <row r="2192">
      <c r="A2192" s="2"/>
      <c r="B2192" s="13" t="s">
        <v>4</v>
      </c>
      <c r="R2192" s="10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</row>
    <row r="2193">
      <c r="A2193" s="2"/>
      <c r="B2193" s="16" t="s">
        <v>5</v>
      </c>
      <c r="C2193" s="17" t="s">
        <v>6</v>
      </c>
      <c r="D2193" s="4"/>
      <c r="E2193" s="4"/>
      <c r="F2193" s="4"/>
      <c r="G2193" s="4"/>
      <c r="H2193" s="4"/>
      <c r="I2193" s="4"/>
      <c r="J2193" s="4"/>
      <c r="K2193" s="5"/>
      <c r="L2193" s="18" t="s">
        <v>7</v>
      </c>
      <c r="M2193" s="19">
        <v>85.0</v>
      </c>
      <c r="N2193" s="20"/>
      <c r="O2193" s="4"/>
      <c r="P2193" s="4"/>
      <c r="Q2193" s="4"/>
      <c r="R2193" s="5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</row>
    <row r="2194">
      <c r="A2194" s="2"/>
      <c r="B2194" s="26"/>
      <c r="C2194" s="27" t="s">
        <v>8</v>
      </c>
      <c r="K2194" s="10"/>
      <c r="L2194" s="18" t="s">
        <v>9</v>
      </c>
      <c r="M2194" s="9" t="s">
        <v>178</v>
      </c>
      <c r="N2194" s="6"/>
      <c r="R2194" s="10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</row>
    <row r="2195">
      <c r="A2195" s="2"/>
      <c r="B2195" s="16" t="s">
        <v>11</v>
      </c>
      <c r="C2195" s="30" t="s">
        <v>12</v>
      </c>
      <c r="D2195" s="31"/>
      <c r="E2195" s="31"/>
      <c r="F2195" s="31"/>
      <c r="G2195" s="31"/>
      <c r="H2195" s="31"/>
      <c r="I2195" s="31"/>
      <c r="J2195" s="31"/>
      <c r="K2195" s="32"/>
      <c r="L2195" s="18" t="s">
        <v>13</v>
      </c>
      <c r="M2195" s="33" t="s">
        <v>14</v>
      </c>
      <c r="N2195" s="34"/>
      <c r="O2195" s="31"/>
      <c r="P2195" s="31"/>
      <c r="Q2195" s="31"/>
      <c r="R2195" s="3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</row>
    <row r="2196">
      <c r="A2196" s="2"/>
      <c r="B2196" s="8"/>
      <c r="R2196" s="10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</row>
    <row r="2197">
      <c r="A2197" s="2"/>
      <c r="B2197" s="39" t="s">
        <v>15</v>
      </c>
      <c r="C2197" s="40" t="s">
        <v>16</v>
      </c>
      <c r="D2197" s="41" t="s">
        <v>17</v>
      </c>
      <c r="E2197" s="41" t="s">
        <v>18</v>
      </c>
      <c r="F2197" s="42" t="s">
        <v>19</v>
      </c>
      <c r="G2197" s="43"/>
      <c r="H2197" s="43"/>
      <c r="I2197" s="43"/>
      <c r="J2197" s="44"/>
      <c r="K2197" s="41" t="s">
        <v>20</v>
      </c>
      <c r="L2197" s="41" t="s">
        <v>21</v>
      </c>
      <c r="M2197" s="41" t="s">
        <v>22</v>
      </c>
      <c r="N2197" s="41" t="s">
        <v>23</v>
      </c>
      <c r="O2197" s="41" t="s">
        <v>24</v>
      </c>
      <c r="P2197" s="41" t="s">
        <v>25</v>
      </c>
      <c r="Q2197" s="41" t="s">
        <v>26</v>
      </c>
      <c r="R2197" s="45" t="s">
        <v>27</v>
      </c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</row>
    <row r="2198">
      <c r="A2198" s="2"/>
      <c r="B2198" s="52">
        <v>1.0</v>
      </c>
      <c r="C2198" s="53">
        <v>1.004724866E9</v>
      </c>
      <c r="D2198" s="54">
        <v>46087.0</v>
      </c>
      <c r="E2198" s="53" t="s">
        <v>51</v>
      </c>
      <c r="F2198" s="53" t="s">
        <v>44</v>
      </c>
      <c r="G2198" s="53"/>
      <c r="H2198" s="53"/>
      <c r="I2198" s="55"/>
      <c r="J2198" s="55"/>
      <c r="K2198" s="53" t="s">
        <v>45</v>
      </c>
      <c r="L2198" s="53" t="s">
        <v>50</v>
      </c>
      <c r="M2198" s="53">
        <v>1675.0</v>
      </c>
      <c r="N2198" s="53">
        <v>230.0</v>
      </c>
      <c r="O2198" s="53">
        <v>15.53</v>
      </c>
      <c r="P2198" s="55">
        <f t="shared" ref="P2198:P2207" si="176">N2198*O2198</f>
        <v>3571.9</v>
      </c>
      <c r="Q2198" s="53"/>
      <c r="R2198" s="105">
        <f t="shared" ref="R2198:R2207" si="177">P2198+Q2198</f>
        <v>3571.9</v>
      </c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</row>
    <row r="2199">
      <c r="A2199" s="2"/>
      <c r="B2199" s="52">
        <v>2.0</v>
      </c>
      <c r="C2199" s="53">
        <v>1.00472486E9</v>
      </c>
      <c r="D2199" s="54">
        <v>46087.0</v>
      </c>
      <c r="E2199" s="53" t="s">
        <v>51</v>
      </c>
      <c r="F2199" s="53" t="s">
        <v>44</v>
      </c>
      <c r="G2199" s="53"/>
      <c r="H2199" s="53"/>
      <c r="I2199" s="55"/>
      <c r="J2199" s="55"/>
      <c r="K2199" s="53" t="s">
        <v>45</v>
      </c>
      <c r="L2199" s="53" t="s">
        <v>52</v>
      </c>
      <c r="M2199" s="53">
        <v>1696.0</v>
      </c>
      <c r="N2199" s="53">
        <v>230.0</v>
      </c>
      <c r="O2199" s="53">
        <v>15.53</v>
      </c>
      <c r="P2199" s="55">
        <f t="shared" si="176"/>
        <v>3571.9</v>
      </c>
      <c r="Q2199" s="55"/>
      <c r="R2199" s="105">
        <f t="shared" si="177"/>
        <v>3571.9</v>
      </c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</row>
    <row r="2200">
      <c r="A2200" s="2"/>
      <c r="B2200" s="52">
        <v>3.0</v>
      </c>
      <c r="C2200" s="53">
        <v>1.004724851E9</v>
      </c>
      <c r="D2200" s="54">
        <v>46087.0</v>
      </c>
      <c r="E2200" s="53" t="s">
        <v>51</v>
      </c>
      <c r="F2200" s="53" t="s">
        <v>49</v>
      </c>
      <c r="G2200" s="53" t="s">
        <v>44</v>
      </c>
      <c r="H2200" s="55"/>
      <c r="I2200" s="55"/>
      <c r="J2200" s="55"/>
      <c r="K2200" s="53" t="s">
        <v>45</v>
      </c>
      <c r="L2200" s="53" t="s">
        <v>123</v>
      </c>
      <c r="M2200" s="53">
        <v>1430.0</v>
      </c>
      <c r="N2200" s="53">
        <v>230.0</v>
      </c>
      <c r="O2200" s="53">
        <v>15.53</v>
      </c>
      <c r="P2200" s="55">
        <f t="shared" si="176"/>
        <v>3571.9</v>
      </c>
      <c r="Q2200" s="55"/>
      <c r="R2200" s="105">
        <f t="shared" si="177"/>
        <v>3571.9</v>
      </c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</row>
    <row r="2201">
      <c r="A2201" s="2"/>
      <c r="B2201" s="52">
        <v>4.0</v>
      </c>
      <c r="C2201" s="53">
        <v>1.004725414E9</v>
      </c>
      <c r="D2201" s="54">
        <v>46087.0</v>
      </c>
      <c r="E2201" s="53" t="s">
        <v>51</v>
      </c>
      <c r="F2201" s="53" t="s">
        <v>44</v>
      </c>
      <c r="G2201" s="53"/>
      <c r="H2201" s="55"/>
      <c r="I2201" s="55"/>
      <c r="J2201" s="55"/>
      <c r="K2201" s="53" t="s">
        <v>45</v>
      </c>
      <c r="L2201" s="53" t="s">
        <v>182</v>
      </c>
      <c r="M2201" s="53">
        <v>1434.0</v>
      </c>
      <c r="N2201" s="53">
        <v>230.0</v>
      </c>
      <c r="O2201" s="53">
        <v>15.53</v>
      </c>
      <c r="P2201" s="55">
        <f t="shared" si="176"/>
        <v>3571.9</v>
      </c>
      <c r="Q2201" s="55"/>
      <c r="R2201" s="105">
        <f t="shared" si="177"/>
        <v>3571.9</v>
      </c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</row>
    <row r="2202">
      <c r="A2202" s="2"/>
      <c r="B2202" s="52">
        <v>5.0</v>
      </c>
      <c r="C2202" s="53">
        <v>1.004725421E9</v>
      </c>
      <c r="D2202" s="54">
        <v>46087.0</v>
      </c>
      <c r="E2202" s="53" t="s">
        <v>51</v>
      </c>
      <c r="F2202" s="53" t="s">
        <v>44</v>
      </c>
      <c r="G2202" s="53"/>
      <c r="H2202" s="55"/>
      <c r="I2202" s="55"/>
      <c r="J2202" s="55"/>
      <c r="K2202" s="53" t="s">
        <v>45</v>
      </c>
      <c r="L2202" s="53" t="s">
        <v>54</v>
      </c>
      <c r="M2202" s="53">
        <v>1363.0</v>
      </c>
      <c r="N2202" s="53">
        <v>230.0</v>
      </c>
      <c r="O2202" s="53">
        <v>15.53</v>
      </c>
      <c r="P2202" s="55">
        <f t="shared" si="176"/>
        <v>3571.9</v>
      </c>
      <c r="Q2202" s="55"/>
      <c r="R2202" s="105">
        <f t="shared" si="177"/>
        <v>3571.9</v>
      </c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</row>
    <row r="2203">
      <c r="A2203" s="2"/>
      <c r="B2203" s="52">
        <v>6.0</v>
      </c>
      <c r="C2203" s="53">
        <v>1.004725553E9</v>
      </c>
      <c r="D2203" s="54">
        <v>46087.0</v>
      </c>
      <c r="E2203" s="53" t="s">
        <v>61</v>
      </c>
      <c r="F2203" s="53" t="s">
        <v>74</v>
      </c>
      <c r="G2203" s="53" t="s">
        <v>62</v>
      </c>
      <c r="H2203" s="53" t="s">
        <v>75</v>
      </c>
      <c r="I2203" s="55"/>
      <c r="J2203" s="55"/>
      <c r="K2203" s="53" t="s">
        <v>38</v>
      </c>
      <c r="L2203" s="53" t="s">
        <v>110</v>
      </c>
      <c r="M2203" s="53">
        <v>3477.0</v>
      </c>
      <c r="N2203" s="53">
        <v>560.0</v>
      </c>
      <c r="O2203" s="53">
        <v>19.28</v>
      </c>
      <c r="P2203" s="55">
        <f t="shared" si="176"/>
        <v>10796.8</v>
      </c>
      <c r="Q2203" s="53">
        <v>1085.0</v>
      </c>
      <c r="R2203" s="105">
        <f t="shared" si="177"/>
        <v>11881.8</v>
      </c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</row>
    <row r="2204">
      <c r="A2204" s="2"/>
      <c r="B2204" s="52">
        <v>7.0</v>
      </c>
      <c r="C2204" s="53">
        <v>1.004724245E9</v>
      </c>
      <c r="D2204" s="54">
        <v>46087.0</v>
      </c>
      <c r="E2204" s="53" t="s">
        <v>77</v>
      </c>
      <c r="F2204" s="53" t="s">
        <v>78</v>
      </c>
      <c r="G2204" s="53"/>
      <c r="H2204" s="53"/>
      <c r="I2204" s="55"/>
      <c r="J2204" s="55"/>
      <c r="K2204" s="53" t="s">
        <v>38</v>
      </c>
      <c r="L2204" s="53" t="s">
        <v>81</v>
      </c>
      <c r="M2204" s="53">
        <v>3147.0</v>
      </c>
      <c r="N2204" s="53">
        <v>266.0</v>
      </c>
      <c r="O2204" s="53">
        <v>19.28</v>
      </c>
      <c r="P2204" s="55">
        <f t="shared" si="176"/>
        <v>5128.48</v>
      </c>
      <c r="Q2204" s="55"/>
      <c r="R2204" s="105">
        <f t="shared" si="177"/>
        <v>5128.48</v>
      </c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</row>
    <row r="2205">
      <c r="A2205" s="2"/>
      <c r="B2205" s="52">
        <v>8.0</v>
      </c>
      <c r="C2205" s="53">
        <v>1.004725804E9</v>
      </c>
      <c r="D2205" s="54">
        <v>46087.0</v>
      </c>
      <c r="E2205" s="53" t="s">
        <v>77</v>
      </c>
      <c r="F2205" s="53"/>
      <c r="G2205" s="53" t="s">
        <v>78</v>
      </c>
      <c r="H2205" s="53"/>
      <c r="I2205" s="55"/>
      <c r="J2205" s="55"/>
      <c r="K2205" s="53" t="s">
        <v>38</v>
      </c>
      <c r="L2205" s="53" t="s">
        <v>101</v>
      </c>
      <c r="M2205" s="53">
        <v>2988.0</v>
      </c>
      <c r="N2205" s="53">
        <v>266.0</v>
      </c>
      <c r="O2205" s="53">
        <v>19.28</v>
      </c>
      <c r="P2205" s="55">
        <f t="shared" si="176"/>
        <v>5128.48</v>
      </c>
      <c r="Q2205" s="55"/>
      <c r="R2205" s="105">
        <f t="shared" si="177"/>
        <v>5128.48</v>
      </c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</row>
    <row r="2206">
      <c r="A2206" s="2"/>
      <c r="B2206" s="52">
        <v>9.0</v>
      </c>
      <c r="C2206" s="53">
        <v>1.004725796E9</v>
      </c>
      <c r="D2206" s="54">
        <v>46087.0</v>
      </c>
      <c r="E2206" s="53" t="s">
        <v>77</v>
      </c>
      <c r="F2206" s="53" t="s">
        <v>79</v>
      </c>
      <c r="G2206" s="53" t="s">
        <v>78</v>
      </c>
      <c r="H2206" s="53"/>
      <c r="I2206" s="55"/>
      <c r="J2206" s="55"/>
      <c r="K2206" s="53" t="s">
        <v>38</v>
      </c>
      <c r="L2206" s="53" t="s">
        <v>81</v>
      </c>
      <c r="M2206" s="53">
        <v>3042.0</v>
      </c>
      <c r="N2206" s="53">
        <v>416.0</v>
      </c>
      <c r="O2206" s="53">
        <v>19.28</v>
      </c>
      <c r="P2206" s="55">
        <f t="shared" si="176"/>
        <v>8020.48</v>
      </c>
      <c r="Q2206" s="53">
        <v>505.0</v>
      </c>
      <c r="R2206" s="105">
        <f t="shared" si="177"/>
        <v>8525.48</v>
      </c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</row>
    <row r="2207">
      <c r="A2207" s="2"/>
      <c r="B2207" s="52">
        <v>10.0</v>
      </c>
      <c r="C2207" s="53">
        <v>1.004725751E9</v>
      </c>
      <c r="D2207" s="54">
        <v>46087.0</v>
      </c>
      <c r="E2207" s="53" t="s">
        <v>55</v>
      </c>
      <c r="F2207" s="53" t="s">
        <v>57</v>
      </c>
      <c r="G2207" s="53" t="s">
        <v>103</v>
      </c>
      <c r="H2207" s="53" t="s">
        <v>58</v>
      </c>
      <c r="I2207" s="53" t="s">
        <v>56</v>
      </c>
      <c r="J2207" s="53" t="s">
        <v>59</v>
      </c>
      <c r="K2207" s="53" t="s">
        <v>38</v>
      </c>
      <c r="L2207" s="53" t="s">
        <v>60</v>
      </c>
      <c r="M2207" s="53">
        <v>3565.0</v>
      </c>
      <c r="N2207" s="53">
        <v>572.0</v>
      </c>
      <c r="O2207" s="53">
        <v>19.28</v>
      </c>
      <c r="P2207" s="55">
        <f t="shared" si="176"/>
        <v>11028.16</v>
      </c>
      <c r="Q2207" s="53">
        <v>330.0</v>
      </c>
      <c r="R2207" s="105">
        <f t="shared" si="177"/>
        <v>11358.16</v>
      </c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</row>
    <row r="2208">
      <c r="A2208" s="2"/>
      <c r="B2208" s="8"/>
      <c r="C2208" s="6"/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5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</row>
    <row r="2209">
      <c r="A2209" s="2"/>
      <c r="B2209" s="67" t="s">
        <v>64</v>
      </c>
      <c r="C2209" s="68"/>
      <c r="D2209" s="69" t="str">
        <f>MONEYTEXT(R2209, "INR")</f>
        <v/>
      </c>
      <c r="E2209" s="68"/>
      <c r="F2209" s="68"/>
      <c r="G2209" s="68"/>
      <c r="H2209" s="68"/>
      <c r="I2209" s="68"/>
      <c r="J2209" s="68"/>
      <c r="K2209" s="68"/>
      <c r="L2209" s="68"/>
      <c r="M2209" s="68"/>
      <c r="N2209" s="70" t="s">
        <v>65</v>
      </c>
      <c r="O2209" s="4"/>
      <c r="P2209" s="96">
        <f t="shared" ref="P2209:R2209" si="178">SUM(P2198:P2207)</f>
        <v>57961.9</v>
      </c>
      <c r="Q2209" s="96">
        <f t="shared" si="178"/>
        <v>1920</v>
      </c>
      <c r="R2209" s="96">
        <f t="shared" si="178"/>
        <v>59881.9</v>
      </c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</row>
    <row r="2210">
      <c r="A2210" s="2"/>
      <c r="B2210" s="67" t="s">
        <v>66</v>
      </c>
      <c r="C2210" s="68"/>
      <c r="D2210" s="68"/>
      <c r="E2210" s="68"/>
      <c r="F2210" s="68"/>
      <c r="G2210" s="68"/>
      <c r="H2210" s="68"/>
      <c r="I2210" s="68"/>
      <c r="J2210" s="68"/>
      <c r="K2210" s="68"/>
      <c r="L2210" s="68"/>
      <c r="M2210" s="68"/>
      <c r="N2210" s="68"/>
      <c r="O2210" s="76"/>
      <c r="P2210" s="97" t="s">
        <v>67</v>
      </c>
      <c r="Q2210" s="31"/>
      <c r="R2210" s="3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</row>
    <row r="2211">
      <c r="A2211" s="2"/>
      <c r="B2211" s="79" t="s">
        <v>68</v>
      </c>
      <c r="P2211" s="27"/>
      <c r="Q2211" s="27"/>
      <c r="R2211" s="83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</row>
    <row r="2212">
      <c r="A2212" s="2"/>
      <c r="B2212" s="79" t="s">
        <v>70</v>
      </c>
      <c r="P2212" s="27"/>
      <c r="Q2212" s="27"/>
      <c r="R2212" s="83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</row>
    <row r="2213">
      <c r="A2213" s="2"/>
      <c r="B2213" s="8"/>
      <c r="C2213" s="6"/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5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</row>
    <row r="2214">
      <c r="A2214" s="2"/>
      <c r="B2214" s="8"/>
      <c r="C2214" s="6"/>
      <c r="D2214" s="6"/>
      <c r="E2214" s="6"/>
      <c r="F2214" s="6"/>
      <c r="G2214" s="6"/>
      <c r="H2214" s="6"/>
      <c r="I2214" s="6"/>
      <c r="J2214" s="6"/>
      <c r="K2214" s="19" t="s">
        <v>71</v>
      </c>
      <c r="L2214" s="6"/>
      <c r="M2214" s="6"/>
      <c r="N2214" s="6"/>
      <c r="O2214" s="6"/>
      <c r="P2214" s="9" t="s">
        <v>72</v>
      </c>
      <c r="R2214" s="10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</row>
    <row r="2215">
      <c r="A2215" s="2"/>
      <c r="B2215" s="88"/>
      <c r="C2215" s="34"/>
      <c r="D2215" s="34"/>
      <c r="E2215" s="34"/>
      <c r="F2215" s="34"/>
      <c r="G2215" s="34"/>
      <c r="H2215" s="34"/>
      <c r="I2215" s="34"/>
      <c r="J2215" s="34"/>
      <c r="K2215" s="34"/>
      <c r="L2215" s="34"/>
      <c r="M2215" s="34"/>
      <c r="N2215" s="34"/>
      <c r="O2215" s="34"/>
      <c r="P2215" s="34"/>
      <c r="Q2215" s="34"/>
      <c r="R2215" s="89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</row>
    <row r="2216">
      <c r="A2216" s="2"/>
      <c r="B2216" s="177"/>
      <c r="C2216" s="177"/>
      <c r="D2216" s="177"/>
      <c r="E2216" s="177"/>
      <c r="F2216" s="177"/>
      <c r="G2216" s="177"/>
      <c r="H2216" s="177"/>
      <c r="I2216" s="177"/>
      <c r="J2216" s="177"/>
      <c r="K2216" s="177"/>
      <c r="L2216" s="177"/>
      <c r="M2216" s="177"/>
      <c r="N2216" s="177"/>
      <c r="O2216" s="177"/>
      <c r="P2216" s="177"/>
      <c r="Q2216" s="177"/>
      <c r="R2216" s="177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</row>
    <row r="2217">
      <c r="A2217" s="2"/>
      <c r="B2217" s="177"/>
      <c r="C2217" s="177"/>
      <c r="D2217" s="177"/>
      <c r="E2217" s="177"/>
      <c r="F2217" s="177"/>
      <c r="G2217" s="177"/>
      <c r="H2217" s="177"/>
      <c r="I2217" s="177"/>
      <c r="J2217" s="177"/>
      <c r="K2217" s="177"/>
      <c r="L2217" s="177"/>
      <c r="M2217" s="177"/>
      <c r="N2217" s="177"/>
      <c r="O2217" s="177"/>
      <c r="P2217" s="177"/>
      <c r="Q2217" s="177"/>
      <c r="R2217" s="177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</row>
    <row r="2218">
      <c r="A2218" s="2"/>
      <c r="B2218" s="177"/>
      <c r="C2218" s="177"/>
      <c r="D2218" s="177"/>
      <c r="E2218" s="177"/>
      <c r="F2218" s="177"/>
      <c r="G2218" s="177"/>
      <c r="H2218" s="177"/>
      <c r="I2218" s="177"/>
      <c r="J2218" s="177"/>
      <c r="K2218" s="177"/>
      <c r="L2218" s="177"/>
      <c r="M2218" s="177"/>
      <c r="N2218" s="177"/>
      <c r="O2218" s="177"/>
      <c r="P2218" s="177"/>
      <c r="Q2218" s="177"/>
      <c r="R2218" s="177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</row>
    <row r="2219">
      <c r="A2219" s="2"/>
      <c r="B2219" s="176" t="s">
        <v>1</v>
      </c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5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</row>
    <row r="2220">
      <c r="A2220" s="2"/>
      <c r="B2220" s="8"/>
      <c r="F2220" s="9"/>
      <c r="G2220" s="9"/>
      <c r="H2220" s="9"/>
      <c r="I2220" s="9"/>
      <c r="J2220" s="9" t="s">
        <v>2</v>
      </c>
      <c r="N2220" s="6"/>
      <c r="R2220" s="10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</row>
    <row r="2221">
      <c r="A2221" s="2"/>
      <c r="B2221" s="13"/>
      <c r="F2221" s="9"/>
      <c r="G2221" s="9"/>
      <c r="H2221" s="9"/>
      <c r="I2221" s="9"/>
      <c r="J2221" s="9" t="s">
        <v>3</v>
      </c>
      <c r="N2221" s="6"/>
      <c r="R2221" s="10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</row>
    <row r="2222">
      <c r="A2222" s="2"/>
      <c r="B2222" s="13" t="s">
        <v>4</v>
      </c>
      <c r="R2222" s="10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</row>
    <row r="2223">
      <c r="A2223" s="2"/>
      <c r="B2223" s="16" t="s">
        <v>5</v>
      </c>
      <c r="C2223" s="17" t="s">
        <v>6</v>
      </c>
      <c r="D2223" s="4"/>
      <c r="E2223" s="4"/>
      <c r="F2223" s="4"/>
      <c r="G2223" s="4"/>
      <c r="H2223" s="4"/>
      <c r="I2223" s="4"/>
      <c r="J2223" s="4"/>
      <c r="K2223" s="5"/>
      <c r="L2223" s="18" t="s">
        <v>7</v>
      </c>
      <c r="M2223" s="19">
        <v>86.0</v>
      </c>
      <c r="N2223" s="20"/>
      <c r="O2223" s="4"/>
      <c r="P2223" s="4"/>
      <c r="Q2223" s="4"/>
      <c r="R2223" s="5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</row>
    <row r="2224">
      <c r="A2224" s="2"/>
      <c r="B2224" s="26"/>
      <c r="C2224" s="27" t="s">
        <v>8</v>
      </c>
      <c r="K2224" s="10"/>
      <c r="L2224" s="18" t="s">
        <v>9</v>
      </c>
      <c r="M2224" s="9" t="s">
        <v>178</v>
      </c>
      <c r="N2224" s="6"/>
      <c r="R2224" s="10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</row>
    <row r="2225">
      <c r="A2225" s="2"/>
      <c r="B2225" s="16" t="s">
        <v>11</v>
      </c>
      <c r="C2225" s="30" t="s">
        <v>12</v>
      </c>
      <c r="D2225" s="31"/>
      <c r="E2225" s="31"/>
      <c r="F2225" s="31"/>
      <c r="G2225" s="31"/>
      <c r="H2225" s="31"/>
      <c r="I2225" s="31"/>
      <c r="J2225" s="31"/>
      <c r="K2225" s="32"/>
      <c r="L2225" s="18" t="s">
        <v>13</v>
      </c>
      <c r="M2225" s="33" t="s">
        <v>14</v>
      </c>
      <c r="N2225" s="34"/>
      <c r="O2225" s="31"/>
      <c r="P2225" s="31"/>
      <c r="Q2225" s="31"/>
      <c r="R2225" s="3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</row>
    <row r="2226">
      <c r="A2226" s="2"/>
      <c r="B2226" s="8"/>
      <c r="R2226" s="10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</row>
    <row r="2227">
      <c r="A2227" s="2"/>
      <c r="B2227" s="39" t="s">
        <v>15</v>
      </c>
      <c r="C2227" s="40" t="s">
        <v>16</v>
      </c>
      <c r="D2227" s="41" t="s">
        <v>17</v>
      </c>
      <c r="E2227" s="41" t="s">
        <v>18</v>
      </c>
      <c r="F2227" s="42" t="s">
        <v>19</v>
      </c>
      <c r="G2227" s="43"/>
      <c r="H2227" s="43"/>
      <c r="I2227" s="43"/>
      <c r="J2227" s="44"/>
      <c r="K2227" s="41" t="s">
        <v>20</v>
      </c>
      <c r="L2227" s="41" t="s">
        <v>21</v>
      </c>
      <c r="M2227" s="41" t="s">
        <v>22</v>
      </c>
      <c r="N2227" s="41" t="s">
        <v>23</v>
      </c>
      <c r="O2227" s="41" t="s">
        <v>24</v>
      </c>
      <c r="P2227" s="41" t="s">
        <v>25</v>
      </c>
      <c r="Q2227" s="41" t="s">
        <v>26</v>
      </c>
      <c r="R2227" s="45" t="s">
        <v>27</v>
      </c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</row>
    <row r="2228">
      <c r="A2228" s="2"/>
      <c r="B2228" s="52">
        <v>1.0</v>
      </c>
      <c r="C2228" s="53">
        <v>1.004725681E9</v>
      </c>
      <c r="D2228" s="54">
        <v>46087.0</v>
      </c>
      <c r="E2228" s="53" t="s">
        <v>100</v>
      </c>
      <c r="F2228" s="53" t="s">
        <v>87</v>
      </c>
      <c r="G2228" s="53" t="s">
        <v>86</v>
      </c>
      <c r="H2228" s="53" t="s">
        <v>83</v>
      </c>
      <c r="I2228" s="53" t="s">
        <v>84</v>
      </c>
      <c r="J2228" s="55"/>
      <c r="K2228" s="53" t="s">
        <v>38</v>
      </c>
      <c r="L2228" s="53" t="s">
        <v>89</v>
      </c>
      <c r="M2228" s="53">
        <v>3255.0</v>
      </c>
      <c r="N2228" s="53">
        <v>428.0</v>
      </c>
      <c r="O2228" s="53">
        <v>19.28</v>
      </c>
      <c r="P2228" s="55">
        <f>N2228*O2228</f>
        <v>8251.84</v>
      </c>
      <c r="Q2228" s="53">
        <v>755.0</v>
      </c>
      <c r="R2228" s="105">
        <f t="shared" ref="R2228:R2237" si="179">P2228+Q2228</f>
        <v>9006.84</v>
      </c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</row>
    <row r="2229">
      <c r="A2229" s="2"/>
      <c r="B2229" s="52">
        <v>2.0</v>
      </c>
      <c r="C2229" s="53">
        <v>1.004726517E9</v>
      </c>
      <c r="D2229" s="54">
        <v>46118.0</v>
      </c>
      <c r="E2229" s="53" t="s">
        <v>28</v>
      </c>
      <c r="F2229" s="53" t="s">
        <v>29</v>
      </c>
      <c r="G2229" s="53" t="s">
        <v>30</v>
      </c>
      <c r="H2229" s="53" t="s">
        <v>31</v>
      </c>
      <c r="I2229" s="53" t="s">
        <v>30</v>
      </c>
      <c r="J2229" s="55"/>
      <c r="K2229" s="53" t="s">
        <v>38</v>
      </c>
      <c r="L2229" s="53" t="s">
        <v>34</v>
      </c>
      <c r="M2229" s="53">
        <v>2767.0</v>
      </c>
      <c r="N2229" s="53">
        <v>246.0</v>
      </c>
      <c r="O2229" s="53">
        <v>19.28</v>
      </c>
      <c r="P2229" s="53">
        <v>4742.88</v>
      </c>
      <c r="Q2229" s="55"/>
      <c r="R2229" s="105">
        <f t="shared" si="179"/>
        <v>4742.88</v>
      </c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</row>
    <row r="2230">
      <c r="A2230" s="2"/>
      <c r="B2230" s="52">
        <v>3.0</v>
      </c>
      <c r="C2230" s="53">
        <v>1.004726337E9</v>
      </c>
      <c r="D2230" s="54">
        <v>46118.0</v>
      </c>
      <c r="E2230" s="53" t="s">
        <v>35</v>
      </c>
      <c r="F2230" s="53" t="s">
        <v>36</v>
      </c>
      <c r="G2230" s="53" t="s">
        <v>37</v>
      </c>
      <c r="H2230" s="55"/>
      <c r="I2230" s="55"/>
      <c r="J2230" s="55"/>
      <c r="K2230" s="53" t="s">
        <v>38</v>
      </c>
      <c r="L2230" s="53" t="s">
        <v>96</v>
      </c>
      <c r="M2230" s="53">
        <v>2921.0</v>
      </c>
      <c r="N2230" s="53">
        <v>200.0</v>
      </c>
      <c r="O2230" s="53">
        <v>19.28</v>
      </c>
      <c r="P2230" s="55">
        <f t="shared" ref="P2230:P2237" si="180">N2230*O2230</f>
        <v>3856</v>
      </c>
      <c r="Q2230" s="55"/>
      <c r="R2230" s="105">
        <f t="shared" si="179"/>
        <v>3856</v>
      </c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</row>
    <row r="2231">
      <c r="A2231" s="2"/>
      <c r="B2231" s="52">
        <v>4.0</v>
      </c>
      <c r="C2231" s="53">
        <v>1.00472634E9</v>
      </c>
      <c r="D2231" s="54">
        <v>46118.0</v>
      </c>
      <c r="E2231" s="53" t="s">
        <v>35</v>
      </c>
      <c r="F2231" s="53" t="s">
        <v>36</v>
      </c>
      <c r="G2231" s="53"/>
      <c r="H2231" s="55"/>
      <c r="I2231" s="55"/>
      <c r="J2231" s="55"/>
      <c r="K2231" s="53" t="s">
        <v>33</v>
      </c>
      <c r="L2231" s="53" t="s">
        <v>41</v>
      </c>
      <c r="M2231" s="53">
        <v>1998.0</v>
      </c>
      <c r="N2231" s="53">
        <v>130.0</v>
      </c>
      <c r="O2231" s="53">
        <v>15.53</v>
      </c>
      <c r="P2231" s="55">
        <f t="shared" si="180"/>
        <v>2018.9</v>
      </c>
      <c r="Q2231" s="55"/>
      <c r="R2231" s="105">
        <f t="shared" si="179"/>
        <v>2018.9</v>
      </c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</row>
    <row r="2232">
      <c r="A2232" s="2"/>
      <c r="B2232" s="52">
        <v>5.0</v>
      </c>
      <c r="C2232" s="53">
        <v>1.004726327E9</v>
      </c>
      <c r="D2232" s="54">
        <v>46118.0</v>
      </c>
      <c r="E2232" s="53" t="s">
        <v>35</v>
      </c>
      <c r="F2232" s="53" t="s">
        <v>36</v>
      </c>
      <c r="G2232" s="53" t="s">
        <v>40</v>
      </c>
      <c r="H2232" s="55"/>
      <c r="I2232" s="55"/>
      <c r="J2232" s="55"/>
      <c r="K2232" s="53" t="s">
        <v>38</v>
      </c>
      <c r="L2232" s="53" t="s">
        <v>97</v>
      </c>
      <c r="M2232" s="53">
        <v>3530.0</v>
      </c>
      <c r="N2232" s="53">
        <v>150.0</v>
      </c>
      <c r="O2232" s="53">
        <v>19.28</v>
      </c>
      <c r="P2232" s="55">
        <f t="shared" si="180"/>
        <v>2892</v>
      </c>
      <c r="Q2232" s="55"/>
      <c r="R2232" s="105">
        <f t="shared" si="179"/>
        <v>2892</v>
      </c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</row>
    <row r="2233">
      <c r="A2233" s="2"/>
      <c r="B2233" s="52">
        <v>6.0</v>
      </c>
      <c r="C2233" s="53">
        <v>1.004726905E9</v>
      </c>
      <c r="D2233" s="54">
        <v>46118.0</v>
      </c>
      <c r="E2233" s="53" t="s">
        <v>51</v>
      </c>
      <c r="F2233" s="53" t="s">
        <v>44</v>
      </c>
      <c r="G2233" s="53" t="s">
        <v>49</v>
      </c>
      <c r="H2233" s="55"/>
      <c r="I2233" s="55"/>
      <c r="J2233" s="55"/>
      <c r="K2233" s="53" t="s">
        <v>45</v>
      </c>
      <c r="L2233" s="53" t="s">
        <v>98</v>
      </c>
      <c r="M2233" s="53">
        <v>1570.0</v>
      </c>
      <c r="N2233" s="53">
        <v>230.0</v>
      </c>
      <c r="O2233" s="53">
        <v>15.53</v>
      </c>
      <c r="P2233" s="55">
        <f t="shared" si="180"/>
        <v>3571.9</v>
      </c>
      <c r="Q2233" s="55"/>
      <c r="R2233" s="105">
        <f t="shared" si="179"/>
        <v>3571.9</v>
      </c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</row>
    <row r="2234">
      <c r="A2234" s="2"/>
      <c r="B2234" s="52">
        <v>7.0</v>
      </c>
      <c r="C2234" s="53">
        <v>1.004727093E9</v>
      </c>
      <c r="D2234" s="54">
        <v>46118.0</v>
      </c>
      <c r="E2234" s="53" t="s">
        <v>51</v>
      </c>
      <c r="F2234" s="53" t="s">
        <v>44</v>
      </c>
      <c r="G2234" s="53"/>
      <c r="H2234" s="53"/>
      <c r="I2234" s="55"/>
      <c r="J2234" s="55"/>
      <c r="K2234" s="53" t="s">
        <v>45</v>
      </c>
      <c r="L2234" s="53" t="s">
        <v>50</v>
      </c>
      <c r="M2234" s="53">
        <v>1487.0</v>
      </c>
      <c r="N2234" s="53">
        <v>230.0</v>
      </c>
      <c r="O2234" s="53">
        <v>15.53</v>
      </c>
      <c r="P2234" s="55">
        <f t="shared" si="180"/>
        <v>3571.9</v>
      </c>
      <c r="Q2234" s="55"/>
      <c r="R2234" s="105">
        <f t="shared" si="179"/>
        <v>3571.9</v>
      </c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</row>
    <row r="2235">
      <c r="A2235" s="2"/>
      <c r="B2235" s="52">
        <v>8.0</v>
      </c>
      <c r="C2235" s="53">
        <v>1.004727657E9</v>
      </c>
      <c r="D2235" s="54">
        <v>46118.0</v>
      </c>
      <c r="E2235" s="53" t="s">
        <v>51</v>
      </c>
      <c r="F2235" s="53" t="s">
        <v>49</v>
      </c>
      <c r="G2235" s="53" t="s">
        <v>44</v>
      </c>
      <c r="H2235" s="53"/>
      <c r="I2235" s="55"/>
      <c r="J2235" s="55"/>
      <c r="K2235" s="53" t="s">
        <v>45</v>
      </c>
      <c r="L2235" s="53" t="s">
        <v>52</v>
      </c>
      <c r="M2235" s="53">
        <v>1503.0</v>
      </c>
      <c r="N2235" s="53">
        <v>230.0</v>
      </c>
      <c r="O2235" s="53">
        <v>15.53</v>
      </c>
      <c r="P2235" s="55">
        <f t="shared" si="180"/>
        <v>3571.9</v>
      </c>
      <c r="Q2235" s="55"/>
      <c r="R2235" s="105">
        <f t="shared" si="179"/>
        <v>3571.9</v>
      </c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</row>
    <row r="2236">
      <c r="A2236" s="2"/>
      <c r="B2236" s="52">
        <v>9.0</v>
      </c>
      <c r="C2236" s="53">
        <v>1.004727654E9</v>
      </c>
      <c r="D2236" s="54">
        <v>46118.0</v>
      </c>
      <c r="E2236" s="53" t="s">
        <v>51</v>
      </c>
      <c r="F2236" s="53" t="s">
        <v>44</v>
      </c>
      <c r="G2236" s="55"/>
      <c r="H2236" s="53"/>
      <c r="I2236" s="55"/>
      <c r="J2236" s="55"/>
      <c r="K2236" s="53" t="s">
        <v>45</v>
      </c>
      <c r="L2236" s="53" t="s">
        <v>112</v>
      </c>
      <c r="M2236" s="53">
        <v>1509.0</v>
      </c>
      <c r="N2236" s="53">
        <v>230.0</v>
      </c>
      <c r="O2236" s="53">
        <v>15.53</v>
      </c>
      <c r="P2236" s="55">
        <f t="shared" si="180"/>
        <v>3571.9</v>
      </c>
      <c r="Q2236" s="53"/>
      <c r="R2236" s="105">
        <f t="shared" si="179"/>
        <v>3571.9</v>
      </c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</row>
    <row r="2237">
      <c r="A2237" s="2"/>
      <c r="B2237" s="52">
        <v>10.0</v>
      </c>
      <c r="C2237" s="53">
        <v>1.004727717E9</v>
      </c>
      <c r="D2237" s="54">
        <v>46118.0</v>
      </c>
      <c r="E2237" s="53" t="s">
        <v>82</v>
      </c>
      <c r="F2237" s="53" t="s">
        <v>87</v>
      </c>
      <c r="G2237" s="53" t="s">
        <v>88</v>
      </c>
      <c r="H2237" s="53" t="s">
        <v>83</v>
      </c>
      <c r="I2237" s="55"/>
      <c r="J2237" s="55"/>
      <c r="K2237" s="53" t="s">
        <v>38</v>
      </c>
      <c r="L2237" s="53" t="s">
        <v>101</v>
      </c>
      <c r="M2237" s="53">
        <v>3431.0</v>
      </c>
      <c r="N2237" s="53">
        <v>484.0</v>
      </c>
      <c r="O2237" s="53">
        <v>19.28</v>
      </c>
      <c r="P2237" s="55">
        <f t="shared" si="180"/>
        <v>9331.52</v>
      </c>
      <c r="Q2237" s="53">
        <v>930.0</v>
      </c>
      <c r="R2237" s="105">
        <f t="shared" si="179"/>
        <v>10261.52</v>
      </c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</row>
    <row r="2238">
      <c r="A2238" s="2"/>
      <c r="B2238" s="8"/>
      <c r="C2238" s="6"/>
      <c r="D2238" s="6"/>
      <c r="E2238" s="6"/>
      <c r="F2238" s="6"/>
      <c r="G2238" s="6"/>
      <c r="H2238" s="6"/>
      <c r="I2238" s="6"/>
      <c r="J2238" s="6"/>
      <c r="K2238" s="6"/>
      <c r="L2238" s="6"/>
      <c r="M2238" s="6"/>
      <c r="N2238" s="6"/>
      <c r="O2238" s="6"/>
      <c r="P2238" s="6"/>
      <c r="Q2238" s="6"/>
      <c r="R2238" s="65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</row>
    <row r="2239">
      <c r="A2239" s="2"/>
      <c r="B2239" s="67" t="s">
        <v>64</v>
      </c>
      <c r="C2239" s="68"/>
      <c r="D2239" s="69" t="str">
        <f>MONEYTEXT(R2239, "INR")</f>
        <v/>
      </c>
      <c r="E2239" s="68"/>
      <c r="F2239" s="68"/>
      <c r="G2239" s="68"/>
      <c r="H2239" s="68"/>
      <c r="I2239" s="68"/>
      <c r="J2239" s="68"/>
      <c r="K2239" s="68"/>
      <c r="L2239" s="68"/>
      <c r="M2239" s="68"/>
      <c r="N2239" s="70" t="s">
        <v>65</v>
      </c>
      <c r="O2239" s="4"/>
      <c r="P2239" s="96">
        <f t="shared" ref="P2239:R2239" si="181">SUM(P2228:P2237)</f>
        <v>45380.74</v>
      </c>
      <c r="Q2239" s="96">
        <f t="shared" si="181"/>
        <v>1685</v>
      </c>
      <c r="R2239" s="96">
        <f t="shared" si="181"/>
        <v>47065.74</v>
      </c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</row>
    <row r="2240">
      <c r="A2240" s="2"/>
      <c r="B2240" s="67" t="s">
        <v>66</v>
      </c>
      <c r="C2240" s="68"/>
      <c r="D2240" s="68"/>
      <c r="E2240" s="68"/>
      <c r="F2240" s="68"/>
      <c r="G2240" s="68"/>
      <c r="H2240" s="68"/>
      <c r="I2240" s="68"/>
      <c r="J2240" s="68"/>
      <c r="K2240" s="68"/>
      <c r="L2240" s="68"/>
      <c r="M2240" s="68"/>
      <c r="N2240" s="68"/>
      <c r="O2240" s="76"/>
      <c r="P2240" s="97" t="s">
        <v>67</v>
      </c>
      <c r="Q2240" s="31"/>
      <c r="R2240" s="3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</row>
    <row r="2241">
      <c r="A2241" s="2"/>
      <c r="B2241" s="79" t="s">
        <v>68</v>
      </c>
      <c r="P2241" s="27"/>
      <c r="Q2241" s="27"/>
      <c r="R2241" s="83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</row>
    <row r="2242">
      <c r="A2242" s="2"/>
      <c r="B2242" s="79" t="s">
        <v>70</v>
      </c>
      <c r="P2242" s="27"/>
      <c r="Q2242" s="27"/>
      <c r="R2242" s="83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</row>
    <row r="2243">
      <c r="A2243" s="2"/>
      <c r="B2243" s="8"/>
      <c r="C2243" s="6"/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5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</row>
    <row r="2244">
      <c r="A2244" s="2"/>
      <c r="B2244" s="8"/>
      <c r="C2244" s="6"/>
      <c r="D2244" s="6"/>
      <c r="E2244" s="6"/>
      <c r="F2244" s="6"/>
      <c r="G2244" s="6"/>
      <c r="H2244" s="6"/>
      <c r="I2244" s="6"/>
      <c r="J2244" s="6"/>
      <c r="K2244" s="19" t="s">
        <v>71</v>
      </c>
      <c r="L2244" s="6"/>
      <c r="M2244" s="6"/>
      <c r="N2244" s="6"/>
      <c r="O2244" s="6"/>
      <c r="P2244" s="9" t="s">
        <v>72</v>
      </c>
      <c r="R2244" s="10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</row>
    <row r="2245">
      <c r="A2245" s="2"/>
      <c r="B2245" s="88"/>
      <c r="C2245" s="34"/>
      <c r="D2245" s="34"/>
      <c r="E2245" s="34"/>
      <c r="F2245" s="34"/>
      <c r="G2245" s="34"/>
      <c r="H2245" s="34"/>
      <c r="I2245" s="34"/>
      <c r="J2245" s="34"/>
      <c r="K2245" s="34"/>
      <c r="L2245" s="34"/>
      <c r="M2245" s="34"/>
      <c r="N2245" s="34"/>
      <c r="O2245" s="34"/>
      <c r="P2245" s="34"/>
      <c r="Q2245" s="34"/>
      <c r="R2245" s="89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</row>
    <row r="2246">
      <c r="A2246" s="2"/>
      <c r="B2246" s="177"/>
      <c r="C2246" s="177"/>
      <c r="D2246" s="177"/>
      <c r="E2246" s="177"/>
      <c r="F2246" s="177"/>
      <c r="G2246" s="177"/>
      <c r="H2246" s="177"/>
      <c r="I2246" s="177"/>
      <c r="J2246" s="177"/>
      <c r="K2246" s="177"/>
      <c r="L2246" s="177"/>
      <c r="M2246" s="177"/>
      <c r="N2246" s="177"/>
      <c r="O2246" s="177"/>
      <c r="P2246" s="177"/>
      <c r="Q2246" s="177"/>
      <c r="R2246" s="177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</row>
    <row r="2247">
      <c r="A2247" s="2"/>
      <c r="B2247" s="177"/>
      <c r="C2247" s="177"/>
      <c r="D2247" s="177"/>
      <c r="E2247" s="177"/>
      <c r="F2247" s="177"/>
      <c r="G2247" s="177"/>
      <c r="H2247" s="177"/>
      <c r="I2247" s="177"/>
      <c r="J2247" s="177"/>
      <c r="K2247" s="177"/>
      <c r="L2247" s="177"/>
      <c r="M2247" s="177"/>
      <c r="N2247" s="177"/>
      <c r="O2247" s="177"/>
      <c r="P2247" s="177"/>
      <c r="Q2247" s="177"/>
      <c r="R2247" s="177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</row>
    <row r="2248">
      <c r="A2248" s="2"/>
      <c r="B2248" s="176" t="s">
        <v>1</v>
      </c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5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</row>
    <row r="2249">
      <c r="A2249" s="2"/>
      <c r="B2249" s="11"/>
      <c r="F2249" s="12"/>
      <c r="G2249" s="12"/>
      <c r="I2249" s="12"/>
      <c r="J2249" s="12" t="s">
        <v>2</v>
      </c>
      <c r="N2249" s="2"/>
      <c r="R2249" s="10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</row>
    <row r="2250">
      <c r="A2250" s="2"/>
      <c r="B2250" s="14"/>
      <c r="F2250" s="12"/>
      <c r="G2250" s="12"/>
      <c r="H2250" s="12"/>
      <c r="I2250" s="12"/>
      <c r="J2250" s="12" t="s">
        <v>3</v>
      </c>
      <c r="N2250" s="2"/>
      <c r="R2250" s="10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</row>
    <row r="2251">
      <c r="A2251" s="2"/>
      <c r="B2251" s="14" t="s">
        <v>4</v>
      </c>
      <c r="R2251" s="10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</row>
    <row r="2252">
      <c r="A2252" s="2"/>
      <c r="B2252" s="21" t="s">
        <v>5</v>
      </c>
      <c r="C2252" s="22" t="s">
        <v>6</v>
      </c>
      <c r="D2252" s="4"/>
      <c r="E2252" s="4"/>
      <c r="F2252" s="4"/>
      <c r="G2252" s="4"/>
      <c r="H2252" s="4"/>
      <c r="I2252" s="4"/>
      <c r="J2252" s="4"/>
      <c r="K2252" s="5"/>
      <c r="L2252" s="23" t="s">
        <v>7</v>
      </c>
      <c r="M2252" s="87">
        <v>87.0</v>
      </c>
      <c r="N2252" s="24"/>
      <c r="O2252" s="4"/>
      <c r="P2252" s="4"/>
      <c r="Q2252" s="4"/>
      <c r="R2252" s="5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</row>
    <row r="2253">
      <c r="A2253" s="2"/>
      <c r="B2253" s="28"/>
      <c r="C2253" s="29" t="s">
        <v>8</v>
      </c>
      <c r="K2253" s="10"/>
      <c r="L2253" s="23" t="s">
        <v>9</v>
      </c>
      <c r="M2253" s="9" t="s">
        <v>178</v>
      </c>
      <c r="N2253" s="2"/>
      <c r="R2253" s="10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</row>
    <row r="2254">
      <c r="A2254" s="2"/>
      <c r="B2254" s="21" t="s">
        <v>11</v>
      </c>
      <c r="C2254" s="35" t="s">
        <v>12</v>
      </c>
      <c r="D2254" s="31"/>
      <c r="E2254" s="31"/>
      <c r="F2254" s="31"/>
      <c r="G2254" s="31"/>
      <c r="H2254" s="31"/>
      <c r="I2254" s="31"/>
      <c r="J2254" s="31"/>
      <c r="K2254" s="32"/>
      <c r="L2254" s="23" t="s">
        <v>13</v>
      </c>
      <c r="M2254" s="33" t="s">
        <v>14</v>
      </c>
      <c r="N2254" s="36"/>
      <c r="O2254" s="31"/>
      <c r="P2254" s="31"/>
      <c r="Q2254" s="31"/>
      <c r="R2254" s="3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</row>
    <row r="2255">
      <c r="A2255" s="2"/>
      <c r="B2255" s="11"/>
      <c r="R2255" s="10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</row>
    <row r="2256">
      <c r="A2256" s="2"/>
      <c r="B2256" s="46" t="s">
        <v>15</v>
      </c>
      <c r="C2256" s="47" t="s">
        <v>16</v>
      </c>
      <c r="D2256" s="48" t="s">
        <v>17</v>
      </c>
      <c r="E2256" s="48" t="s">
        <v>18</v>
      </c>
      <c r="F2256" s="49" t="s">
        <v>19</v>
      </c>
      <c r="G2256" s="43"/>
      <c r="H2256" s="43"/>
      <c r="I2256" s="43"/>
      <c r="J2256" s="44"/>
      <c r="K2256" s="48" t="s">
        <v>20</v>
      </c>
      <c r="L2256" s="48" t="s">
        <v>21</v>
      </c>
      <c r="M2256" s="48" t="s">
        <v>22</v>
      </c>
      <c r="N2256" s="48" t="s">
        <v>23</v>
      </c>
      <c r="O2256" s="48" t="s">
        <v>24</v>
      </c>
      <c r="P2256" s="48" t="s">
        <v>25</v>
      </c>
      <c r="Q2256" s="48" t="s">
        <v>26</v>
      </c>
      <c r="R2256" s="50" t="s">
        <v>27</v>
      </c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</row>
    <row r="2257">
      <c r="A2257" s="2"/>
      <c r="B2257" s="52">
        <v>1.0</v>
      </c>
      <c r="C2257" s="53">
        <v>1.004727869E9</v>
      </c>
      <c r="D2257" s="54">
        <v>46118.0</v>
      </c>
      <c r="E2257" s="53" t="s">
        <v>106</v>
      </c>
      <c r="F2257" s="53" t="s">
        <v>107</v>
      </c>
      <c r="G2257" s="53" t="s">
        <v>108</v>
      </c>
      <c r="H2257" s="53" t="s">
        <v>109</v>
      </c>
      <c r="I2257" s="55"/>
      <c r="J2257" s="55"/>
      <c r="K2257" s="53" t="s">
        <v>80</v>
      </c>
      <c r="L2257" s="53" t="s">
        <v>118</v>
      </c>
      <c r="M2257" s="53">
        <v>2901.0</v>
      </c>
      <c r="N2257" s="53">
        <v>482.0</v>
      </c>
      <c r="O2257" s="53">
        <v>18.28</v>
      </c>
      <c r="P2257" s="53">
        <f t="shared" ref="P2257:P2266" si="182">N2257*O2257</f>
        <v>8810.96</v>
      </c>
      <c r="Q2257" s="53">
        <v>1025.0</v>
      </c>
      <c r="R2257" s="94">
        <f t="shared" ref="R2257:R2266" si="183">P2257+Q2257</f>
        <v>9835.96</v>
      </c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</row>
    <row r="2258">
      <c r="A2258" s="2"/>
      <c r="B2258" s="52">
        <v>2.0</v>
      </c>
      <c r="C2258" s="53">
        <v>1.00472784E9</v>
      </c>
      <c r="D2258" s="232">
        <v>46118.0</v>
      </c>
      <c r="E2258" s="233" t="s">
        <v>90</v>
      </c>
      <c r="F2258" s="233" t="s">
        <v>91</v>
      </c>
      <c r="G2258" s="233" t="s">
        <v>83</v>
      </c>
      <c r="H2258" s="233" t="s">
        <v>92</v>
      </c>
      <c r="I2258" s="233" t="s">
        <v>93</v>
      </c>
      <c r="J2258" s="233" t="s">
        <v>94</v>
      </c>
      <c r="K2258" s="233" t="s">
        <v>38</v>
      </c>
      <c r="L2258" s="233" t="s">
        <v>102</v>
      </c>
      <c r="M2258" s="233">
        <v>3419.0</v>
      </c>
      <c r="N2258" s="233">
        <v>405.0</v>
      </c>
      <c r="O2258" s="233">
        <v>19.28</v>
      </c>
      <c r="P2258" s="233">
        <f t="shared" si="182"/>
        <v>7808.4</v>
      </c>
      <c r="Q2258" s="233">
        <v>500.0</v>
      </c>
      <c r="R2258" s="234">
        <f t="shared" si="183"/>
        <v>8308.4</v>
      </c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</row>
    <row r="2259">
      <c r="A2259" s="2"/>
      <c r="B2259" s="52">
        <v>3.0</v>
      </c>
      <c r="C2259" s="235">
        <v>1.004727904E9</v>
      </c>
      <c r="D2259" s="232">
        <v>46118.0</v>
      </c>
      <c r="E2259" s="233" t="s">
        <v>55</v>
      </c>
      <c r="F2259" s="233" t="s">
        <v>56</v>
      </c>
      <c r="G2259" s="233" t="s">
        <v>57</v>
      </c>
      <c r="H2259" s="233" t="s">
        <v>59</v>
      </c>
      <c r="I2259" s="233" t="s">
        <v>58</v>
      </c>
      <c r="J2259" s="233"/>
      <c r="K2259" s="233" t="s">
        <v>38</v>
      </c>
      <c r="L2259" s="233" t="s">
        <v>105</v>
      </c>
      <c r="M2259" s="233">
        <v>3280.0</v>
      </c>
      <c r="N2259" s="233">
        <v>572.0</v>
      </c>
      <c r="O2259" s="233">
        <v>19.28</v>
      </c>
      <c r="P2259" s="233">
        <f t="shared" si="182"/>
        <v>11028.16</v>
      </c>
      <c r="Q2259" s="233">
        <v>330.0</v>
      </c>
      <c r="R2259" s="234">
        <f t="shared" si="183"/>
        <v>11358.16</v>
      </c>
      <c r="S2259" s="236"/>
      <c r="T2259" s="237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</row>
    <row r="2260">
      <c r="A2260" s="2"/>
      <c r="B2260" s="52">
        <v>4.0</v>
      </c>
      <c r="C2260" s="53">
        <v>1.004728736E9</v>
      </c>
      <c r="D2260" s="54">
        <v>46148.0</v>
      </c>
      <c r="E2260" s="53" t="s">
        <v>28</v>
      </c>
      <c r="F2260" s="53" t="s">
        <v>29</v>
      </c>
      <c r="G2260" s="53" t="s">
        <v>30</v>
      </c>
      <c r="H2260" s="53" t="s">
        <v>32</v>
      </c>
      <c r="I2260" s="53" t="s">
        <v>31</v>
      </c>
      <c r="J2260" s="55"/>
      <c r="K2260" s="53" t="s">
        <v>33</v>
      </c>
      <c r="L2260" s="53" t="s">
        <v>34</v>
      </c>
      <c r="M2260" s="53">
        <v>2098.0</v>
      </c>
      <c r="N2260" s="53">
        <v>246.0</v>
      </c>
      <c r="O2260" s="53">
        <v>15.53</v>
      </c>
      <c r="P2260" s="53">
        <f t="shared" si="182"/>
        <v>3820.38</v>
      </c>
      <c r="Q2260" s="55"/>
      <c r="R2260" s="94">
        <f t="shared" si="183"/>
        <v>3820.38</v>
      </c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</row>
    <row r="2261">
      <c r="A2261" s="2"/>
      <c r="B2261" s="52">
        <v>5.0</v>
      </c>
      <c r="C2261" s="53">
        <v>1.004728631E9</v>
      </c>
      <c r="D2261" s="54">
        <v>46148.0</v>
      </c>
      <c r="E2261" s="53" t="s">
        <v>35</v>
      </c>
      <c r="F2261" s="53" t="s">
        <v>37</v>
      </c>
      <c r="G2261" s="53" t="s">
        <v>36</v>
      </c>
      <c r="H2261" s="55"/>
      <c r="I2261" s="55"/>
      <c r="J2261" s="55"/>
      <c r="K2261" s="53" t="s">
        <v>33</v>
      </c>
      <c r="L2261" s="53" t="s">
        <v>41</v>
      </c>
      <c r="M2261" s="53">
        <v>1432.0</v>
      </c>
      <c r="N2261" s="53">
        <v>200.0</v>
      </c>
      <c r="O2261" s="53">
        <v>15.53</v>
      </c>
      <c r="P2261" s="53">
        <f t="shared" si="182"/>
        <v>3106</v>
      </c>
      <c r="Q2261" s="55"/>
      <c r="R2261" s="94">
        <f t="shared" si="183"/>
        <v>3106</v>
      </c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</row>
    <row r="2262">
      <c r="A2262" s="2"/>
      <c r="B2262" s="52">
        <v>6.0</v>
      </c>
      <c r="C2262" s="53">
        <v>1.004728624E9</v>
      </c>
      <c r="D2262" s="54">
        <v>46148.0</v>
      </c>
      <c r="E2262" s="53" t="s">
        <v>35</v>
      </c>
      <c r="F2262" s="53" t="s">
        <v>36</v>
      </c>
      <c r="G2262" s="53" t="s">
        <v>40</v>
      </c>
      <c r="H2262" s="55"/>
      <c r="I2262" s="55"/>
      <c r="J2262" s="55"/>
      <c r="K2262" s="53" t="s">
        <v>38</v>
      </c>
      <c r="L2262" s="53" t="s">
        <v>96</v>
      </c>
      <c r="M2262" s="53">
        <v>3255.0</v>
      </c>
      <c r="N2262" s="53">
        <v>150.0</v>
      </c>
      <c r="O2262" s="53">
        <v>19.28</v>
      </c>
      <c r="P2262" s="53">
        <f t="shared" si="182"/>
        <v>2892</v>
      </c>
      <c r="Q2262" s="55"/>
      <c r="R2262" s="94">
        <f t="shared" si="183"/>
        <v>2892</v>
      </c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</row>
    <row r="2263">
      <c r="A2263" s="2"/>
      <c r="B2263" s="52">
        <v>7.0</v>
      </c>
      <c r="C2263" s="53">
        <v>1.004729181E9</v>
      </c>
      <c r="D2263" s="54">
        <v>46148.0</v>
      </c>
      <c r="E2263" s="53" t="s">
        <v>42</v>
      </c>
      <c r="F2263" s="53" t="s">
        <v>44</v>
      </c>
      <c r="G2263" s="53" t="s">
        <v>43</v>
      </c>
      <c r="H2263" s="53" t="s">
        <v>49</v>
      </c>
      <c r="I2263" s="55"/>
      <c r="J2263" s="55"/>
      <c r="K2263" s="53" t="s">
        <v>45</v>
      </c>
      <c r="L2263" s="53" t="s">
        <v>98</v>
      </c>
      <c r="M2263" s="53">
        <v>1440.0</v>
      </c>
      <c r="N2263" s="53">
        <v>299.0</v>
      </c>
      <c r="O2263" s="53">
        <v>15.53</v>
      </c>
      <c r="P2263" s="53">
        <f t="shared" si="182"/>
        <v>4643.47</v>
      </c>
      <c r="Q2263" s="55"/>
      <c r="R2263" s="94">
        <f t="shared" si="183"/>
        <v>4643.47</v>
      </c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</row>
    <row r="2264">
      <c r="A2264" s="2"/>
      <c r="B2264" s="52">
        <v>8.0</v>
      </c>
      <c r="C2264" s="53">
        <v>1.004729682E9</v>
      </c>
      <c r="D2264" s="54">
        <v>46148.0</v>
      </c>
      <c r="E2264" s="53" t="s">
        <v>51</v>
      </c>
      <c r="F2264" s="53" t="s">
        <v>44</v>
      </c>
      <c r="G2264" s="53"/>
      <c r="H2264" s="53"/>
      <c r="I2264" s="55"/>
      <c r="J2264" s="55"/>
      <c r="K2264" s="53" t="s">
        <v>45</v>
      </c>
      <c r="L2264" s="53" t="s">
        <v>50</v>
      </c>
      <c r="M2264" s="53">
        <v>1637.0</v>
      </c>
      <c r="N2264" s="53">
        <v>230.0</v>
      </c>
      <c r="O2264" s="53">
        <v>15.53</v>
      </c>
      <c r="P2264" s="53">
        <f t="shared" si="182"/>
        <v>3571.9</v>
      </c>
      <c r="Q2264" s="55"/>
      <c r="R2264" s="94">
        <f t="shared" si="183"/>
        <v>3571.9</v>
      </c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</row>
    <row r="2265">
      <c r="A2265" s="2"/>
      <c r="B2265" s="52">
        <v>9.0</v>
      </c>
      <c r="C2265" s="53">
        <v>1.004729023E9</v>
      </c>
      <c r="D2265" s="54">
        <v>46148.0</v>
      </c>
      <c r="E2265" s="53" t="s">
        <v>51</v>
      </c>
      <c r="F2265" s="53" t="s">
        <v>44</v>
      </c>
      <c r="G2265" s="55"/>
      <c r="H2265" s="53"/>
      <c r="I2265" s="55"/>
      <c r="J2265" s="55"/>
      <c r="K2265" s="53" t="s">
        <v>45</v>
      </c>
      <c r="L2265" s="53" t="s">
        <v>54</v>
      </c>
      <c r="M2265" s="53">
        <v>1462.0</v>
      </c>
      <c r="N2265" s="53">
        <v>230.0</v>
      </c>
      <c r="O2265" s="53">
        <v>15.53</v>
      </c>
      <c r="P2265" s="53">
        <f t="shared" si="182"/>
        <v>3571.9</v>
      </c>
      <c r="Q2265" s="53"/>
      <c r="R2265" s="94">
        <f t="shared" si="183"/>
        <v>3571.9</v>
      </c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</row>
    <row r="2266">
      <c r="A2266" s="2"/>
      <c r="B2266" s="52">
        <v>10.0</v>
      </c>
      <c r="C2266" s="53">
        <v>1.004729946E9</v>
      </c>
      <c r="D2266" s="54">
        <v>46148.0</v>
      </c>
      <c r="E2266" s="53" t="s">
        <v>100</v>
      </c>
      <c r="F2266" s="53" t="s">
        <v>83</v>
      </c>
      <c r="G2266" s="53" t="s">
        <v>84</v>
      </c>
      <c r="H2266" s="55"/>
      <c r="I2266" s="55"/>
      <c r="J2266" s="55"/>
      <c r="K2266" s="53" t="s">
        <v>33</v>
      </c>
      <c r="L2266" s="53" t="s">
        <v>85</v>
      </c>
      <c r="M2266" s="53">
        <v>1735.0</v>
      </c>
      <c r="N2266" s="53">
        <v>328.0</v>
      </c>
      <c r="O2266" s="53">
        <v>15.53</v>
      </c>
      <c r="P2266" s="53">
        <f t="shared" si="182"/>
        <v>5093.84</v>
      </c>
      <c r="Q2266" s="53"/>
      <c r="R2266" s="94">
        <f t="shared" si="183"/>
        <v>5093.84</v>
      </c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</row>
    <row r="2267">
      <c r="A2267" s="2"/>
      <c r="B2267" s="11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66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</row>
    <row r="2268">
      <c r="A2268" s="2"/>
      <c r="B2268" s="72" t="s">
        <v>64</v>
      </c>
      <c r="C2268" s="68"/>
      <c r="D2268" s="73" t="str">
        <f>MONEYTEXT(R2268, "INR")</f>
        <v/>
      </c>
      <c r="E2268" s="68"/>
      <c r="F2268" s="68"/>
      <c r="G2268" s="68"/>
      <c r="H2268" s="68"/>
      <c r="I2268" s="68"/>
      <c r="J2268" s="68"/>
      <c r="K2268" s="68"/>
      <c r="L2268" s="68"/>
      <c r="M2268" s="68"/>
      <c r="N2268" s="74" t="s">
        <v>65</v>
      </c>
      <c r="O2268" s="4"/>
      <c r="P2268" s="75">
        <f t="shared" ref="P2268:R2268" si="184">SUM(P2257:P2266)</f>
        <v>54347.01</v>
      </c>
      <c r="Q2268" s="75">
        <f t="shared" si="184"/>
        <v>1855</v>
      </c>
      <c r="R2268" s="75">
        <f t="shared" si="184"/>
        <v>56202.01</v>
      </c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</row>
    <row r="2269">
      <c r="A2269" s="2"/>
      <c r="B2269" s="72" t="s">
        <v>66</v>
      </c>
      <c r="C2269" s="68"/>
      <c r="D2269" s="68"/>
      <c r="E2269" s="68"/>
      <c r="F2269" s="68"/>
      <c r="G2269" s="68"/>
      <c r="H2269" s="68"/>
      <c r="I2269" s="68"/>
      <c r="J2269" s="68"/>
      <c r="K2269" s="68"/>
      <c r="L2269" s="68"/>
      <c r="M2269" s="68"/>
      <c r="N2269" s="68"/>
      <c r="O2269" s="76"/>
      <c r="P2269" s="78" t="s">
        <v>67</v>
      </c>
      <c r="Q2269" s="31"/>
      <c r="R2269" s="3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</row>
    <row r="2270">
      <c r="A2270" s="2"/>
      <c r="B2270" s="81" t="s">
        <v>68</v>
      </c>
      <c r="P2270" s="29"/>
      <c r="Q2270" s="29"/>
      <c r="R2270" s="8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</row>
    <row r="2271">
      <c r="A2271" s="2"/>
      <c r="B2271" s="81" t="s">
        <v>70</v>
      </c>
      <c r="P2271" s="29"/>
      <c r="Q2271" s="29"/>
      <c r="R2271" s="8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</row>
    <row r="2272">
      <c r="A2272" s="2"/>
      <c r="B2272" s="11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66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</row>
    <row r="2273">
      <c r="A2273" s="2"/>
      <c r="B2273" s="11"/>
      <c r="C2273" s="2"/>
      <c r="D2273" s="2"/>
      <c r="E2273" s="2"/>
      <c r="F2273" s="2"/>
      <c r="G2273" s="2"/>
      <c r="H2273" s="2"/>
      <c r="I2273" s="2"/>
      <c r="J2273" s="2"/>
      <c r="K2273" s="87" t="s">
        <v>71</v>
      </c>
      <c r="L2273" s="2"/>
      <c r="M2273" s="2"/>
      <c r="N2273" s="2"/>
      <c r="O2273" s="2"/>
      <c r="P2273" s="12" t="s">
        <v>72</v>
      </c>
      <c r="R2273" s="10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</row>
    <row r="2274">
      <c r="A2274" s="2"/>
      <c r="B2274" s="90"/>
      <c r="C2274" s="36"/>
      <c r="D2274" s="36"/>
      <c r="E2274" s="36"/>
      <c r="F2274" s="36"/>
      <c r="G2274" s="36"/>
      <c r="H2274" s="36"/>
      <c r="I2274" s="36"/>
      <c r="J2274" s="36"/>
      <c r="K2274" s="36"/>
      <c r="L2274" s="36"/>
      <c r="M2274" s="36"/>
      <c r="N2274" s="36"/>
      <c r="O2274" s="36"/>
      <c r="P2274" s="36"/>
      <c r="Q2274" s="36"/>
      <c r="R2274" s="91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</row>
    <row r="2275">
      <c r="A2275" s="2"/>
      <c r="B2275" s="177"/>
      <c r="C2275" s="177"/>
      <c r="D2275" s="177"/>
      <c r="E2275" s="177"/>
      <c r="F2275" s="177"/>
      <c r="G2275" s="177"/>
      <c r="H2275" s="177"/>
      <c r="I2275" s="177"/>
      <c r="J2275" s="177"/>
      <c r="K2275" s="177"/>
      <c r="L2275" s="177"/>
      <c r="M2275" s="177"/>
      <c r="N2275" s="177"/>
      <c r="O2275" s="177"/>
      <c r="P2275" s="177"/>
      <c r="Q2275" s="177"/>
      <c r="R2275" s="177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</row>
    <row r="2276">
      <c r="A2276" s="2"/>
      <c r="B2276" s="177"/>
      <c r="C2276" s="177"/>
      <c r="D2276" s="177"/>
      <c r="E2276" s="177"/>
      <c r="F2276" s="177"/>
      <c r="G2276" s="177"/>
      <c r="H2276" s="177"/>
      <c r="I2276" s="177"/>
      <c r="J2276" s="177"/>
      <c r="K2276" s="177"/>
      <c r="L2276" s="177"/>
      <c r="M2276" s="177"/>
      <c r="N2276" s="177"/>
      <c r="O2276" s="177"/>
      <c r="P2276" s="177"/>
      <c r="Q2276" s="177"/>
      <c r="R2276" s="177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</row>
    <row r="2277">
      <c r="A2277" s="2"/>
      <c r="B2277" s="177"/>
      <c r="C2277" s="177"/>
      <c r="D2277" s="177"/>
      <c r="E2277" s="177"/>
      <c r="F2277" s="177"/>
      <c r="G2277" s="177"/>
      <c r="H2277" s="177"/>
      <c r="I2277" s="177"/>
      <c r="J2277" s="177"/>
      <c r="K2277" s="177"/>
      <c r="L2277" s="177"/>
      <c r="M2277" s="177"/>
      <c r="N2277" s="177"/>
      <c r="O2277" s="177"/>
      <c r="P2277" s="177"/>
      <c r="Q2277" s="177"/>
      <c r="R2277" s="177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</row>
    <row r="2278">
      <c r="A2278" s="2"/>
      <c r="B2278" s="12" t="s">
        <v>183</v>
      </c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</row>
    <row r="2279">
      <c r="A2279" s="2"/>
      <c r="B2279" s="11"/>
      <c r="F2279" s="12"/>
      <c r="G2279" s="12"/>
      <c r="I2279" s="12"/>
      <c r="J2279" s="12" t="s">
        <v>2</v>
      </c>
      <c r="N2279" s="2"/>
      <c r="R2279" s="10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</row>
    <row r="2280">
      <c r="A2280" s="2"/>
      <c r="B2280" s="14"/>
      <c r="F2280" s="12"/>
      <c r="G2280" s="12"/>
      <c r="H2280" s="12"/>
      <c r="I2280" s="12"/>
      <c r="J2280" s="12" t="s">
        <v>3</v>
      </c>
      <c r="N2280" s="2"/>
      <c r="R2280" s="10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</row>
    <row r="2281">
      <c r="A2281" s="2"/>
      <c r="B2281" s="14" t="s">
        <v>4</v>
      </c>
      <c r="R2281" s="10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</row>
    <row r="2282">
      <c r="A2282" s="2"/>
      <c r="B2282" s="21" t="s">
        <v>5</v>
      </c>
      <c r="C2282" s="22" t="s">
        <v>6</v>
      </c>
      <c r="D2282" s="4"/>
      <c r="E2282" s="4"/>
      <c r="F2282" s="4"/>
      <c r="G2282" s="4"/>
      <c r="H2282" s="4"/>
      <c r="I2282" s="4"/>
      <c r="J2282" s="4"/>
      <c r="K2282" s="5"/>
      <c r="L2282" s="23" t="s">
        <v>7</v>
      </c>
      <c r="M2282" s="87">
        <v>88.0</v>
      </c>
      <c r="N2282" s="24"/>
      <c r="O2282" s="4"/>
      <c r="P2282" s="4"/>
      <c r="Q2282" s="4"/>
      <c r="R2282" s="5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</row>
    <row r="2283">
      <c r="A2283" s="2"/>
      <c r="B2283" s="28"/>
      <c r="C2283" s="29" t="s">
        <v>8</v>
      </c>
      <c r="K2283" s="10"/>
      <c r="L2283" s="23" t="s">
        <v>9</v>
      </c>
      <c r="M2283" s="9" t="s">
        <v>178</v>
      </c>
      <c r="N2283" s="2"/>
      <c r="R2283" s="10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</row>
    <row r="2284">
      <c r="A2284" s="2"/>
      <c r="B2284" s="21" t="s">
        <v>11</v>
      </c>
      <c r="C2284" s="35" t="s">
        <v>12</v>
      </c>
      <c r="D2284" s="31"/>
      <c r="E2284" s="31"/>
      <c r="F2284" s="31"/>
      <c r="G2284" s="31"/>
      <c r="H2284" s="31"/>
      <c r="I2284" s="31"/>
      <c r="J2284" s="31"/>
      <c r="K2284" s="32"/>
      <c r="L2284" s="23" t="s">
        <v>13</v>
      </c>
      <c r="M2284" s="33" t="s">
        <v>14</v>
      </c>
      <c r="N2284" s="36"/>
      <c r="O2284" s="31"/>
      <c r="P2284" s="31"/>
      <c r="Q2284" s="31"/>
      <c r="R2284" s="3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</row>
    <row r="2285">
      <c r="A2285" s="2"/>
      <c r="B2285" s="11"/>
      <c r="R2285" s="10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</row>
    <row r="2286">
      <c r="A2286" s="2"/>
      <c r="B2286" s="46" t="s">
        <v>15</v>
      </c>
      <c r="C2286" s="47" t="s">
        <v>16</v>
      </c>
      <c r="D2286" s="48" t="s">
        <v>17</v>
      </c>
      <c r="E2286" s="48" t="s">
        <v>18</v>
      </c>
      <c r="F2286" s="49" t="s">
        <v>19</v>
      </c>
      <c r="G2286" s="43"/>
      <c r="H2286" s="43"/>
      <c r="I2286" s="43"/>
      <c r="J2286" s="44"/>
      <c r="K2286" s="48" t="s">
        <v>20</v>
      </c>
      <c r="L2286" s="48" t="s">
        <v>21</v>
      </c>
      <c r="M2286" s="48" t="s">
        <v>22</v>
      </c>
      <c r="N2286" s="48" t="s">
        <v>23</v>
      </c>
      <c r="O2286" s="48" t="s">
        <v>24</v>
      </c>
      <c r="P2286" s="48" t="s">
        <v>25</v>
      </c>
      <c r="Q2286" s="48" t="s">
        <v>26</v>
      </c>
      <c r="R2286" s="50" t="s">
        <v>27</v>
      </c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</row>
    <row r="2287">
      <c r="A2287" s="2"/>
      <c r="B2287" s="52">
        <v>1.0</v>
      </c>
      <c r="C2287" s="53">
        <v>1.004729945E9</v>
      </c>
      <c r="D2287" s="54">
        <v>46148.0</v>
      </c>
      <c r="E2287" s="53" t="s">
        <v>100</v>
      </c>
      <c r="F2287" s="53" t="s">
        <v>87</v>
      </c>
      <c r="G2287" s="53" t="s">
        <v>86</v>
      </c>
      <c r="H2287" s="53" t="s">
        <v>83</v>
      </c>
      <c r="I2287" s="53" t="s">
        <v>84</v>
      </c>
      <c r="J2287" s="55"/>
      <c r="K2287" s="53" t="s">
        <v>38</v>
      </c>
      <c r="L2287" s="53" t="s">
        <v>89</v>
      </c>
      <c r="M2287" s="53">
        <v>3189.0</v>
      </c>
      <c r="N2287" s="53">
        <v>428.0</v>
      </c>
      <c r="O2287" s="53">
        <v>19.28</v>
      </c>
      <c r="P2287" s="55">
        <f t="shared" ref="P2287:P2296" si="185">N2287*O2287</f>
        <v>8251.84</v>
      </c>
      <c r="Q2287" s="53">
        <v>755.0</v>
      </c>
      <c r="R2287" s="94">
        <v>9006.84</v>
      </c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</row>
    <row r="2288">
      <c r="A2288" s="2"/>
      <c r="B2288" s="52">
        <v>2.0</v>
      </c>
      <c r="C2288" s="53">
        <v>1.004729984E9</v>
      </c>
      <c r="D2288" s="54">
        <v>46148.0</v>
      </c>
      <c r="E2288" s="53" t="s">
        <v>61</v>
      </c>
      <c r="F2288" s="53" t="s">
        <v>73</v>
      </c>
      <c r="G2288" s="53" t="s">
        <v>74</v>
      </c>
      <c r="H2288" s="53" t="s">
        <v>62</v>
      </c>
      <c r="I2288" s="53" t="s">
        <v>75</v>
      </c>
      <c r="J2288" s="55"/>
      <c r="K2288" s="53" t="s">
        <v>80</v>
      </c>
      <c r="L2288" s="53" t="s">
        <v>76</v>
      </c>
      <c r="M2288" s="53">
        <v>2541.0</v>
      </c>
      <c r="N2288" s="53">
        <v>560.0</v>
      </c>
      <c r="O2288" s="53">
        <v>18.28</v>
      </c>
      <c r="P2288" s="55">
        <f t="shared" si="185"/>
        <v>10236.8</v>
      </c>
      <c r="Q2288" s="53">
        <v>1080.0</v>
      </c>
      <c r="R2288" s="105">
        <f t="shared" ref="R2288:R2296" si="186">P2288+Q2288</f>
        <v>11316.8</v>
      </c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</row>
    <row r="2289">
      <c r="A2289" s="2"/>
      <c r="B2289" s="52">
        <v>3.0</v>
      </c>
      <c r="C2289" s="53">
        <v>1.004730048E9</v>
      </c>
      <c r="D2289" s="54">
        <v>46148.0</v>
      </c>
      <c r="E2289" s="53" t="s">
        <v>55</v>
      </c>
      <c r="F2289" s="53" t="s">
        <v>56</v>
      </c>
      <c r="G2289" s="53" t="s">
        <v>103</v>
      </c>
      <c r="H2289" s="53" t="s">
        <v>58</v>
      </c>
      <c r="I2289" s="53" t="s">
        <v>59</v>
      </c>
      <c r="J2289" s="55"/>
      <c r="K2289" s="53" t="s">
        <v>38</v>
      </c>
      <c r="L2289" s="53" t="s">
        <v>60</v>
      </c>
      <c r="M2289" s="53">
        <v>3438.0</v>
      </c>
      <c r="N2289" s="53">
        <v>572.0</v>
      </c>
      <c r="O2289" s="53">
        <v>19.28</v>
      </c>
      <c r="P2289" s="55">
        <f t="shared" si="185"/>
        <v>11028.16</v>
      </c>
      <c r="Q2289" s="53">
        <v>330.0</v>
      </c>
      <c r="R2289" s="105">
        <f t="shared" si="186"/>
        <v>11358.16</v>
      </c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</row>
    <row r="2290">
      <c r="A2290" s="2"/>
      <c r="B2290" s="52">
        <v>4.0</v>
      </c>
      <c r="C2290" s="53">
        <v>1.004730955E9</v>
      </c>
      <c r="D2290" s="54">
        <v>46148.0</v>
      </c>
      <c r="E2290" s="53" t="s">
        <v>35</v>
      </c>
      <c r="F2290" s="53" t="s">
        <v>36</v>
      </c>
      <c r="G2290" s="53" t="s">
        <v>40</v>
      </c>
      <c r="H2290" s="53" t="s">
        <v>37</v>
      </c>
      <c r="I2290" s="55"/>
      <c r="J2290" s="55"/>
      <c r="K2290" s="53" t="s">
        <v>38</v>
      </c>
      <c r="L2290" s="53" t="s">
        <v>97</v>
      </c>
      <c r="M2290" s="53">
        <v>3319.0</v>
      </c>
      <c r="N2290" s="53">
        <v>200.0</v>
      </c>
      <c r="O2290" s="53">
        <v>19.28</v>
      </c>
      <c r="P2290" s="55">
        <f t="shared" si="185"/>
        <v>3856</v>
      </c>
      <c r="Q2290" s="55"/>
      <c r="R2290" s="105">
        <f t="shared" si="186"/>
        <v>3856</v>
      </c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</row>
    <row r="2291">
      <c r="A2291" s="2"/>
      <c r="B2291" s="52">
        <v>5.0</v>
      </c>
      <c r="C2291" s="53">
        <v>1.004731183E9</v>
      </c>
      <c r="D2291" s="54">
        <v>46179.0</v>
      </c>
      <c r="E2291" s="53" t="s">
        <v>47</v>
      </c>
      <c r="F2291" s="53" t="s">
        <v>48</v>
      </c>
      <c r="G2291" s="53" t="s">
        <v>44</v>
      </c>
      <c r="H2291" s="55"/>
      <c r="I2291" s="55"/>
      <c r="J2291" s="55"/>
      <c r="K2291" s="53" t="s">
        <v>45</v>
      </c>
      <c r="L2291" s="53" t="s">
        <v>98</v>
      </c>
      <c r="M2291" s="53">
        <v>1623.0</v>
      </c>
      <c r="N2291" s="53">
        <v>250.0</v>
      </c>
      <c r="O2291" s="53">
        <v>15.53</v>
      </c>
      <c r="P2291" s="55">
        <f t="shared" si="185"/>
        <v>3882.5</v>
      </c>
      <c r="Q2291" s="55"/>
      <c r="R2291" s="105">
        <f t="shared" si="186"/>
        <v>3882.5</v>
      </c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</row>
    <row r="2292">
      <c r="A2292" s="2"/>
      <c r="B2292" s="52">
        <v>6.0</v>
      </c>
      <c r="C2292" s="53">
        <v>1.004731189E9</v>
      </c>
      <c r="D2292" s="54">
        <v>46179.0</v>
      </c>
      <c r="E2292" s="53" t="s">
        <v>47</v>
      </c>
      <c r="F2292" s="53" t="s">
        <v>44</v>
      </c>
      <c r="G2292" s="53" t="s">
        <v>49</v>
      </c>
      <c r="H2292" s="55"/>
      <c r="I2292" s="55"/>
      <c r="J2292" s="55"/>
      <c r="K2292" s="53" t="s">
        <v>45</v>
      </c>
      <c r="L2292" s="53" t="s">
        <v>50</v>
      </c>
      <c r="M2292" s="53">
        <v>1513.0</v>
      </c>
      <c r="N2292" s="53">
        <v>230.0</v>
      </c>
      <c r="O2292" s="53">
        <v>15.53</v>
      </c>
      <c r="P2292" s="55">
        <f t="shared" si="185"/>
        <v>3571.9</v>
      </c>
      <c r="Q2292" s="55"/>
      <c r="R2292" s="105">
        <f t="shared" si="186"/>
        <v>3571.9</v>
      </c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</row>
    <row r="2293">
      <c r="A2293" s="2"/>
      <c r="B2293" s="52">
        <v>7.0</v>
      </c>
      <c r="C2293" s="53">
        <v>1.004731251E9</v>
      </c>
      <c r="D2293" s="54">
        <v>46179.0</v>
      </c>
      <c r="E2293" s="53" t="s">
        <v>51</v>
      </c>
      <c r="F2293" s="53" t="s">
        <v>44</v>
      </c>
      <c r="G2293" s="53" t="s">
        <v>49</v>
      </c>
      <c r="H2293" s="53"/>
      <c r="I2293" s="55"/>
      <c r="J2293" s="55"/>
      <c r="K2293" s="53" t="s">
        <v>45</v>
      </c>
      <c r="L2293" s="53" t="s">
        <v>52</v>
      </c>
      <c r="M2293" s="53">
        <v>1552.0</v>
      </c>
      <c r="N2293" s="53">
        <v>230.0</v>
      </c>
      <c r="O2293" s="53">
        <v>15.53</v>
      </c>
      <c r="P2293" s="55">
        <f t="shared" si="185"/>
        <v>3571.9</v>
      </c>
      <c r="Q2293" s="55"/>
      <c r="R2293" s="105">
        <f t="shared" si="186"/>
        <v>3571.9</v>
      </c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</row>
    <row r="2294">
      <c r="A2294" s="2"/>
      <c r="B2294" s="52">
        <v>8.0</v>
      </c>
      <c r="C2294" s="53">
        <v>1.004731955E9</v>
      </c>
      <c r="D2294" s="54">
        <v>46179.0</v>
      </c>
      <c r="E2294" s="53" t="s">
        <v>51</v>
      </c>
      <c r="F2294" s="53" t="s">
        <v>44</v>
      </c>
      <c r="G2294" s="53" t="s">
        <v>49</v>
      </c>
      <c r="H2294" s="53"/>
      <c r="I2294" s="55"/>
      <c r="J2294" s="55"/>
      <c r="K2294" s="53" t="s">
        <v>45</v>
      </c>
      <c r="L2294" s="53" t="s">
        <v>99</v>
      </c>
      <c r="M2294" s="53">
        <v>1582.0</v>
      </c>
      <c r="N2294" s="53">
        <v>230.0</v>
      </c>
      <c r="O2294" s="53">
        <v>15.53</v>
      </c>
      <c r="P2294" s="55">
        <f t="shared" si="185"/>
        <v>3571.9</v>
      </c>
      <c r="Q2294" s="55"/>
      <c r="R2294" s="105">
        <f t="shared" si="186"/>
        <v>3571.9</v>
      </c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</row>
    <row r="2295">
      <c r="A2295" s="2"/>
      <c r="B2295" s="52">
        <v>9.0</v>
      </c>
      <c r="C2295" s="53">
        <v>1.004732255E9</v>
      </c>
      <c r="D2295" s="54">
        <v>46179.0</v>
      </c>
      <c r="E2295" s="53" t="s">
        <v>51</v>
      </c>
      <c r="F2295" s="53" t="s">
        <v>44</v>
      </c>
      <c r="G2295" s="55"/>
      <c r="H2295" s="53"/>
      <c r="I2295" s="55"/>
      <c r="J2295" s="55"/>
      <c r="K2295" s="53" t="s">
        <v>45</v>
      </c>
      <c r="L2295" s="53" t="s">
        <v>117</v>
      </c>
      <c r="M2295" s="53">
        <v>1771.0</v>
      </c>
      <c r="N2295" s="53">
        <v>230.0</v>
      </c>
      <c r="O2295" s="53">
        <v>15.53</v>
      </c>
      <c r="P2295" s="55">
        <f t="shared" si="185"/>
        <v>3571.9</v>
      </c>
      <c r="Q2295" s="53"/>
      <c r="R2295" s="105">
        <f t="shared" si="186"/>
        <v>3571.9</v>
      </c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</row>
    <row r="2296">
      <c r="A2296" s="2"/>
      <c r="B2296" s="52">
        <v>10.0</v>
      </c>
      <c r="C2296" s="53">
        <v>1.004731253E9</v>
      </c>
      <c r="D2296" s="54">
        <v>46179.0</v>
      </c>
      <c r="E2296" s="53" t="s">
        <v>51</v>
      </c>
      <c r="F2296" s="53" t="s">
        <v>44</v>
      </c>
      <c r="G2296" s="55"/>
      <c r="H2296" s="55"/>
      <c r="I2296" s="55"/>
      <c r="J2296" s="55"/>
      <c r="K2296" s="53" t="s">
        <v>45</v>
      </c>
      <c r="L2296" s="53" t="s">
        <v>54</v>
      </c>
      <c r="M2296" s="53">
        <v>1413.0</v>
      </c>
      <c r="N2296" s="53">
        <v>230.0</v>
      </c>
      <c r="O2296" s="53">
        <v>15.53</v>
      </c>
      <c r="P2296" s="55">
        <f t="shared" si="185"/>
        <v>3571.9</v>
      </c>
      <c r="Q2296" s="53"/>
      <c r="R2296" s="105">
        <f t="shared" si="186"/>
        <v>3571.9</v>
      </c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</row>
    <row r="2297">
      <c r="A2297" s="2"/>
      <c r="B2297" s="11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66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</row>
    <row r="2298">
      <c r="A2298" s="2"/>
      <c r="B2298" s="72" t="s">
        <v>64</v>
      </c>
      <c r="C2298" s="68"/>
      <c r="D2298" s="73" t="str">
        <f>MONEYTEXT(R2298, "INR")</f>
        <v/>
      </c>
      <c r="E2298" s="68"/>
      <c r="F2298" s="68"/>
      <c r="G2298" s="68"/>
      <c r="H2298" s="68"/>
      <c r="I2298" s="68"/>
      <c r="J2298" s="68"/>
      <c r="K2298" s="68"/>
      <c r="L2298" s="68"/>
      <c r="M2298" s="68"/>
      <c r="N2298" s="74" t="s">
        <v>65</v>
      </c>
      <c r="O2298" s="4"/>
      <c r="P2298" s="75">
        <f t="shared" ref="P2298:R2298" si="187">SUM(P2287:P2296)</f>
        <v>55114.8</v>
      </c>
      <c r="Q2298" s="75">
        <f t="shared" si="187"/>
        <v>2165</v>
      </c>
      <c r="R2298" s="75">
        <f t="shared" si="187"/>
        <v>57279.8</v>
      </c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</row>
    <row r="2299">
      <c r="A2299" s="2"/>
      <c r="B2299" s="72" t="s">
        <v>66</v>
      </c>
      <c r="C2299" s="68"/>
      <c r="D2299" s="68"/>
      <c r="E2299" s="68"/>
      <c r="F2299" s="68"/>
      <c r="G2299" s="68"/>
      <c r="H2299" s="68"/>
      <c r="I2299" s="68"/>
      <c r="J2299" s="68"/>
      <c r="K2299" s="68"/>
      <c r="L2299" s="68"/>
      <c r="M2299" s="68"/>
      <c r="N2299" s="68"/>
      <c r="O2299" s="76"/>
      <c r="P2299" s="78" t="s">
        <v>67</v>
      </c>
      <c r="Q2299" s="31"/>
      <c r="R2299" s="3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</row>
    <row r="2300">
      <c r="A2300" s="2"/>
      <c r="B2300" s="81" t="s">
        <v>68</v>
      </c>
      <c r="P2300" s="29"/>
      <c r="Q2300" s="29"/>
      <c r="R2300" s="8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</row>
    <row r="2301">
      <c r="A2301" s="2"/>
      <c r="B2301" s="81" t="s">
        <v>70</v>
      </c>
      <c r="P2301" s="29"/>
      <c r="Q2301" s="29"/>
      <c r="R2301" s="8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</row>
    <row r="2302">
      <c r="A2302" s="2"/>
      <c r="B2302" s="11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66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</row>
    <row r="2303">
      <c r="A2303" s="2"/>
      <c r="B2303" s="11"/>
      <c r="C2303" s="2"/>
      <c r="D2303" s="2"/>
      <c r="E2303" s="2"/>
      <c r="F2303" s="2"/>
      <c r="G2303" s="2"/>
      <c r="H2303" s="2"/>
      <c r="I2303" s="2"/>
      <c r="J2303" s="2"/>
      <c r="K2303" s="87" t="s">
        <v>71</v>
      </c>
      <c r="L2303" s="2"/>
      <c r="M2303" s="2"/>
      <c r="N2303" s="2"/>
      <c r="O2303" s="2"/>
      <c r="P2303" s="12" t="s">
        <v>72</v>
      </c>
      <c r="R2303" s="10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</row>
    <row r="2304">
      <c r="A2304" s="2"/>
      <c r="B2304" s="90"/>
      <c r="C2304" s="36"/>
      <c r="D2304" s="36"/>
      <c r="E2304" s="36"/>
      <c r="F2304" s="36"/>
      <c r="G2304" s="36"/>
      <c r="H2304" s="36"/>
      <c r="I2304" s="36"/>
      <c r="J2304" s="36"/>
      <c r="K2304" s="36"/>
      <c r="L2304" s="36"/>
      <c r="M2304" s="36"/>
      <c r="N2304" s="36"/>
      <c r="O2304" s="36"/>
      <c r="P2304" s="36"/>
      <c r="Q2304" s="36"/>
      <c r="R2304" s="91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</row>
    <row r="2305">
      <c r="A2305" s="2"/>
      <c r="B2305" s="177"/>
      <c r="C2305" s="177"/>
      <c r="D2305" s="177"/>
      <c r="E2305" s="177"/>
      <c r="F2305" s="177"/>
      <c r="G2305" s="177"/>
      <c r="H2305" s="177"/>
      <c r="I2305" s="177"/>
      <c r="J2305" s="177"/>
      <c r="K2305" s="177"/>
      <c r="L2305" s="177"/>
      <c r="M2305" s="177"/>
      <c r="N2305" s="177"/>
      <c r="O2305" s="177"/>
      <c r="P2305" s="177"/>
      <c r="Q2305" s="177"/>
      <c r="R2305" s="177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</row>
    <row r="2306">
      <c r="A2306" s="2"/>
      <c r="B2306" s="177"/>
      <c r="C2306" s="177"/>
      <c r="D2306" s="177"/>
      <c r="E2306" s="177"/>
      <c r="F2306" s="177"/>
      <c r="G2306" s="177"/>
      <c r="H2306" s="177"/>
      <c r="I2306" s="177"/>
      <c r="J2306" s="177"/>
      <c r="K2306" s="177"/>
      <c r="L2306" s="177"/>
      <c r="M2306" s="177"/>
      <c r="N2306" s="177"/>
      <c r="O2306" s="177"/>
      <c r="P2306" s="177"/>
      <c r="Q2306" s="177"/>
      <c r="R2306" s="177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</row>
    <row r="2307">
      <c r="A2307" s="2"/>
      <c r="B2307" s="177"/>
      <c r="C2307" s="177"/>
      <c r="D2307" s="177"/>
      <c r="E2307" s="177"/>
      <c r="F2307" s="177"/>
      <c r="G2307" s="177"/>
      <c r="H2307" s="177"/>
      <c r="I2307" s="177"/>
      <c r="J2307" s="177"/>
      <c r="K2307" s="177"/>
      <c r="L2307" s="177"/>
      <c r="M2307" s="177"/>
      <c r="N2307" s="177"/>
      <c r="O2307" s="177"/>
      <c r="P2307" s="177"/>
      <c r="Q2307" s="177"/>
      <c r="R2307" s="177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</row>
    <row r="2308">
      <c r="A2308" s="2"/>
      <c r="B2308" s="176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5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</row>
    <row r="2309">
      <c r="A2309" s="2"/>
      <c r="B2309" s="11"/>
      <c r="F2309" s="12"/>
      <c r="G2309" s="12"/>
      <c r="I2309" s="12"/>
      <c r="J2309" s="12"/>
      <c r="N2309" s="2"/>
      <c r="R2309" s="10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</row>
    <row r="2310">
      <c r="A2310" s="2"/>
      <c r="B2310" s="14"/>
      <c r="F2310" s="12"/>
      <c r="G2310" s="12"/>
      <c r="H2310" s="12"/>
      <c r="I2310" s="12"/>
      <c r="J2310" s="12"/>
      <c r="N2310" s="2"/>
      <c r="R2310" s="10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</row>
    <row r="2311">
      <c r="A2311" s="2"/>
      <c r="B2311" s="14"/>
      <c r="R2311" s="10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</row>
    <row r="2312">
      <c r="A2312" s="2"/>
      <c r="B2312" s="21"/>
      <c r="C2312" s="22"/>
      <c r="D2312" s="4"/>
      <c r="E2312" s="4"/>
      <c r="F2312" s="4"/>
      <c r="G2312" s="4"/>
      <c r="H2312" s="4"/>
      <c r="I2312" s="4"/>
      <c r="J2312" s="4"/>
      <c r="K2312" s="5"/>
      <c r="L2312" s="23"/>
      <c r="M2312" s="24"/>
      <c r="N2312" s="24"/>
      <c r="O2312" s="4"/>
      <c r="P2312" s="4"/>
      <c r="Q2312" s="4"/>
      <c r="R2312" s="5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</row>
    <row r="2313">
      <c r="A2313" s="2"/>
      <c r="B2313" s="28"/>
      <c r="C2313" s="29"/>
      <c r="K2313" s="10"/>
      <c r="L2313" s="23"/>
      <c r="M2313" s="2"/>
      <c r="N2313" s="2"/>
      <c r="R2313" s="10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</row>
    <row r="2314">
      <c r="A2314" s="2"/>
      <c r="B2314" s="21"/>
      <c r="C2314" s="35"/>
      <c r="D2314" s="31"/>
      <c r="E2314" s="31"/>
      <c r="F2314" s="31"/>
      <c r="G2314" s="31"/>
      <c r="H2314" s="31"/>
      <c r="I2314" s="31"/>
      <c r="J2314" s="31"/>
      <c r="K2314" s="32"/>
      <c r="L2314" s="23"/>
      <c r="M2314" s="36"/>
      <c r="N2314" s="36"/>
      <c r="O2314" s="31"/>
      <c r="P2314" s="31"/>
      <c r="Q2314" s="31"/>
      <c r="R2314" s="3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</row>
    <row r="2315">
      <c r="A2315" s="2"/>
      <c r="B2315" s="11"/>
      <c r="R2315" s="10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</row>
    <row r="2316">
      <c r="A2316" s="2"/>
      <c r="B2316" s="46"/>
      <c r="C2316" s="238"/>
      <c r="D2316" s="48"/>
      <c r="E2316" s="48"/>
      <c r="F2316" s="49"/>
      <c r="G2316" s="43"/>
      <c r="H2316" s="43"/>
      <c r="I2316" s="43"/>
      <c r="J2316" s="44"/>
      <c r="K2316" s="48"/>
      <c r="L2316" s="48"/>
      <c r="M2316" s="48"/>
      <c r="N2316" s="48"/>
      <c r="O2316" s="48"/>
      <c r="P2316" s="48"/>
      <c r="Q2316" s="48"/>
      <c r="R2316" s="50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</row>
    <row r="2317">
      <c r="A2317" s="2"/>
      <c r="B2317" s="52"/>
      <c r="C2317" s="53"/>
      <c r="D2317" s="54"/>
      <c r="E2317" s="53"/>
      <c r="F2317" s="53"/>
      <c r="G2317" s="53"/>
      <c r="H2317" s="53"/>
      <c r="I2317" s="55"/>
      <c r="J2317" s="55"/>
      <c r="K2317" s="53"/>
      <c r="L2317" s="53"/>
      <c r="M2317" s="53"/>
      <c r="N2317" s="53"/>
      <c r="O2317" s="53"/>
      <c r="P2317" s="55"/>
      <c r="Q2317" s="53"/>
      <c r="R2317" s="94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</row>
    <row r="2318">
      <c r="A2318" s="2"/>
      <c r="B2318" s="52"/>
      <c r="C2318" s="53"/>
      <c r="D2318" s="54"/>
      <c r="E2318" s="53"/>
      <c r="F2318" s="53"/>
      <c r="G2318" s="53"/>
      <c r="H2318" s="53"/>
      <c r="I2318" s="53"/>
      <c r="J2318" s="53"/>
      <c r="K2318" s="53"/>
      <c r="L2318" s="53"/>
      <c r="M2318" s="53"/>
      <c r="N2318" s="53"/>
      <c r="O2318" s="53"/>
      <c r="P2318" s="55"/>
      <c r="Q2318" s="53"/>
      <c r="R2318" s="105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</row>
    <row r="2319">
      <c r="A2319" s="2"/>
      <c r="B2319" s="52"/>
      <c r="C2319" s="53"/>
      <c r="D2319" s="54"/>
      <c r="E2319" s="53"/>
      <c r="F2319" s="53"/>
      <c r="G2319" s="53"/>
      <c r="H2319" s="55"/>
      <c r="I2319" s="55"/>
      <c r="J2319" s="55"/>
      <c r="K2319" s="53"/>
      <c r="L2319" s="53"/>
      <c r="M2319" s="53"/>
      <c r="N2319" s="53"/>
      <c r="O2319" s="53"/>
      <c r="P2319" s="55"/>
      <c r="Q2319" s="55"/>
      <c r="R2319" s="105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</row>
    <row r="2320">
      <c r="A2320" s="2"/>
      <c r="B2320" s="52"/>
      <c r="C2320" s="53"/>
      <c r="D2320" s="54"/>
      <c r="E2320" s="53"/>
      <c r="F2320" s="53"/>
      <c r="G2320" s="53"/>
      <c r="H2320" s="55"/>
      <c r="I2320" s="55"/>
      <c r="J2320" s="55"/>
      <c r="K2320" s="53"/>
      <c r="L2320" s="53"/>
      <c r="M2320" s="53"/>
      <c r="N2320" s="53"/>
      <c r="O2320" s="53"/>
      <c r="P2320" s="55"/>
      <c r="Q2320" s="53"/>
      <c r="R2320" s="105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</row>
    <row r="2321">
      <c r="A2321" s="2"/>
      <c r="B2321" s="81"/>
      <c r="P2321" s="29"/>
      <c r="Q2321" s="29"/>
      <c r="R2321" s="8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</row>
    <row r="2322">
      <c r="A2322" s="2"/>
      <c r="B2322" s="81"/>
      <c r="P2322" s="29"/>
      <c r="Q2322" s="29"/>
      <c r="R2322" s="8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</row>
    <row r="2323">
      <c r="A2323" s="2"/>
      <c r="B2323" s="11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66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</row>
    <row r="2324">
      <c r="A2324" s="2"/>
      <c r="B2324" s="11"/>
      <c r="C2324" s="2"/>
      <c r="D2324" s="2"/>
      <c r="E2324" s="2"/>
      <c r="F2324" s="2"/>
      <c r="G2324" s="2"/>
      <c r="H2324" s="2"/>
      <c r="I2324" s="2"/>
      <c r="J2324" s="2"/>
      <c r="K2324" s="87"/>
      <c r="L2324" s="2"/>
      <c r="M2324" s="2"/>
      <c r="N2324" s="2"/>
      <c r="O2324" s="2"/>
      <c r="P2324" s="12"/>
      <c r="R2324" s="10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</row>
    <row r="2325">
      <c r="A2325" s="2"/>
      <c r="B2325" s="90"/>
      <c r="C2325" s="36"/>
      <c r="D2325" s="36"/>
      <c r="E2325" s="36"/>
      <c r="F2325" s="36"/>
      <c r="G2325" s="36"/>
      <c r="H2325" s="36"/>
      <c r="I2325" s="36"/>
      <c r="J2325" s="36"/>
      <c r="K2325" s="36"/>
      <c r="L2325" s="36"/>
      <c r="M2325" s="36"/>
      <c r="N2325" s="36"/>
      <c r="O2325" s="36"/>
      <c r="P2325" s="36"/>
      <c r="Q2325" s="36"/>
      <c r="R2325" s="91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</row>
    <row r="2326">
      <c r="A2326" s="2"/>
      <c r="B2326" s="177"/>
      <c r="C2326" s="177"/>
      <c r="D2326" s="177"/>
      <c r="E2326" s="177"/>
      <c r="F2326" s="177"/>
      <c r="G2326" s="177"/>
      <c r="H2326" s="177"/>
      <c r="I2326" s="177"/>
      <c r="J2326" s="177"/>
      <c r="K2326" s="177"/>
      <c r="L2326" s="177"/>
      <c r="M2326" s="177"/>
      <c r="N2326" s="177"/>
      <c r="O2326" s="177"/>
      <c r="P2326" s="177"/>
      <c r="Q2326" s="177"/>
      <c r="R2326" s="177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</row>
    <row r="2327">
      <c r="A2327" s="2"/>
      <c r="B2327" s="177"/>
      <c r="C2327" s="177"/>
      <c r="D2327" s="177"/>
      <c r="E2327" s="177"/>
      <c r="F2327" s="177"/>
      <c r="G2327" s="177"/>
      <c r="H2327" s="177"/>
      <c r="I2327" s="177"/>
      <c r="J2327" s="177"/>
      <c r="K2327" s="177"/>
      <c r="L2327" s="177"/>
      <c r="M2327" s="177"/>
      <c r="N2327" s="177"/>
      <c r="O2327" s="177"/>
      <c r="P2327" s="177"/>
      <c r="Q2327" s="177"/>
      <c r="R2327" s="177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</row>
    <row r="2328">
      <c r="A2328" s="2"/>
      <c r="B2328" s="177"/>
      <c r="C2328" s="177"/>
      <c r="D2328" s="177"/>
      <c r="E2328" s="177"/>
      <c r="F2328" s="177"/>
      <c r="G2328" s="177"/>
      <c r="H2328" s="177"/>
      <c r="I2328" s="177"/>
      <c r="J2328" s="177"/>
      <c r="K2328" s="177"/>
      <c r="L2328" s="177"/>
      <c r="M2328" s="177"/>
      <c r="N2328" s="177"/>
      <c r="O2328" s="177"/>
      <c r="P2328" s="177"/>
      <c r="Q2328" s="177"/>
      <c r="R2328" s="177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</row>
    <row r="2329">
      <c r="A2329" s="2"/>
      <c r="B2329" s="176" t="s">
        <v>1</v>
      </c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5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</row>
    <row r="2330">
      <c r="A2330" s="2"/>
      <c r="B2330" s="11"/>
      <c r="F2330" s="12"/>
      <c r="G2330" s="12"/>
      <c r="I2330" s="12"/>
      <c r="J2330" s="12" t="s">
        <v>2</v>
      </c>
      <c r="N2330" s="2"/>
      <c r="R2330" s="10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</row>
    <row r="2331">
      <c r="A2331" s="2"/>
      <c r="B2331" s="14"/>
      <c r="F2331" s="12"/>
      <c r="G2331" s="12"/>
      <c r="H2331" s="12"/>
      <c r="I2331" s="12"/>
      <c r="J2331" s="12" t="s">
        <v>3</v>
      </c>
      <c r="N2331" s="2"/>
      <c r="R2331" s="10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</row>
    <row r="2332">
      <c r="A2332" s="2"/>
      <c r="B2332" s="14" t="s">
        <v>4</v>
      </c>
      <c r="R2332" s="10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</row>
    <row r="2333">
      <c r="A2333" s="2"/>
      <c r="B2333" s="21" t="s">
        <v>5</v>
      </c>
      <c r="C2333" s="22" t="s">
        <v>6</v>
      </c>
      <c r="D2333" s="4"/>
      <c r="E2333" s="4"/>
      <c r="F2333" s="4"/>
      <c r="G2333" s="4"/>
      <c r="H2333" s="4"/>
      <c r="I2333" s="4"/>
      <c r="J2333" s="4"/>
      <c r="K2333" s="5"/>
      <c r="L2333" s="23" t="s">
        <v>7</v>
      </c>
      <c r="M2333" s="87">
        <v>89.0</v>
      </c>
      <c r="N2333" s="24"/>
      <c r="O2333" s="4"/>
      <c r="P2333" s="4"/>
      <c r="Q2333" s="4"/>
      <c r="R2333" s="5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</row>
    <row r="2334">
      <c r="A2334" s="2"/>
      <c r="B2334" s="28"/>
      <c r="C2334" s="29" t="s">
        <v>8</v>
      </c>
      <c r="K2334" s="10"/>
      <c r="L2334" s="23" t="s">
        <v>9</v>
      </c>
      <c r="M2334" s="9" t="s">
        <v>178</v>
      </c>
      <c r="N2334" s="2"/>
      <c r="R2334" s="10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</row>
    <row r="2335">
      <c r="A2335" s="2"/>
      <c r="B2335" s="21" t="s">
        <v>11</v>
      </c>
      <c r="C2335" s="35" t="s">
        <v>12</v>
      </c>
      <c r="D2335" s="31"/>
      <c r="E2335" s="31"/>
      <c r="F2335" s="31"/>
      <c r="G2335" s="31"/>
      <c r="H2335" s="31"/>
      <c r="I2335" s="31"/>
      <c r="J2335" s="31"/>
      <c r="K2335" s="32"/>
      <c r="L2335" s="23" t="s">
        <v>13</v>
      </c>
      <c r="M2335" s="33" t="s">
        <v>14</v>
      </c>
      <c r="N2335" s="36"/>
      <c r="O2335" s="31"/>
      <c r="P2335" s="31"/>
      <c r="Q2335" s="31"/>
      <c r="R2335" s="3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</row>
    <row r="2336">
      <c r="A2336" s="2"/>
      <c r="B2336" s="11"/>
      <c r="R2336" s="10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</row>
    <row r="2337">
      <c r="A2337" s="2"/>
      <c r="B2337" s="46" t="s">
        <v>15</v>
      </c>
      <c r="C2337" s="47" t="s">
        <v>16</v>
      </c>
      <c r="D2337" s="48" t="s">
        <v>17</v>
      </c>
      <c r="E2337" s="48" t="s">
        <v>18</v>
      </c>
      <c r="F2337" s="49" t="s">
        <v>19</v>
      </c>
      <c r="G2337" s="43"/>
      <c r="H2337" s="43"/>
      <c r="I2337" s="43"/>
      <c r="J2337" s="44"/>
      <c r="K2337" s="48" t="s">
        <v>20</v>
      </c>
      <c r="L2337" s="48" t="s">
        <v>21</v>
      </c>
      <c r="M2337" s="48" t="s">
        <v>22</v>
      </c>
      <c r="N2337" s="48" t="s">
        <v>23</v>
      </c>
      <c r="O2337" s="48" t="s">
        <v>24</v>
      </c>
      <c r="P2337" s="48" t="s">
        <v>25</v>
      </c>
      <c r="Q2337" s="48" t="s">
        <v>26</v>
      </c>
      <c r="R2337" s="50" t="s">
        <v>27</v>
      </c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</row>
    <row r="2338">
      <c r="A2338" s="2"/>
      <c r="B2338" s="52">
        <v>1.0</v>
      </c>
      <c r="C2338" s="53">
        <v>1.004731846E9</v>
      </c>
      <c r="D2338" s="54">
        <v>46179.0</v>
      </c>
      <c r="E2338" s="53" t="s">
        <v>82</v>
      </c>
      <c r="F2338" s="53" t="s">
        <v>86</v>
      </c>
      <c r="G2338" s="53" t="s">
        <v>87</v>
      </c>
      <c r="H2338" s="53" t="s">
        <v>88</v>
      </c>
      <c r="I2338" s="55"/>
      <c r="J2338" s="55"/>
      <c r="K2338" s="53" t="s">
        <v>38</v>
      </c>
      <c r="L2338" s="53" t="s">
        <v>101</v>
      </c>
      <c r="M2338" s="53">
        <v>3190.0</v>
      </c>
      <c r="N2338" s="53">
        <v>484.0</v>
      </c>
      <c r="O2338" s="53">
        <v>19.28</v>
      </c>
      <c r="P2338" s="55">
        <f t="shared" ref="P2338:P2347" si="188">N2338*O2338</f>
        <v>9331.52</v>
      </c>
      <c r="Q2338" s="53">
        <v>930.0</v>
      </c>
      <c r="R2338" s="94">
        <v>10261.52</v>
      </c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</row>
    <row r="2339">
      <c r="A2339" s="2"/>
      <c r="B2339" s="52">
        <v>2.0</v>
      </c>
      <c r="C2339" s="53">
        <v>1.004732119E9</v>
      </c>
      <c r="D2339" s="54">
        <v>46179.0</v>
      </c>
      <c r="E2339" s="53" t="s">
        <v>90</v>
      </c>
      <c r="F2339" s="53" t="s">
        <v>91</v>
      </c>
      <c r="G2339" s="53" t="s">
        <v>83</v>
      </c>
      <c r="H2339" s="53" t="s">
        <v>92</v>
      </c>
      <c r="I2339" s="53" t="s">
        <v>93</v>
      </c>
      <c r="J2339" s="53" t="s">
        <v>94</v>
      </c>
      <c r="K2339" s="53" t="s">
        <v>38</v>
      </c>
      <c r="L2339" s="53" t="s">
        <v>102</v>
      </c>
      <c r="M2339" s="53">
        <v>3668.0</v>
      </c>
      <c r="N2339" s="53">
        <v>405.0</v>
      </c>
      <c r="O2339" s="53">
        <v>19.28</v>
      </c>
      <c r="P2339" s="55">
        <f t="shared" si="188"/>
        <v>7808.4</v>
      </c>
      <c r="Q2339" s="53">
        <v>500.0</v>
      </c>
      <c r="R2339" s="105">
        <f t="shared" ref="R2339:R2347" si="189">P2339+Q2339</f>
        <v>8308.4</v>
      </c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</row>
    <row r="2340">
      <c r="A2340" s="2"/>
      <c r="B2340" s="52">
        <v>3.0</v>
      </c>
      <c r="C2340" s="53">
        <v>1.004732246E9</v>
      </c>
      <c r="D2340" s="54">
        <v>46179.0</v>
      </c>
      <c r="E2340" s="53" t="s">
        <v>77</v>
      </c>
      <c r="F2340" s="53" t="s">
        <v>78</v>
      </c>
      <c r="G2340" s="53" t="s">
        <v>79</v>
      </c>
      <c r="H2340" s="55"/>
      <c r="I2340" s="55"/>
      <c r="J2340" s="55"/>
      <c r="K2340" s="53" t="s">
        <v>33</v>
      </c>
      <c r="L2340" s="53" t="s">
        <v>104</v>
      </c>
      <c r="M2340" s="53">
        <v>1922.0</v>
      </c>
      <c r="N2340" s="53">
        <v>416.0</v>
      </c>
      <c r="O2340" s="53">
        <v>15.53</v>
      </c>
      <c r="P2340" s="55">
        <f t="shared" si="188"/>
        <v>6460.48</v>
      </c>
      <c r="Q2340" s="55"/>
      <c r="R2340" s="105">
        <f t="shared" si="189"/>
        <v>6460.48</v>
      </c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</row>
    <row r="2341">
      <c r="A2341" s="2"/>
      <c r="B2341" s="52">
        <v>4.0</v>
      </c>
      <c r="C2341" s="53">
        <v>1.004732064E9</v>
      </c>
      <c r="D2341" s="54">
        <v>46179.0</v>
      </c>
      <c r="E2341" s="53" t="s">
        <v>77</v>
      </c>
      <c r="F2341" s="53" t="s">
        <v>78</v>
      </c>
      <c r="G2341" s="53" t="s">
        <v>79</v>
      </c>
      <c r="H2341" s="55"/>
      <c r="I2341" s="55"/>
      <c r="J2341" s="55"/>
      <c r="K2341" s="53" t="s">
        <v>38</v>
      </c>
      <c r="L2341" s="53" t="s">
        <v>81</v>
      </c>
      <c r="M2341" s="53">
        <v>3404.0</v>
      </c>
      <c r="N2341" s="53">
        <v>416.0</v>
      </c>
      <c r="O2341" s="53">
        <v>19.28</v>
      </c>
      <c r="P2341" s="55">
        <f t="shared" si="188"/>
        <v>8020.48</v>
      </c>
      <c r="Q2341" s="53">
        <v>505.0</v>
      </c>
      <c r="R2341" s="105">
        <f t="shared" si="189"/>
        <v>8525.48</v>
      </c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</row>
    <row r="2342">
      <c r="A2342" s="2"/>
      <c r="B2342" s="52">
        <v>5.0</v>
      </c>
      <c r="C2342" s="53">
        <v>1.004732565E9</v>
      </c>
      <c r="D2342" s="54">
        <v>46240.0</v>
      </c>
      <c r="E2342" s="53" t="s">
        <v>28</v>
      </c>
      <c r="F2342" s="53" t="s">
        <v>29</v>
      </c>
      <c r="G2342" s="53" t="s">
        <v>30</v>
      </c>
      <c r="H2342" s="53" t="s">
        <v>31</v>
      </c>
      <c r="I2342" s="53" t="s">
        <v>32</v>
      </c>
      <c r="J2342" s="55"/>
      <c r="K2342" s="53" t="s">
        <v>38</v>
      </c>
      <c r="L2342" s="53" t="s">
        <v>96</v>
      </c>
      <c r="M2342" s="53">
        <v>3369.0</v>
      </c>
      <c r="N2342" s="53">
        <v>246.0</v>
      </c>
      <c r="O2342" s="53">
        <v>19.28</v>
      </c>
      <c r="P2342" s="55">
        <f t="shared" si="188"/>
        <v>4742.88</v>
      </c>
      <c r="Q2342" s="55"/>
      <c r="R2342" s="105">
        <f t="shared" si="189"/>
        <v>4742.88</v>
      </c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</row>
    <row r="2343">
      <c r="A2343" s="2"/>
      <c r="B2343" s="52">
        <v>6.0</v>
      </c>
      <c r="C2343" s="53">
        <v>1.004732804E9</v>
      </c>
      <c r="D2343" s="54">
        <v>46240.0</v>
      </c>
      <c r="E2343" s="53" t="s">
        <v>28</v>
      </c>
      <c r="F2343" s="53" t="s">
        <v>29</v>
      </c>
      <c r="G2343" s="53" t="s">
        <v>30</v>
      </c>
      <c r="H2343" s="55"/>
      <c r="I2343" s="55"/>
      <c r="J2343" s="55"/>
      <c r="K2343" s="53" t="s">
        <v>33</v>
      </c>
      <c r="L2343" s="53" t="s">
        <v>34</v>
      </c>
      <c r="M2343" s="53">
        <v>1889.0</v>
      </c>
      <c r="N2343" s="53">
        <v>246.0</v>
      </c>
      <c r="O2343" s="53">
        <v>15.53</v>
      </c>
      <c r="P2343" s="55">
        <f t="shared" si="188"/>
        <v>3820.38</v>
      </c>
      <c r="Q2343" s="55"/>
      <c r="R2343" s="105">
        <f t="shared" si="189"/>
        <v>3820.38</v>
      </c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</row>
    <row r="2344">
      <c r="A2344" s="2"/>
      <c r="B2344" s="52">
        <v>7.0</v>
      </c>
      <c r="C2344" s="53">
        <v>1.004732651E9</v>
      </c>
      <c r="D2344" s="54">
        <v>46240.0</v>
      </c>
      <c r="E2344" s="53" t="s">
        <v>35</v>
      </c>
      <c r="F2344" s="53" t="s">
        <v>37</v>
      </c>
      <c r="G2344" s="53" t="s">
        <v>36</v>
      </c>
      <c r="H2344" s="53"/>
      <c r="I2344" s="55"/>
      <c r="J2344" s="55"/>
      <c r="K2344" s="53" t="s">
        <v>38</v>
      </c>
      <c r="L2344" s="53" t="s">
        <v>97</v>
      </c>
      <c r="M2344" s="53">
        <v>3276.0</v>
      </c>
      <c r="N2344" s="53">
        <v>200.0</v>
      </c>
      <c r="O2344" s="53">
        <v>19.28</v>
      </c>
      <c r="P2344" s="55">
        <f t="shared" si="188"/>
        <v>3856</v>
      </c>
      <c r="Q2344" s="55"/>
      <c r="R2344" s="105">
        <f t="shared" si="189"/>
        <v>3856</v>
      </c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</row>
    <row r="2345">
      <c r="A2345" s="2"/>
      <c r="B2345" s="52">
        <v>8.0</v>
      </c>
      <c r="C2345" s="53">
        <v>1.00473265E9</v>
      </c>
      <c r="D2345" s="54">
        <v>46240.0</v>
      </c>
      <c r="E2345" s="53" t="s">
        <v>35</v>
      </c>
      <c r="F2345" s="53" t="s">
        <v>36</v>
      </c>
      <c r="G2345" s="53" t="s">
        <v>40</v>
      </c>
      <c r="H2345" s="53"/>
      <c r="I2345" s="55"/>
      <c r="J2345" s="55"/>
      <c r="K2345" s="53" t="s">
        <v>38</v>
      </c>
      <c r="L2345" s="53" t="s">
        <v>184</v>
      </c>
      <c r="M2345" s="53">
        <v>3380.0</v>
      </c>
      <c r="N2345" s="53">
        <v>150.0</v>
      </c>
      <c r="O2345" s="53">
        <v>19.28</v>
      </c>
      <c r="P2345" s="55">
        <f t="shared" si="188"/>
        <v>2892</v>
      </c>
      <c r="Q2345" s="55"/>
      <c r="R2345" s="105">
        <f t="shared" si="189"/>
        <v>2892</v>
      </c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</row>
    <row r="2346">
      <c r="A2346" s="2"/>
      <c r="B2346" s="52">
        <v>9.0</v>
      </c>
      <c r="C2346" s="53">
        <v>1.004732873E9</v>
      </c>
      <c r="D2346" s="54">
        <v>46240.0</v>
      </c>
      <c r="E2346" s="53" t="s">
        <v>42</v>
      </c>
      <c r="F2346" s="53" t="s">
        <v>44</v>
      </c>
      <c r="G2346" s="53" t="s">
        <v>43</v>
      </c>
      <c r="H2346" s="53"/>
      <c r="I2346" s="55"/>
      <c r="J2346" s="55"/>
      <c r="K2346" s="53" t="s">
        <v>45</v>
      </c>
      <c r="L2346" s="53" t="s">
        <v>98</v>
      </c>
      <c r="M2346" s="53">
        <v>1638.0</v>
      </c>
      <c r="N2346" s="53">
        <v>299.0</v>
      </c>
      <c r="O2346" s="53">
        <v>15.53</v>
      </c>
      <c r="P2346" s="55">
        <f t="shared" si="188"/>
        <v>4643.47</v>
      </c>
      <c r="Q2346" s="53"/>
      <c r="R2346" s="105">
        <f t="shared" si="189"/>
        <v>4643.47</v>
      </c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</row>
    <row r="2347">
      <c r="A2347" s="2"/>
      <c r="B2347" s="52">
        <v>10.0</v>
      </c>
      <c r="C2347" s="53">
        <v>1.004732892E9</v>
      </c>
      <c r="D2347" s="54">
        <v>46240.0</v>
      </c>
      <c r="E2347" s="53" t="s">
        <v>51</v>
      </c>
      <c r="F2347" s="53" t="s">
        <v>44</v>
      </c>
      <c r="G2347" s="53" t="s">
        <v>49</v>
      </c>
      <c r="H2347" s="55"/>
      <c r="I2347" s="55"/>
      <c r="J2347" s="55"/>
      <c r="K2347" s="53" t="s">
        <v>45</v>
      </c>
      <c r="L2347" s="53" t="s">
        <v>50</v>
      </c>
      <c r="M2347" s="53">
        <v>1673.0</v>
      </c>
      <c r="N2347" s="53">
        <v>230.0</v>
      </c>
      <c r="O2347" s="53">
        <v>15.53</v>
      </c>
      <c r="P2347" s="55">
        <f t="shared" si="188"/>
        <v>3571.9</v>
      </c>
      <c r="Q2347" s="53"/>
      <c r="R2347" s="105">
        <f t="shared" si="189"/>
        <v>3571.9</v>
      </c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</row>
    <row r="2348">
      <c r="A2348" s="2"/>
      <c r="B2348" s="11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66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</row>
    <row r="2349">
      <c r="A2349" s="2"/>
      <c r="B2349" s="72" t="s">
        <v>64</v>
      </c>
      <c r="C2349" s="68"/>
      <c r="D2349" s="73" t="str">
        <f>MONEYTEXT(R2349, "INR")</f>
        <v>Fifty-seven thousand and eighty-two Indian rupees and fifty-one paise</v>
      </c>
      <c r="E2349" s="68"/>
      <c r="F2349" s="68"/>
      <c r="G2349" s="68"/>
      <c r="H2349" s="68"/>
      <c r="I2349" s="68"/>
      <c r="J2349" s="68"/>
      <c r="K2349" s="68"/>
      <c r="L2349" s="68"/>
      <c r="M2349" s="68"/>
      <c r="N2349" s="74" t="s">
        <v>65</v>
      </c>
      <c r="O2349" s="4"/>
      <c r="P2349" s="75">
        <f t="shared" ref="P2349:R2349" si="190">SUM(P2338:P2347)</f>
        <v>55147.51</v>
      </c>
      <c r="Q2349" s="75">
        <f t="shared" si="190"/>
        <v>1935</v>
      </c>
      <c r="R2349" s="75">
        <f t="shared" si="190"/>
        <v>57082.51</v>
      </c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</row>
    <row r="2350">
      <c r="A2350" s="2"/>
      <c r="B2350" s="72" t="s">
        <v>66</v>
      </c>
      <c r="C2350" s="68"/>
      <c r="D2350" s="68"/>
      <c r="E2350" s="68"/>
      <c r="F2350" s="68"/>
      <c r="G2350" s="68"/>
      <c r="H2350" s="68"/>
      <c r="I2350" s="68"/>
      <c r="J2350" s="68"/>
      <c r="K2350" s="68"/>
      <c r="L2350" s="68"/>
      <c r="M2350" s="68"/>
      <c r="N2350" s="68"/>
      <c r="O2350" s="76"/>
      <c r="P2350" s="78" t="s">
        <v>67</v>
      </c>
      <c r="Q2350" s="31"/>
      <c r="R2350" s="3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</row>
    <row r="2351">
      <c r="A2351" s="2"/>
      <c r="B2351" s="81" t="s">
        <v>68</v>
      </c>
      <c r="P2351" s="29"/>
      <c r="Q2351" s="29"/>
      <c r="R2351" s="8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</row>
    <row r="2352">
      <c r="A2352" s="2"/>
      <c r="B2352" s="81" t="s">
        <v>70</v>
      </c>
      <c r="P2352" s="29"/>
      <c r="Q2352" s="29"/>
      <c r="R2352" s="8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</row>
    <row r="2353">
      <c r="A2353" s="2"/>
      <c r="B2353" s="11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66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</row>
    <row r="2354">
      <c r="A2354" s="2"/>
      <c r="B2354" s="11"/>
      <c r="C2354" s="2"/>
      <c r="D2354" s="2"/>
      <c r="E2354" s="2"/>
      <c r="F2354" s="2"/>
      <c r="G2354" s="2"/>
      <c r="H2354" s="2"/>
      <c r="I2354" s="2"/>
      <c r="J2354" s="2"/>
      <c r="K2354" s="87" t="s">
        <v>71</v>
      </c>
      <c r="L2354" s="2"/>
      <c r="M2354" s="2"/>
      <c r="N2354" s="2"/>
      <c r="O2354" s="2"/>
      <c r="P2354" s="12" t="s">
        <v>72</v>
      </c>
      <c r="R2354" s="10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</row>
    <row r="2355">
      <c r="A2355" s="2"/>
      <c r="B2355" s="90"/>
      <c r="C2355" s="36"/>
      <c r="D2355" s="36"/>
      <c r="E2355" s="36"/>
      <c r="F2355" s="36"/>
      <c r="G2355" s="36"/>
      <c r="H2355" s="36"/>
      <c r="I2355" s="36"/>
      <c r="J2355" s="36"/>
      <c r="K2355" s="36"/>
      <c r="L2355" s="36"/>
      <c r="M2355" s="36"/>
      <c r="N2355" s="36"/>
      <c r="O2355" s="36"/>
      <c r="P2355" s="36"/>
      <c r="Q2355" s="36"/>
      <c r="R2355" s="91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</row>
    <row r="2356">
      <c r="A2356" s="2"/>
      <c r="B2356" s="177"/>
      <c r="C2356" s="177"/>
      <c r="D2356" s="177"/>
      <c r="E2356" s="177"/>
      <c r="F2356" s="177"/>
      <c r="G2356" s="177"/>
      <c r="H2356" s="177"/>
      <c r="I2356" s="177"/>
      <c r="J2356" s="177"/>
      <c r="K2356" s="177"/>
      <c r="L2356" s="177"/>
      <c r="M2356" s="177"/>
      <c r="N2356" s="177"/>
      <c r="O2356" s="177"/>
      <c r="P2356" s="177"/>
      <c r="Q2356" s="177"/>
      <c r="R2356" s="177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</row>
    <row r="2357">
      <c r="A2357" s="2"/>
      <c r="B2357" s="177"/>
      <c r="C2357" s="177"/>
      <c r="D2357" s="177"/>
      <c r="E2357" s="177"/>
      <c r="F2357" s="177"/>
      <c r="G2357" s="177"/>
      <c r="H2357" s="177"/>
      <c r="I2357" s="177"/>
      <c r="J2357" s="177"/>
      <c r="K2357" s="177"/>
      <c r="L2357" s="177"/>
      <c r="M2357" s="177"/>
      <c r="N2357" s="177"/>
      <c r="O2357" s="177"/>
      <c r="P2357" s="177"/>
      <c r="Q2357" s="177"/>
      <c r="R2357" s="177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</row>
    <row r="2358">
      <c r="A2358" s="2"/>
      <c r="B2358" s="177"/>
      <c r="C2358" s="177"/>
      <c r="D2358" s="177"/>
      <c r="E2358" s="177"/>
      <c r="F2358" s="177"/>
      <c r="G2358" s="177"/>
      <c r="H2358" s="177"/>
      <c r="I2358" s="177"/>
      <c r="J2358" s="177"/>
      <c r="K2358" s="177"/>
      <c r="L2358" s="177"/>
      <c r="M2358" s="177"/>
      <c r="N2358" s="177"/>
      <c r="O2358" s="177"/>
      <c r="P2358" s="177"/>
      <c r="Q2358" s="177"/>
      <c r="R2358" s="177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</row>
    <row r="2359">
      <c r="A2359" s="2"/>
      <c r="B2359" s="176" t="s">
        <v>1</v>
      </c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5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</row>
    <row r="2360">
      <c r="A2360" s="2"/>
      <c r="B2360" s="11"/>
      <c r="F2360" s="12"/>
      <c r="G2360" s="12"/>
      <c r="I2360" s="12"/>
      <c r="J2360" s="12" t="s">
        <v>2</v>
      </c>
      <c r="N2360" s="2"/>
      <c r="R2360" s="10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</row>
    <row r="2361">
      <c r="A2361" s="2"/>
      <c r="B2361" s="14"/>
      <c r="F2361" s="12"/>
      <c r="G2361" s="12"/>
      <c r="H2361" s="12"/>
      <c r="I2361" s="12"/>
      <c r="J2361" s="12" t="s">
        <v>3</v>
      </c>
      <c r="N2361" s="2"/>
      <c r="R2361" s="10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</row>
    <row r="2362">
      <c r="A2362" s="2"/>
      <c r="B2362" s="14" t="s">
        <v>4</v>
      </c>
      <c r="R2362" s="10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</row>
    <row r="2363">
      <c r="A2363" s="2"/>
      <c r="B2363" s="21" t="s">
        <v>5</v>
      </c>
      <c r="C2363" s="22" t="s">
        <v>6</v>
      </c>
      <c r="D2363" s="4"/>
      <c r="E2363" s="4"/>
      <c r="F2363" s="4"/>
      <c r="G2363" s="4"/>
      <c r="H2363" s="4"/>
      <c r="I2363" s="4"/>
      <c r="J2363" s="4"/>
      <c r="K2363" s="5"/>
      <c r="L2363" s="23" t="s">
        <v>7</v>
      </c>
      <c r="M2363" s="87">
        <v>90.0</v>
      </c>
      <c r="N2363" s="24"/>
      <c r="O2363" s="4"/>
      <c r="P2363" s="4"/>
      <c r="Q2363" s="4"/>
      <c r="R2363" s="5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</row>
    <row r="2364">
      <c r="A2364" s="2"/>
      <c r="B2364" s="28"/>
      <c r="C2364" s="29" t="s">
        <v>8</v>
      </c>
      <c r="K2364" s="10"/>
      <c r="L2364" s="23" t="s">
        <v>9</v>
      </c>
      <c r="M2364" s="9" t="s">
        <v>178</v>
      </c>
      <c r="N2364" s="2"/>
      <c r="R2364" s="10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</row>
    <row r="2365">
      <c r="A2365" s="2"/>
      <c r="B2365" s="21" t="s">
        <v>11</v>
      </c>
      <c r="C2365" s="35" t="s">
        <v>12</v>
      </c>
      <c r="D2365" s="31"/>
      <c r="E2365" s="31"/>
      <c r="F2365" s="31"/>
      <c r="G2365" s="31"/>
      <c r="H2365" s="31"/>
      <c r="I2365" s="31"/>
      <c r="J2365" s="31"/>
      <c r="K2365" s="32"/>
      <c r="L2365" s="23" t="s">
        <v>13</v>
      </c>
      <c r="M2365" s="33" t="s">
        <v>14</v>
      </c>
      <c r="N2365" s="36"/>
      <c r="O2365" s="31"/>
      <c r="P2365" s="31"/>
      <c r="Q2365" s="31"/>
      <c r="R2365" s="3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</row>
    <row r="2366">
      <c r="A2366" s="2"/>
      <c r="B2366" s="11"/>
      <c r="R2366" s="10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</row>
    <row r="2367">
      <c r="A2367" s="2"/>
      <c r="B2367" s="46" t="s">
        <v>15</v>
      </c>
      <c r="C2367" s="47" t="s">
        <v>16</v>
      </c>
      <c r="D2367" s="48" t="s">
        <v>17</v>
      </c>
      <c r="E2367" s="48" t="s">
        <v>18</v>
      </c>
      <c r="F2367" s="49" t="s">
        <v>19</v>
      </c>
      <c r="G2367" s="43"/>
      <c r="H2367" s="43"/>
      <c r="I2367" s="43"/>
      <c r="J2367" s="44"/>
      <c r="K2367" s="48" t="s">
        <v>20</v>
      </c>
      <c r="L2367" s="48" t="s">
        <v>21</v>
      </c>
      <c r="M2367" s="48" t="s">
        <v>22</v>
      </c>
      <c r="N2367" s="48" t="s">
        <v>23</v>
      </c>
      <c r="O2367" s="48" t="s">
        <v>24</v>
      </c>
      <c r="P2367" s="48" t="s">
        <v>25</v>
      </c>
      <c r="Q2367" s="48" t="s">
        <v>26</v>
      </c>
      <c r="R2367" s="50" t="s">
        <v>27</v>
      </c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</row>
    <row r="2368">
      <c r="A2368" s="2"/>
      <c r="B2368" s="52">
        <v>1.0</v>
      </c>
      <c r="C2368" s="53">
        <v>1.004733235E9</v>
      </c>
      <c r="D2368" s="54">
        <v>46240.0</v>
      </c>
      <c r="E2368" s="53" t="s">
        <v>51</v>
      </c>
      <c r="F2368" s="53" t="s">
        <v>44</v>
      </c>
      <c r="G2368" s="53" t="s">
        <v>49</v>
      </c>
      <c r="H2368" s="53"/>
      <c r="I2368" s="55"/>
      <c r="J2368" s="55"/>
      <c r="K2368" s="53" t="s">
        <v>45</v>
      </c>
      <c r="L2368" s="53" t="s">
        <v>52</v>
      </c>
      <c r="M2368" s="53">
        <v>1607.0</v>
      </c>
      <c r="N2368" s="53">
        <v>230.0</v>
      </c>
      <c r="O2368" s="53">
        <v>15.53</v>
      </c>
      <c r="P2368" s="55">
        <f t="shared" ref="P2368:P2377" si="191">N2368*O2368</f>
        <v>3571.9</v>
      </c>
      <c r="Q2368" s="53"/>
      <c r="R2368" s="94">
        <v>3571.9</v>
      </c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</row>
    <row r="2369">
      <c r="A2369" s="2"/>
      <c r="B2369" s="52">
        <v>2.0</v>
      </c>
      <c r="C2369" s="53">
        <v>1.004733752E9</v>
      </c>
      <c r="D2369" s="54">
        <v>46240.0</v>
      </c>
      <c r="E2369" s="53" t="s">
        <v>51</v>
      </c>
      <c r="F2369" s="53" t="s">
        <v>44</v>
      </c>
      <c r="G2369" s="53" t="s">
        <v>49</v>
      </c>
      <c r="H2369" s="53"/>
      <c r="I2369" s="55"/>
      <c r="J2369" s="55"/>
      <c r="K2369" s="53" t="s">
        <v>45</v>
      </c>
      <c r="L2369" s="53" t="s">
        <v>123</v>
      </c>
      <c r="M2369" s="53">
        <v>1764.0</v>
      </c>
      <c r="N2369" s="53">
        <v>230.0</v>
      </c>
      <c r="O2369" s="53">
        <v>15.53</v>
      </c>
      <c r="P2369" s="55">
        <f t="shared" si="191"/>
        <v>3571.9</v>
      </c>
      <c r="Q2369" s="55"/>
      <c r="R2369" s="105">
        <f t="shared" ref="R2369:R2377" si="192">P2369+Q2369</f>
        <v>3571.9</v>
      </c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</row>
    <row r="2370">
      <c r="A2370" s="2"/>
      <c r="B2370" s="52">
        <v>3.0</v>
      </c>
      <c r="C2370" s="53">
        <v>1.004733746E9</v>
      </c>
      <c r="D2370" s="54">
        <v>46240.0</v>
      </c>
      <c r="E2370" s="53" t="s">
        <v>51</v>
      </c>
      <c r="F2370" s="53" t="s">
        <v>44</v>
      </c>
      <c r="G2370" s="53"/>
      <c r="H2370" s="55"/>
      <c r="I2370" s="55"/>
      <c r="J2370" s="55"/>
      <c r="K2370" s="53" t="s">
        <v>45</v>
      </c>
      <c r="L2370" s="53" t="s">
        <v>185</v>
      </c>
      <c r="M2370" s="53">
        <v>1450.0</v>
      </c>
      <c r="N2370" s="53">
        <v>230.0</v>
      </c>
      <c r="O2370" s="53">
        <v>15.53</v>
      </c>
      <c r="P2370" s="55">
        <f t="shared" si="191"/>
        <v>3571.9</v>
      </c>
      <c r="Q2370" s="55"/>
      <c r="R2370" s="105">
        <f t="shared" si="192"/>
        <v>3571.9</v>
      </c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</row>
    <row r="2371">
      <c r="A2371" s="2"/>
      <c r="B2371" s="52">
        <v>4.0</v>
      </c>
      <c r="C2371" s="53">
        <v>1.004733741E9</v>
      </c>
      <c r="D2371" s="54">
        <v>46240.0</v>
      </c>
      <c r="E2371" s="53" t="s">
        <v>51</v>
      </c>
      <c r="F2371" s="53" t="s">
        <v>44</v>
      </c>
      <c r="G2371" s="53"/>
      <c r="H2371" s="55"/>
      <c r="I2371" s="55"/>
      <c r="J2371" s="55"/>
      <c r="K2371" s="53" t="s">
        <v>45</v>
      </c>
      <c r="L2371" s="53" t="s">
        <v>54</v>
      </c>
      <c r="M2371" s="53">
        <v>1425.0</v>
      </c>
      <c r="N2371" s="53">
        <v>230.0</v>
      </c>
      <c r="O2371" s="53">
        <v>15.53</v>
      </c>
      <c r="P2371" s="55">
        <f t="shared" si="191"/>
        <v>3571.9</v>
      </c>
      <c r="Q2371" s="55"/>
      <c r="R2371" s="105">
        <f t="shared" si="192"/>
        <v>3571.9</v>
      </c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</row>
    <row r="2372">
      <c r="A2372" s="2"/>
      <c r="B2372" s="52">
        <v>5.0</v>
      </c>
      <c r="C2372" s="53">
        <v>1.004734356E9</v>
      </c>
      <c r="D2372" s="54">
        <v>46240.0</v>
      </c>
      <c r="E2372" s="53" t="s">
        <v>77</v>
      </c>
      <c r="F2372" s="53" t="s">
        <v>116</v>
      </c>
      <c r="G2372" s="53" t="s">
        <v>78</v>
      </c>
      <c r="H2372" s="53" t="s">
        <v>79</v>
      </c>
      <c r="I2372" s="55"/>
      <c r="J2372" s="55"/>
      <c r="K2372" s="53" t="s">
        <v>38</v>
      </c>
      <c r="L2372" s="53" t="s">
        <v>81</v>
      </c>
      <c r="M2372" s="53">
        <v>3168.0</v>
      </c>
      <c r="N2372" s="53">
        <v>416.0</v>
      </c>
      <c r="O2372" s="53">
        <v>19.28</v>
      </c>
      <c r="P2372" s="55">
        <f t="shared" si="191"/>
        <v>8020.48</v>
      </c>
      <c r="Q2372" s="53">
        <v>505.0</v>
      </c>
      <c r="R2372" s="105">
        <f t="shared" si="192"/>
        <v>8525.48</v>
      </c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</row>
    <row r="2373">
      <c r="A2373" s="2"/>
      <c r="B2373" s="52">
        <v>6.0</v>
      </c>
      <c r="C2373" s="53">
        <v>1.004734016E9</v>
      </c>
      <c r="D2373" s="54">
        <v>46240.0</v>
      </c>
      <c r="E2373" s="53" t="s">
        <v>55</v>
      </c>
      <c r="F2373" s="53" t="s">
        <v>56</v>
      </c>
      <c r="G2373" s="53" t="s">
        <v>57</v>
      </c>
      <c r="H2373" s="53" t="s">
        <v>103</v>
      </c>
      <c r="I2373" s="53" t="s">
        <v>59</v>
      </c>
      <c r="J2373" s="53" t="s">
        <v>58</v>
      </c>
      <c r="K2373" s="53" t="s">
        <v>38</v>
      </c>
      <c r="L2373" s="53" t="s">
        <v>105</v>
      </c>
      <c r="M2373" s="53">
        <v>3698.0</v>
      </c>
      <c r="N2373" s="53">
        <v>572.0</v>
      </c>
      <c r="O2373" s="53">
        <v>19.28</v>
      </c>
      <c r="P2373" s="55">
        <f t="shared" si="191"/>
        <v>11028.16</v>
      </c>
      <c r="Q2373" s="53">
        <v>330.0</v>
      </c>
      <c r="R2373" s="105">
        <f t="shared" si="192"/>
        <v>11358.16</v>
      </c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</row>
    <row r="2374">
      <c r="A2374" s="2"/>
      <c r="B2374" s="52">
        <v>7.0</v>
      </c>
      <c r="C2374" s="53">
        <v>1.004734068E9</v>
      </c>
      <c r="D2374" s="54">
        <v>46240.0</v>
      </c>
      <c r="E2374" s="53" t="s">
        <v>100</v>
      </c>
      <c r="F2374" s="53" t="s">
        <v>83</v>
      </c>
      <c r="G2374" s="53"/>
      <c r="H2374" s="53"/>
      <c r="I2374" s="55"/>
      <c r="J2374" s="55"/>
      <c r="K2374" s="53" t="s">
        <v>33</v>
      </c>
      <c r="L2374" s="53" t="s">
        <v>85</v>
      </c>
      <c r="M2374" s="53">
        <v>1865.0</v>
      </c>
      <c r="N2374" s="53">
        <v>122.0</v>
      </c>
      <c r="O2374" s="53">
        <v>15.53</v>
      </c>
      <c r="P2374" s="55">
        <f t="shared" si="191"/>
        <v>1894.66</v>
      </c>
      <c r="Q2374" s="55"/>
      <c r="R2374" s="105">
        <f t="shared" si="192"/>
        <v>1894.66</v>
      </c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</row>
    <row r="2375">
      <c r="A2375" s="2"/>
      <c r="B2375" s="52">
        <v>8.0</v>
      </c>
      <c r="C2375" s="53">
        <v>1.004734061E9</v>
      </c>
      <c r="D2375" s="54">
        <v>46240.0</v>
      </c>
      <c r="E2375" s="53" t="s">
        <v>100</v>
      </c>
      <c r="F2375" s="53" t="s">
        <v>83</v>
      </c>
      <c r="G2375" s="53" t="s">
        <v>87</v>
      </c>
      <c r="H2375" s="53" t="s">
        <v>86</v>
      </c>
      <c r="I2375" s="53" t="s">
        <v>84</v>
      </c>
      <c r="J2375" s="55"/>
      <c r="K2375" s="53" t="s">
        <v>38</v>
      </c>
      <c r="L2375" s="53" t="s">
        <v>89</v>
      </c>
      <c r="M2375" s="53">
        <v>3260.0</v>
      </c>
      <c r="N2375" s="53">
        <v>428.0</v>
      </c>
      <c r="O2375" s="53">
        <v>19.28</v>
      </c>
      <c r="P2375" s="55">
        <f t="shared" si="191"/>
        <v>8251.84</v>
      </c>
      <c r="Q2375" s="53">
        <v>755.0</v>
      </c>
      <c r="R2375" s="105">
        <f t="shared" si="192"/>
        <v>9006.84</v>
      </c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</row>
    <row r="2376">
      <c r="A2376" s="2"/>
      <c r="B2376" s="52">
        <v>9.0</v>
      </c>
      <c r="C2376" s="53">
        <v>1.004732991E9</v>
      </c>
      <c r="D2376" s="54">
        <v>46240.0</v>
      </c>
      <c r="E2376" s="53" t="s">
        <v>61</v>
      </c>
      <c r="F2376" s="53" t="s">
        <v>75</v>
      </c>
      <c r="G2376" s="55"/>
      <c r="H2376" s="53"/>
      <c r="I2376" s="55"/>
      <c r="J2376" s="55"/>
      <c r="K2376" s="53" t="s">
        <v>33</v>
      </c>
      <c r="L2376" s="53" t="s">
        <v>104</v>
      </c>
      <c r="M2376" s="53">
        <v>2086.0</v>
      </c>
      <c r="N2376" s="53">
        <v>430.0</v>
      </c>
      <c r="O2376" s="53">
        <v>15.53</v>
      </c>
      <c r="P2376" s="55">
        <f t="shared" si="191"/>
        <v>6677.9</v>
      </c>
      <c r="Q2376" s="53"/>
      <c r="R2376" s="105">
        <f t="shared" si="192"/>
        <v>6677.9</v>
      </c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</row>
    <row r="2377">
      <c r="A2377" s="2"/>
      <c r="B2377" s="52">
        <v>10.0</v>
      </c>
      <c r="C2377" s="53">
        <v>1.004734003E9</v>
      </c>
      <c r="D2377" s="54">
        <v>46240.0</v>
      </c>
      <c r="E2377" s="53" t="s">
        <v>61</v>
      </c>
      <c r="F2377" s="53" t="s">
        <v>73</v>
      </c>
      <c r="G2377" s="53" t="s">
        <v>74</v>
      </c>
      <c r="H2377" s="53" t="s">
        <v>62</v>
      </c>
      <c r="I2377" s="53" t="s">
        <v>75</v>
      </c>
      <c r="J2377" s="55"/>
      <c r="K2377" s="53" t="s">
        <v>38</v>
      </c>
      <c r="L2377" s="53" t="s">
        <v>110</v>
      </c>
      <c r="M2377" s="53">
        <v>3546.0</v>
      </c>
      <c r="N2377" s="53">
        <v>560.0</v>
      </c>
      <c r="O2377" s="53">
        <v>19.28</v>
      </c>
      <c r="P2377" s="55">
        <f t="shared" si="191"/>
        <v>10796.8</v>
      </c>
      <c r="Q2377" s="53">
        <v>1085.0</v>
      </c>
      <c r="R2377" s="105">
        <f t="shared" si="192"/>
        <v>11881.8</v>
      </c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</row>
    <row r="2378">
      <c r="A2378" s="2"/>
      <c r="B2378" s="11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66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</row>
    <row r="2379">
      <c r="A2379" s="2"/>
      <c r="B2379" s="72" t="s">
        <v>64</v>
      </c>
      <c r="C2379" s="68"/>
      <c r="D2379" s="73" t="str">
        <f>MONEYTEXT(R2379, "INR")</f>
        <v/>
      </c>
      <c r="E2379" s="68"/>
      <c r="F2379" s="68"/>
      <c r="G2379" s="68"/>
      <c r="H2379" s="68"/>
      <c r="I2379" s="68"/>
      <c r="J2379" s="68"/>
      <c r="K2379" s="68"/>
      <c r="L2379" s="68"/>
      <c r="M2379" s="68"/>
      <c r="N2379" s="74" t="s">
        <v>65</v>
      </c>
      <c r="O2379" s="4"/>
      <c r="P2379" s="75">
        <f t="shared" ref="P2379:R2379" si="193">SUM(P2368:P2377)</f>
        <v>60957.44</v>
      </c>
      <c r="Q2379" s="75">
        <f t="shared" si="193"/>
        <v>2675</v>
      </c>
      <c r="R2379" s="75">
        <f t="shared" si="193"/>
        <v>63632.44</v>
      </c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</row>
    <row r="2380">
      <c r="A2380" s="2"/>
      <c r="B2380" s="72" t="s">
        <v>66</v>
      </c>
      <c r="C2380" s="68"/>
      <c r="D2380" s="68"/>
      <c r="E2380" s="68"/>
      <c r="F2380" s="68"/>
      <c r="G2380" s="68"/>
      <c r="H2380" s="68"/>
      <c r="I2380" s="68"/>
      <c r="J2380" s="68"/>
      <c r="K2380" s="68"/>
      <c r="L2380" s="68"/>
      <c r="M2380" s="68"/>
      <c r="N2380" s="68"/>
      <c r="O2380" s="76"/>
      <c r="P2380" s="78" t="s">
        <v>67</v>
      </c>
      <c r="Q2380" s="31"/>
      <c r="R2380" s="3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</row>
    <row r="2381">
      <c r="A2381" s="2"/>
      <c r="B2381" s="81" t="s">
        <v>68</v>
      </c>
      <c r="P2381" s="29"/>
      <c r="Q2381" s="29"/>
      <c r="R2381" s="8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</row>
    <row r="2382">
      <c r="A2382" s="2"/>
      <c r="B2382" s="81" t="s">
        <v>70</v>
      </c>
      <c r="P2382" s="29"/>
      <c r="Q2382" s="29"/>
      <c r="R2382" s="8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</row>
    <row r="2383">
      <c r="A2383" s="2"/>
      <c r="B2383" s="11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66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</row>
    <row r="2384">
      <c r="A2384" s="2"/>
      <c r="B2384" s="11"/>
      <c r="C2384" s="2"/>
      <c r="D2384" s="2"/>
      <c r="E2384" s="2"/>
      <c r="F2384" s="2"/>
      <c r="G2384" s="2"/>
      <c r="H2384" s="2"/>
      <c r="I2384" s="2"/>
      <c r="J2384" s="2"/>
      <c r="K2384" s="87" t="s">
        <v>71</v>
      </c>
      <c r="L2384" s="2"/>
      <c r="M2384" s="2"/>
      <c r="N2384" s="2"/>
      <c r="O2384" s="2"/>
      <c r="P2384" s="12" t="s">
        <v>72</v>
      </c>
      <c r="R2384" s="10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</row>
    <row r="2385">
      <c r="A2385" s="2"/>
      <c r="B2385" s="90"/>
      <c r="C2385" s="36"/>
      <c r="D2385" s="36"/>
      <c r="E2385" s="36"/>
      <c r="F2385" s="36"/>
      <c r="G2385" s="36"/>
      <c r="H2385" s="36"/>
      <c r="I2385" s="36"/>
      <c r="J2385" s="36"/>
      <c r="K2385" s="36"/>
      <c r="L2385" s="36"/>
      <c r="M2385" s="36"/>
      <c r="N2385" s="36"/>
      <c r="O2385" s="36"/>
      <c r="P2385" s="36"/>
      <c r="Q2385" s="36"/>
      <c r="R2385" s="91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</row>
    <row r="2386">
      <c r="A2386" s="2"/>
      <c r="B2386" s="177"/>
      <c r="C2386" s="177"/>
      <c r="D2386" s="177"/>
      <c r="E2386" s="177"/>
      <c r="F2386" s="177"/>
      <c r="G2386" s="177"/>
      <c r="H2386" s="177"/>
      <c r="I2386" s="177"/>
      <c r="J2386" s="177"/>
      <c r="K2386" s="177"/>
      <c r="L2386" s="177"/>
      <c r="M2386" s="177"/>
      <c r="N2386" s="177"/>
      <c r="O2386" s="177"/>
      <c r="P2386" s="177"/>
      <c r="Q2386" s="177"/>
      <c r="R2386" s="177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</row>
    <row r="2387">
      <c r="A2387" s="2"/>
      <c r="B2387" s="177"/>
      <c r="C2387" s="177"/>
      <c r="D2387" s="177"/>
      <c r="E2387" s="177"/>
      <c r="F2387" s="177"/>
      <c r="G2387" s="177"/>
      <c r="H2387" s="177"/>
      <c r="I2387" s="177"/>
      <c r="J2387" s="177"/>
      <c r="K2387" s="177"/>
      <c r="L2387" s="177"/>
      <c r="M2387" s="177"/>
      <c r="N2387" s="177"/>
      <c r="O2387" s="177"/>
      <c r="P2387" s="177"/>
      <c r="Q2387" s="177"/>
      <c r="R2387" s="177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</row>
    <row r="2388">
      <c r="A2388" s="2"/>
      <c r="B2388" s="177"/>
      <c r="C2388" s="177"/>
      <c r="D2388" s="177"/>
      <c r="E2388" s="177"/>
      <c r="F2388" s="177"/>
      <c r="G2388" s="177"/>
      <c r="H2388" s="177"/>
      <c r="I2388" s="177"/>
      <c r="J2388" s="177"/>
      <c r="K2388" s="177"/>
      <c r="L2388" s="177"/>
      <c r="M2388" s="177"/>
      <c r="N2388" s="177"/>
      <c r="O2388" s="177"/>
      <c r="P2388" s="177"/>
      <c r="Q2388" s="177"/>
      <c r="R2388" s="177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</row>
    <row r="2389">
      <c r="A2389" s="2"/>
      <c r="B2389" s="176" t="s">
        <v>1</v>
      </c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5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</row>
    <row r="2390">
      <c r="A2390" s="2"/>
      <c r="B2390" s="11"/>
      <c r="F2390" s="12"/>
      <c r="G2390" s="12"/>
      <c r="I2390" s="12"/>
      <c r="J2390" s="12" t="s">
        <v>2</v>
      </c>
      <c r="N2390" s="2"/>
      <c r="R2390" s="10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</row>
    <row r="2391">
      <c r="A2391" s="2"/>
      <c r="B2391" s="14"/>
      <c r="F2391" s="12"/>
      <c r="G2391" s="12"/>
      <c r="H2391" s="12"/>
      <c r="I2391" s="12"/>
      <c r="J2391" s="12" t="s">
        <v>3</v>
      </c>
      <c r="N2391" s="2"/>
      <c r="R2391" s="10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</row>
    <row r="2392">
      <c r="A2392" s="2"/>
      <c r="B2392" s="14" t="s">
        <v>4</v>
      </c>
      <c r="R2392" s="10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</row>
    <row r="2393">
      <c r="A2393" s="2"/>
      <c r="B2393" s="21" t="s">
        <v>5</v>
      </c>
      <c r="C2393" s="22" t="s">
        <v>6</v>
      </c>
      <c r="D2393" s="4"/>
      <c r="E2393" s="4"/>
      <c r="F2393" s="4"/>
      <c r="G2393" s="4"/>
      <c r="H2393" s="4"/>
      <c r="I2393" s="4"/>
      <c r="J2393" s="4"/>
      <c r="K2393" s="5"/>
      <c r="L2393" s="23" t="s">
        <v>7</v>
      </c>
      <c r="M2393" s="87">
        <v>91.0</v>
      </c>
      <c r="N2393" s="24"/>
      <c r="O2393" s="4"/>
      <c r="P2393" s="4"/>
      <c r="Q2393" s="4"/>
      <c r="R2393" s="5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</row>
    <row r="2394">
      <c r="A2394" s="2"/>
      <c r="B2394" s="28"/>
      <c r="C2394" s="29" t="s">
        <v>8</v>
      </c>
      <c r="K2394" s="10"/>
      <c r="L2394" s="23" t="s">
        <v>9</v>
      </c>
      <c r="M2394" s="9" t="s">
        <v>178</v>
      </c>
      <c r="N2394" s="2"/>
      <c r="R2394" s="10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</row>
    <row r="2395">
      <c r="A2395" s="2"/>
      <c r="B2395" s="21" t="s">
        <v>11</v>
      </c>
      <c r="C2395" s="35" t="s">
        <v>12</v>
      </c>
      <c r="D2395" s="31"/>
      <c r="E2395" s="31"/>
      <c r="F2395" s="31"/>
      <c r="G2395" s="31"/>
      <c r="H2395" s="31"/>
      <c r="I2395" s="31"/>
      <c r="J2395" s="31"/>
      <c r="K2395" s="32"/>
      <c r="L2395" s="23" t="s">
        <v>13</v>
      </c>
      <c r="M2395" s="33" t="s">
        <v>14</v>
      </c>
      <c r="N2395" s="36"/>
      <c r="O2395" s="31"/>
      <c r="P2395" s="31"/>
      <c r="Q2395" s="31"/>
      <c r="R2395" s="3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</row>
    <row r="2396">
      <c r="A2396" s="2"/>
      <c r="B2396" s="11"/>
      <c r="R2396" s="10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</row>
    <row r="2397">
      <c r="A2397" s="2"/>
      <c r="B2397" s="46" t="s">
        <v>15</v>
      </c>
      <c r="C2397" s="47" t="s">
        <v>16</v>
      </c>
      <c r="D2397" s="48" t="s">
        <v>17</v>
      </c>
      <c r="E2397" s="48" t="s">
        <v>18</v>
      </c>
      <c r="F2397" s="49" t="s">
        <v>19</v>
      </c>
      <c r="G2397" s="43"/>
      <c r="H2397" s="43"/>
      <c r="I2397" s="43"/>
      <c r="J2397" s="44"/>
      <c r="K2397" s="48" t="s">
        <v>20</v>
      </c>
      <c r="L2397" s="48" t="s">
        <v>21</v>
      </c>
      <c r="M2397" s="48" t="s">
        <v>22</v>
      </c>
      <c r="N2397" s="48" t="s">
        <v>23</v>
      </c>
      <c r="O2397" s="48" t="s">
        <v>24</v>
      </c>
      <c r="P2397" s="48" t="s">
        <v>25</v>
      </c>
      <c r="Q2397" s="48" t="s">
        <v>26</v>
      </c>
      <c r="R2397" s="50" t="s">
        <v>27</v>
      </c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</row>
    <row r="2398">
      <c r="A2398" s="2"/>
      <c r="B2398" s="52">
        <v>1.0</v>
      </c>
      <c r="C2398" s="53">
        <v>1.004734982E9</v>
      </c>
      <c r="D2398" s="54">
        <v>46271.0</v>
      </c>
      <c r="E2398" s="53" t="s">
        <v>35</v>
      </c>
      <c r="F2398" s="53" t="s">
        <v>36</v>
      </c>
      <c r="G2398" s="53" t="s">
        <v>40</v>
      </c>
      <c r="H2398" s="53"/>
      <c r="I2398" s="55"/>
      <c r="J2398" s="55"/>
      <c r="K2398" s="53" t="s">
        <v>38</v>
      </c>
      <c r="L2398" s="53" t="s">
        <v>96</v>
      </c>
      <c r="M2398" s="53">
        <v>3288.0</v>
      </c>
      <c r="N2398" s="53">
        <v>150.0</v>
      </c>
      <c r="O2398" s="53">
        <v>19.28</v>
      </c>
      <c r="P2398" s="55">
        <f t="shared" ref="P2398:P2407" si="194">N2398*O2398</f>
        <v>2892</v>
      </c>
      <c r="Q2398" s="53"/>
      <c r="R2398" s="94">
        <v>2892.0</v>
      </c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</row>
    <row r="2399">
      <c r="A2399" s="2"/>
      <c r="B2399" s="52">
        <v>2.0</v>
      </c>
      <c r="C2399" s="53">
        <v>1.004734985E9</v>
      </c>
      <c r="D2399" s="54">
        <v>46271.0</v>
      </c>
      <c r="E2399" s="53" t="s">
        <v>35</v>
      </c>
      <c r="F2399" s="53" t="s">
        <v>36</v>
      </c>
      <c r="G2399" s="53"/>
      <c r="H2399" s="53"/>
      <c r="I2399" s="55"/>
      <c r="J2399" s="55"/>
      <c r="K2399" s="53" t="s">
        <v>38</v>
      </c>
      <c r="L2399" s="53" t="s">
        <v>97</v>
      </c>
      <c r="M2399" s="53">
        <v>3652.0</v>
      </c>
      <c r="N2399" s="53">
        <v>130.0</v>
      </c>
      <c r="O2399" s="53">
        <v>19.28</v>
      </c>
      <c r="P2399" s="55">
        <f t="shared" si="194"/>
        <v>2506.4</v>
      </c>
      <c r="Q2399" s="55"/>
      <c r="R2399" s="105">
        <f t="shared" ref="R2399:R2407" si="195">P2399+Q2399</f>
        <v>2506.4</v>
      </c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</row>
    <row r="2400">
      <c r="A2400" s="2"/>
      <c r="B2400" s="52">
        <v>3.0</v>
      </c>
      <c r="C2400" s="53">
        <v>1.004735437E9</v>
      </c>
      <c r="D2400" s="54">
        <v>46271.0</v>
      </c>
      <c r="E2400" s="53" t="s">
        <v>47</v>
      </c>
      <c r="F2400" s="53" t="s">
        <v>44</v>
      </c>
      <c r="G2400" s="53" t="s">
        <v>48</v>
      </c>
      <c r="H2400" s="55"/>
      <c r="I2400" s="55"/>
      <c r="J2400" s="55"/>
      <c r="K2400" s="53" t="s">
        <v>45</v>
      </c>
      <c r="L2400" s="53" t="s">
        <v>98</v>
      </c>
      <c r="M2400" s="53">
        <v>2215.0</v>
      </c>
      <c r="N2400" s="53">
        <v>250.0</v>
      </c>
      <c r="O2400" s="53">
        <v>15.53</v>
      </c>
      <c r="P2400" s="55">
        <f t="shared" si="194"/>
        <v>3882.5</v>
      </c>
      <c r="Q2400" s="55"/>
      <c r="R2400" s="105">
        <f t="shared" si="195"/>
        <v>3882.5</v>
      </c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</row>
    <row r="2401">
      <c r="A2401" s="2"/>
      <c r="B2401" s="52">
        <v>4.0</v>
      </c>
      <c r="C2401" s="53">
        <v>1.004735559E9</v>
      </c>
      <c r="D2401" s="54">
        <v>46271.0</v>
      </c>
      <c r="E2401" s="53" t="s">
        <v>51</v>
      </c>
      <c r="F2401" s="53" t="s">
        <v>44</v>
      </c>
      <c r="G2401" s="53" t="s">
        <v>49</v>
      </c>
      <c r="H2401" s="55"/>
      <c r="I2401" s="55"/>
      <c r="J2401" s="55"/>
      <c r="K2401" s="53" t="s">
        <v>45</v>
      </c>
      <c r="L2401" s="53" t="s">
        <v>50</v>
      </c>
      <c r="M2401" s="53">
        <v>1790.0</v>
      </c>
      <c r="N2401" s="53">
        <v>230.0</v>
      </c>
      <c r="O2401" s="53">
        <v>15.53</v>
      </c>
      <c r="P2401" s="55">
        <f t="shared" si="194"/>
        <v>3571.9</v>
      </c>
      <c r="Q2401" s="55"/>
      <c r="R2401" s="105">
        <f t="shared" si="195"/>
        <v>3571.9</v>
      </c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</row>
    <row r="2402">
      <c r="A2402" s="2"/>
      <c r="B2402" s="52">
        <v>5.0</v>
      </c>
      <c r="C2402" s="53">
        <v>1.004736117E9</v>
      </c>
      <c r="D2402" s="54">
        <v>46271.0</v>
      </c>
      <c r="E2402" s="53" t="s">
        <v>51</v>
      </c>
      <c r="F2402" s="53" t="s">
        <v>44</v>
      </c>
      <c r="G2402" s="53" t="s">
        <v>49</v>
      </c>
      <c r="H2402" s="55"/>
      <c r="I2402" s="55"/>
      <c r="J2402" s="55"/>
      <c r="K2402" s="53" t="s">
        <v>45</v>
      </c>
      <c r="L2402" s="53" t="s">
        <v>52</v>
      </c>
      <c r="M2402" s="53">
        <v>1406.0</v>
      </c>
      <c r="N2402" s="53">
        <v>230.0</v>
      </c>
      <c r="O2402" s="53">
        <v>15.53</v>
      </c>
      <c r="P2402" s="55">
        <f t="shared" si="194"/>
        <v>3571.9</v>
      </c>
      <c r="Q2402" s="55"/>
      <c r="R2402" s="105">
        <f t="shared" si="195"/>
        <v>3571.9</v>
      </c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</row>
    <row r="2403">
      <c r="A2403" s="2"/>
      <c r="B2403" s="52">
        <v>6.0</v>
      </c>
      <c r="C2403" s="53">
        <v>1.004736112E9</v>
      </c>
      <c r="D2403" s="54">
        <v>46271.0</v>
      </c>
      <c r="E2403" s="53" t="s">
        <v>51</v>
      </c>
      <c r="F2403" s="53" t="s">
        <v>44</v>
      </c>
      <c r="G2403" s="55"/>
      <c r="H2403" s="55"/>
      <c r="I2403" s="55"/>
      <c r="J2403" s="55"/>
      <c r="K2403" s="53" t="s">
        <v>45</v>
      </c>
      <c r="L2403" s="53" t="s">
        <v>54</v>
      </c>
      <c r="M2403" s="53">
        <v>1547.0</v>
      </c>
      <c r="N2403" s="53">
        <v>230.0</v>
      </c>
      <c r="O2403" s="53">
        <v>15.53</v>
      </c>
      <c r="P2403" s="55">
        <f t="shared" si="194"/>
        <v>3571.9</v>
      </c>
      <c r="Q2403" s="55"/>
      <c r="R2403" s="105">
        <f t="shared" si="195"/>
        <v>3571.9</v>
      </c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</row>
    <row r="2404">
      <c r="A2404" s="2"/>
      <c r="B2404" s="52">
        <v>7.0</v>
      </c>
      <c r="C2404" s="53">
        <v>1.004736593E9</v>
      </c>
      <c r="D2404" s="54">
        <v>46271.0</v>
      </c>
      <c r="E2404" s="53" t="s">
        <v>82</v>
      </c>
      <c r="F2404" s="53" t="s">
        <v>87</v>
      </c>
      <c r="G2404" s="53" t="s">
        <v>86</v>
      </c>
      <c r="H2404" s="53" t="s">
        <v>83</v>
      </c>
      <c r="I2404" s="53" t="s">
        <v>88</v>
      </c>
      <c r="J2404" s="53" t="s">
        <v>84</v>
      </c>
      <c r="K2404" s="53" t="s">
        <v>38</v>
      </c>
      <c r="L2404" s="53" t="s">
        <v>101</v>
      </c>
      <c r="M2404" s="53">
        <v>3613.0</v>
      </c>
      <c r="N2404" s="53">
        <v>484.0</v>
      </c>
      <c r="O2404" s="53">
        <v>19.28</v>
      </c>
      <c r="P2404" s="55">
        <f t="shared" si="194"/>
        <v>9331.52</v>
      </c>
      <c r="Q2404" s="53">
        <v>930.0</v>
      </c>
      <c r="R2404" s="105">
        <f t="shared" si="195"/>
        <v>10261.52</v>
      </c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</row>
    <row r="2405">
      <c r="A2405" s="2"/>
      <c r="B2405" s="52">
        <v>8.0</v>
      </c>
      <c r="C2405" s="53">
        <v>1.004736515E9</v>
      </c>
      <c r="D2405" s="54">
        <v>46271.0</v>
      </c>
      <c r="E2405" s="53" t="s">
        <v>90</v>
      </c>
      <c r="F2405" s="53" t="s">
        <v>91</v>
      </c>
      <c r="G2405" s="53" t="s">
        <v>94</v>
      </c>
      <c r="H2405" s="53"/>
      <c r="I2405" s="55"/>
      <c r="J2405" s="55"/>
      <c r="K2405" s="53" t="s">
        <v>33</v>
      </c>
      <c r="L2405" s="53" t="s">
        <v>95</v>
      </c>
      <c r="M2405" s="53">
        <v>2097.0</v>
      </c>
      <c r="N2405" s="53">
        <v>216.0</v>
      </c>
      <c r="O2405" s="53">
        <v>15.53</v>
      </c>
      <c r="P2405" s="55">
        <f t="shared" si="194"/>
        <v>3354.48</v>
      </c>
      <c r="Q2405" s="55"/>
      <c r="R2405" s="105">
        <f t="shared" si="195"/>
        <v>3354.48</v>
      </c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</row>
    <row r="2406">
      <c r="A2406" s="2"/>
      <c r="B2406" s="52">
        <v>9.0</v>
      </c>
      <c r="C2406" s="53">
        <v>1.004736509E9</v>
      </c>
      <c r="D2406" s="54">
        <v>46271.0</v>
      </c>
      <c r="E2406" s="53" t="s">
        <v>90</v>
      </c>
      <c r="F2406" s="53" t="s">
        <v>92</v>
      </c>
      <c r="G2406" s="53" t="s">
        <v>93</v>
      </c>
      <c r="H2406" s="53" t="s">
        <v>94</v>
      </c>
      <c r="I2406" s="55"/>
      <c r="J2406" s="55"/>
      <c r="K2406" s="53" t="s">
        <v>38</v>
      </c>
      <c r="L2406" s="53" t="s">
        <v>102</v>
      </c>
      <c r="M2406" s="53">
        <v>3384.0</v>
      </c>
      <c r="N2406" s="53">
        <v>405.0</v>
      </c>
      <c r="O2406" s="53">
        <v>19.28</v>
      </c>
      <c r="P2406" s="55">
        <f t="shared" si="194"/>
        <v>7808.4</v>
      </c>
      <c r="Q2406" s="53">
        <v>500.0</v>
      </c>
      <c r="R2406" s="105">
        <f t="shared" si="195"/>
        <v>8308.4</v>
      </c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</row>
    <row r="2407">
      <c r="A2407" s="2"/>
      <c r="B2407" s="52">
        <v>10.0</v>
      </c>
      <c r="C2407" s="53">
        <v>1.004736428E9</v>
      </c>
      <c r="D2407" s="54">
        <v>46271.0</v>
      </c>
      <c r="E2407" s="53" t="s">
        <v>55</v>
      </c>
      <c r="F2407" s="53" t="s">
        <v>57</v>
      </c>
      <c r="G2407" s="53" t="s">
        <v>103</v>
      </c>
      <c r="H2407" s="53" t="s">
        <v>56</v>
      </c>
      <c r="I2407" s="53" t="s">
        <v>58</v>
      </c>
      <c r="J2407" s="53" t="s">
        <v>59</v>
      </c>
      <c r="K2407" s="53" t="s">
        <v>80</v>
      </c>
      <c r="L2407" s="53" t="s">
        <v>60</v>
      </c>
      <c r="M2407" s="53">
        <v>2804.0</v>
      </c>
      <c r="N2407" s="53">
        <v>572.0</v>
      </c>
      <c r="O2407" s="53">
        <v>18.28</v>
      </c>
      <c r="P2407" s="55">
        <f t="shared" si="194"/>
        <v>10456.16</v>
      </c>
      <c r="Q2407" s="53">
        <v>330.0</v>
      </c>
      <c r="R2407" s="105">
        <f t="shared" si="195"/>
        <v>10786.16</v>
      </c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</row>
    <row r="2408">
      <c r="A2408" s="2"/>
      <c r="B2408" s="8"/>
      <c r="C2408" s="6"/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5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</row>
    <row r="2409">
      <c r="A2409" s="2"/>
      <c r="B2409" s="67" t="s">
        <v>64</v>
      </c>
      <c r="C2409" s="68"/>
      <c r="D2409" s="69" t="str">
        <f>MONEYTEXT(R2409, "INR")</f>
        <v>Fifty-two thousand seven hundred seven Indian rupees and sixteen paise</v>
      </c>
      <c r="E2409" s="68"/>
      <c r="F2409" s="68"/>
      <c r="G2409" s="68"/>
      <c r="H2409" s="68"/>
      <c r="I2409" s="68"/>
      <c r="J2409" s="68"/>
      <c r="K2409" s="68"/>
      <c r="L2409" s="68"/>
      <c r="M2409" s="68"/>
      <c r="N2409" s="70" t="s">
        <v>65</v>
      </c>
      <c r="O2409" s="4"/>
      <c r="P2409" s="96">
        <f t="shared" ref="P2409:R2409" si="196">SUM(P2398:P2407)</f>
        <v>50947.16</v>
      </c>
      <c r="Q2409" s="96">
        <f t="shared" si="196"/>
        <v>1760</v>
      </c>
      <c r="R2409" s="96">
        <f t="shared" si="196"/>
        <v>52707.16</v>
      </c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</row>
    <row r="2410">
      <c r="A2410" s="2"/>
      <c r="B2410" s="72" t="s">
        <v>66</v>
      </c>
      <c r="C2410" s="68"/>
      <c r="D2410" s="68"/>
      <c r="E2410" s="68"/>
      <c r="F2410" s="68"/>
      <c r="G2410" s="68"/>
      <c r="H2410" s="68"/>
      <c r="I2410" s="68"/>
      <c r="J2410" s="68"/>
      <c r="K2410" s="68"/>
      <c r="L2410" s="68"/>
      <c r="M2410" s="68"/>
      <c r="N2410" s="68"/>
      <c r="O2410" s="76"/>
      <c r="P2410" s="78" t="s">
        <v>67</v>
      </c>
      <c r="Q2410" s="31"/>
      <c r="R2410" s="3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</row>
    <row r="2411">
      <c r="A2411" s="2"/>
      <c r="B2411" s="81" t="s">
        <v>68</v>
      </c>
      <c r="P2411" s="29"/>
      <c r="Q2411" s="29"/>
      <c r="R2411" s="8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</row>
    <row r="2412">
      <c r="A2412" s="2"/>
      <c r="B2412" s="81" t="s">
        <v>70</v>
      </c>
      <c r="P2412" s="29"/>
      <c r="Q2412" s="29"/>
      <c r="R2412" s="8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</row>
    <row r="2413">
      <c r="A2413" s="2"/>
      <c r="B2413" s="11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66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</row>
    <row r="2414">
      <c r="A2414" s="2"/>
      <c r="B2414" s="11"/>
      <c r="C2414" s="2"/>
      <c r="D2414" s="2"/>
      <c r="E2414" s="2"/>
      <c r="F2414" s="2"/>
      <c r="G2414" s="2"/>
      <c r="H2414" s="2"/>
      <c r="I2414" s="2"/>
      <c r="J2414" s="2"/>
      <c r="K2414" s="87" t="s">
        <v>71</v>
      </c>
      <c r="L2414" s="2"/>
      <c r="M2414" s="2"/>
      <c r="N2414" s="2"/>
      <c r="O2414" s="2"/>
      <c r="P2414" s="12" t="s">
        <v>72</v>
      </c>
      <c r="R2414" s="10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</row>
    <row r="2415">
      <c r="A2415" s="2"/>
      <c r="B2415" s="90"/>
      <c r="C2415" s="36"/>
      <c r="D2415" s="36"/>
      <c r="E2415" s="36"/>
      <c r="F2415" s="36"/>
      <c r="G2415" s="36"/>
      <c r="H2415" s="36"/>
      <c r="I2415" s="36"/>
      <c r="J2415" s="36"/>
      <c r="K2415" s="36"/>
      <c r="L2415" s="36"/>
      <c r="M2415" s="36"/>
      <c r="N2415" s="36"/>
      <c r="O2415" s="36"/>
      <c r="P2415" s="36"/>
      <c r="Q2415" s="36"/>
      <c r="R2415" s="91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</row>
    <row r="2416">
      <c r="A2416" s="2"/>
      <c r="B2416" s="177"/>
      <c r="C2416" s="177"/>
      <c r="D2416" s="177"/>
      <c r="E2416" s="177"/>
      <c r="F2416" s="177"/>
      <c r="G2416" s="177"/>
      <c r="H2416" s="177"/>
      <c r="I2416" s="177"/>
      <c r="J2416" s="177"/>
      <c r="K2416" s="177"/>
      <c r="L2416" s="177"/>
      <c r="M2416" s="177"/>
      <c r="N2416" s="177"/>
      <c r="O2416" s="177"/>
      <c r="P2416" s="177"/>
      <c r="Q2416" s="177"/>
      <c r="R2416" s="177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</row>
    <row r="2417">
      <c r="A2417" s="2"/>
      <c r="B2417" s="177"/>
      <c r="C2417" s="177"/>
      <c r="D2417" s="177"/>
      <c r="E2417" s="177"/>
      <c r="F2417" s="177"/>
      <c r="G2417" s="177"/>
      <c r="H2417" s="177"/>
      <c r="I2417" s="177"/>
      <c r="J2417" s="177"/>
      <c r="K2417" s="177"/>
      <c r="L2417" s="177"/>
      <c r="M2417" s="177"/>
      <c r="N2417" s="177"/>
      <c r="O2417" s="177"/>
      <c r="P2417" s="177"/>
      <c r="Q2417" s="177"/>
      <c r="R2417" s="177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</row>
    <row r="2418">
      <c r="A2418" s="2"/>
      <c r="B2418" s="177"/>
      <c r="C2418" s="177"/>
      <c r="D2418" s="177"/>
      <c r="E2418" s="177"/>
      <c r="F2418" s="177"/>
      <c r="G2418" s="177"/>
      <c r="H2418" s="177"/>
      <c r="I2418" s="177"/>
      <c r="J2418" s="177"/>
      <c r="K2418" s="177"/>
      <c r="L2418" s="177"/>
      <c r="M2418" s="177"/>
      <c r="N2418" s="177"/>
      <c r="O2418" s="177"/>
      <c r="P2418" s="177"/>
      <c r="Q2418" s="177"/>
      <c r="R2418" s="177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</row>
    <row r="2419">
      <c r="A2419" s="2"/>
      <c r="B2419" s="176" t="s">
        <v>1</v>
      </c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5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</row>
    <row r="2420">
      <c r="A2420" s="2"/>
      <c r="B2420" s="11"/>
      <c r="F2420" s="12"/>
      <c r="G2420" s="12"/>
      <c r="I2420" s="12"/>
      <c r="J2420" s="12" t="s">
        <v>2</v>
      </c>
      <c r="N2420" s="2"/>
      <c r="R2420" s="10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</row>
    <row r="2421">
      <c r="A2421" s="2"/>
      <c r="B2421" s="14"/>
      <c r="F2421" s="12"/>
      <c r="G2421" s="12"/>
      <c r="H2421" s="12"/>
      <c r="I2421" s="12"/>
      <c r="J2421" s="12" t="s">
        <v>3</v>
      </c>
      <c r="N2421" s="2"/>
      <c r="R2421" s="10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</row>
    <row r="2422">
      <c r="A2422" s="2"/>
      <c r="B2422" s="14" t="s">
        <v>4</v>
      </c>
      <c r="R2422" s="10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</row>
    <row r="2423">
      <c r="A2423" s="2"/>
      <c r="B2423" s="21" t="s">
        <v>5</v>
      </c>
      <c r="C2423" s="22" t="s">
        <v>6</v>
      </c>
      <c r="D2423" s="4"/>
      <c r="E2423" s="4"/>
      <c r="F2423" s="4"/>
      <c r="G2423" s="4"/>
      <c r="H2423" s="4"/>
      <c r="I2423" s="4"/>
      <c r="J2423" s="4"/>
      <c r="K2423" s="5"/>
      <c r="L2423" s="23" t="s">
        <v>7</v>
      </c>
      <c r="M2423" s="87">
        <v>92.0</v>
      </c>
      <c r="N2423" s="24"/>
      <c r="O2423" s="4"/>
      <c r="P2423" s="4"/>
      <c r="Q2423" s="4"/>
      <c r="R2423" s="5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</row>
    <row r="2424">
      <c r="A2424" s="2"/>
      <c r="B2424" s="28"/>
      <c r="C2424" s="29" t="s">
        <v>8</v>
      </c>
      <c r="K2424" s="10"/>
      <c r="L2424" s="23" t="s">
        <v>9</v>
      </c>
      <c r="M2424" s="9" t="s">
        <v>178</v>
      </c>
      <c r="N2424" s="2"/>
      <c r="R2424" s="10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</row>
    <row r="2425">
      <c r="A2425" s="2"/>
      <c r="B2425" s="21" t="s">
        <v>11</v>
      </c>
      <c r="C2425" s="35" t="s">
        <v>12</v>
      </c>
      <c r="D2425" s="31"/>
      <c r="E2425" s="31"/>
      <c r="F2425" s="31"/>
      <c r="G2425" s="31"/>
      <c r="H2425" s="31"/>
      <c r="I2425" s="31"/>
      <c r="J2425" s="31"/>
      <c r="K2425" s="32"/>
      <c r="L2425" s="23" t="s">
        <v>13</v>
      </c>
      <c r="M2425" s="33" t="s">
        <v>14</v>
      </c>
      <c r="N2425" s="36"/>
      <c r="O2425" s="31"/>
      <c r="P2425" s="31"/>
      <c r="Q2425" s="31"/>
      <c r="R2425" s="3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</row>
    <row r="2426">
      <c r="A2426" s="2"/>
      <c r="B2426" s="11"/>
      <c r="R2426" s="10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</row>
    <row r="2427">
      <c r="A2427" s="2"/>
      <c r="B2427" s="46" t="s">
        <v>15</v>
      </c>
      <c r="C2427" s="47" t="s">
        <v>16</v>
      </c>
      <c r="D2427" s="48" t="s">
        <v>17</v>
      </c>
      <c r="E2427" s="48" t="s">
        <v>18</v>
      </c>
      <c r="F2427" s="49" t="s">
        <v>19</v>
      </c>
      <c r="G2427" s="43"/>
      <c r="H2427" s="43"/>
      <c r="I2427" s="43"/>
      <c r="J2427" s="44"/>
      <c r="K2427" s="48" t="s">
        <v>20</v>
      </c>
      <c r="L2427" s="48" t="s">
        <v>21</v>
      </c>
      <c r="M2427" s="48" t="s">
        <v>22</v>
      </c>
      <c r="N2427" s="48" t="s">
        <v>23</v>
      </c>
      <c r="O2427" s="48" t="s">
        <v>24</v>
      </c>
      <c r="P2427" s="48" t="s">
        <v>25</v>
      </c>
      <c r="Q2427" s="48" t="s">
        <v>26</v>
      </c>
      <c r="R2427" s="50" t="s">
        <v>27</v>
      </c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</row>
    <row r="2428">
      <c r="A2428" s="2"/>
      <c r="B2428" s="52">
        <v>1.0</v>
      </c>
      <c r="C2428" s="53">
        <v>1.004736344E9</v>
      </c>
      <c r="D2428" s="54">
        <v>46271.0</v>
      </c>
      <c r="E2428" s="53" t="s">
        <v>106</v>
      </c>
      <c r="F2428" s="53" t="s">
        <v>107</v>
      </c>
      <c r="G2428" s="53" t="s">
        <v>108</v>
      </c>
      <c r="H2428" s="53" t="s">
        <v>109</v>
      </c>
      <c r="I2428" s="55"/>
      <c r="J2428" s="55"/>
      <c r="K2428" s="53" t="s">
        <v>38</v>
      </c>
      <c r="L2428" s="53" t="s">
        <v>118</v>
      </c>
      <c r="M2428" s="53">
        <v>3428.0</v>
      </c>
      <c r="N2428" s="53">
        <v>482.0</v>
      </c>
      <c r="O2428" s="53">
        <v>19.28</v>
      </c>
      <c r="P2428" s="55">
        <f t="shared" ref="P2428:P2437" si="197">N2428*O2428</f>
        <v>9292.96</v>
      </c>
      <c r="Q2428" s="53">
        <v>1025.0</v>
      </c>
      <c r="R2428" s="94">
        <v>10317.96</v>
      </c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</row>
    <row r="2429">
      <c r="A2429" s="2"/>
      <c r="B2429" s="52">
        <v>2.0</v>
      </c>
      <c r="C2429" s="53">
        <v>1.004737661E9</v>
      </c>
      <c r="D2429" s="54">
        <v>46301.0</v>
      </c>
      <c r="E2429" s="53" t="s">
        <v>28</v>
      </c>
      <c r="F2429" s="53" t="s">
        <v>29</v>
      </c>
      <c r="G2429" s="53" t="s">
        <v>30</v>
      </c>
      <c r="H2429" s="53" t="s">
        <v>31</v>
      </c>
      <c r="I2429" s="53" t="s">
        <v>32</v>
      </c>
      <c r="J2429" s="55"/>
      <c r="K2429" s="53" t="s">
        <v>38</v>
      </c>
      <c r="L2429" s="53" t="s">
        <v>34</v>
      </c>
      <c r="M2429" s="53">
        <v>3665.0</v>
      </c>
      <c r="N2429" s="53">
        <v>246.0</v>
      </c>
      <c r="O2429" s="53">
        <v>19.28</v>
      </c>
      <c r="P2429" s="55">
        <f t="shared" si="197"/>
        <v>4742.88</v>
      </c>
      <c r="Q2429" s="55"/>
      <c r="R2429" s="105">
        <f t="shared" ref="R2429:R2437" si="198">P2429+Q2429</f>
        <v>4742.88</v>
      </c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</row>
    <row r="2430">
      <c r="A2430" s="2"/>
      <c r="B2430" s="52">
        <v>3.0</v>
      </c>
      <c r="C2430" s="53">
        <v>1.004737538E9</v>
      </c>
      <c r="D2430" s="54">
        <v>46301.0</v>
      </c>
      <c r="E2430" s="53" t="s">
        <v>35</v>
      </c>
      <c r="F2430" s="53" t="s">
        <v>36</v>
      </c>
      <c r="G2430" s="53" t="s">
        <v>40</v>
      </c>
      <c r="H2430" s="55"/>
      <c r="I2430" s="55"/>
      <c r="J2430" s="55"/>
      <c r="K2430" s="53" t="s">
        <v>38</v>
      </c>
      <c r="L2430" s="53" t="s">
        <v>96</v>
      </c>
      <c r="M2430" s="53">
        <v>3197.0</v>
      </c>
      <c r="N2430" s="53">
        <v>150.0</v>
      </c>
      <c r="O2430" s="53">
        <v>19.28</v>
      </c>
      <c r="P2430" s="55">
        <f t="shared" si="197"/>
        <v>2892</v>
      </c>
      <c r="Q2430" s="55"/>
      <c r="R2430" s="105">
        <f t="shared" si="198"/>
        <v>2892</v>
      </c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</row>
    <row r="2431">
      <c r="A2431" s="2"/>
      <c r="B2431" s="52">
        <v>4.0</v>
      </c>
      <c r="C2431" s="53">
        <v>1.004737565E9</v>
      </c>
      <c r="D2431" s="54">
        <v>46301.0</v>
      </c>
      <c r="E2431" s="53" t="s">
        <v>35</v>
      </c>
      <c r="F2431" s="53" t="s">
        <v>36</v>
      </c>
      <c r="G2431" s="53"/>
      <c r="H2431" s="55"/>
      <c r="I2431" s="55"/>
      <c r="J2431" s="55"/>
      <c r="K2431" s="53" t="s">
        <v>33</v>
      </c>
      <c r="L2431" s="53" t="s">
        <v>41</v>
      </c>
      <c r="M2431" s="53">
        <v>1684.0</v>
      </c>
      <c r="N2431" s="53">
        <v>130.0</v>
      </c>
      <c r="O2431" s="53">
        <v>15.53</v>
      </c>
      <c r="P2431" s="55">
        <f t="shared" si="197"/>
        <v>2018.9</v>
      </c>
      <c r="Q2431" s="55"/>
      <c r="R2431" s="105">
        <f t="shared" si="198"/>
        <v>2018.9</v>
      </c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</row>
    <row r="2432">
      <c r="A2432" s="2"/>
      <c r="B2432" s="52">
        <v>5.0</v>
      </c>
      <c r="C2432" s="53">
        <v>1.004737528E9</v>
      </c>
      <c r="D2432" s="54">
        <v>46301.0</v>
      </c>
      <c r="E2432" s="53" t="s">
        <v>35</v>
      </c>
      <c r="F2432" s="53" t="s">
        <v>37</v>
      </c>
      <c r="G2432" s="53" t="s">
        <v>36</v>
      </c>
      <c r="H2432" s="55"/>
      <c r="I2432" s="55"/>
      <c r="J2432" s="55"/>
      <c r="K2432" s="53" t="s">
        <v>38</v>
      </c>
      <c r="L2432" s="53" t="s">
        <v>97</v>
      </c>
      <c r="M2432" s="53">
        <v>3224.0</v>
      </c>
      <c r="N2432" s="53">
        <v>200.0</v>
      </c>
      <c r="O2432" s="53">
        <v>19.28</v>
      </c>
      <c r="P2432" s="55">
        <f t="shared" si="197"/>
        <v>3856</v>
      </c>
      <c r="Q2432" s="55"/>
      <c r="R2432" s="105">
        <f t="shared" si="198"/>
        <v>3856</v>
      </c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</row>
    <row r="2433">
      <c r="A2433" s="2"/>
      <c r="B2433" s="52">
        <v>6.0</v>
      </c>
      <c r="C2433" s="53">
        <v>1.004737758E9</v>
      </c>
      <c r="D2433" s="54">
        <v>46301.0</v>
      </c>
      <c r="E2433" s="53" t="s">
        <v>42</v>
      </c>
      <c r="F2433" s="53" t="s">
        <v>43</v>
      </c>
      <c r="G2433" s="53" t="s">
        <v>44</v>
      </c>
      <c r="H2433" s="55"/>
      <c r="I2433" s="55"/>
      <c r="J2433" s="55"/>
      <c r="K2433" s="53" t="s">
        <v>45</v>
      </c>
      <c r="L2433" s="53" t="s">
        <v>98</v>
      </c>
      <c r="M2433" s="53">
        <v>1432.0</v>
      </c>
      <c r="N2433" s="53">
        <v>299.0</v>
      </c>
      <c r="O2433" s="53">
        <v>15.53</v>
      </c>
      <c r="P2433" s="55">
        <f t="shared" si="197"/>
        <v>4643.47</v>
      </c>
      <c r="Q2433" s="55"/>
      <c r="R2433" s="105">
        <f t="shared" si="198"/>
        <v>4643.47</v>
      </c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</row>
    <row r="2434">
      <c r="A2434" s="2"/>
      <c r="B2434" s="52">
        <v>7.0</v>
      </c>
      <c r="C2434" s="53">
        <v>1.004737771E9</v>
      </c>
      <c r="D2434" s="54">
        <v>46301.0</v>
      </c>
      <c r="E2434" s="53" t="s">
        <v>51</v>
      </c>
      <c r="F2434" s="53" t="s">
        <v>44</v>
      </c>
      <c r="G2434" s="53"/>
      <c r="H2434" s="53"/>
      <c r="I2434" s="55"/>
      <c r="J2434" s="55"/>
      <c r="K2434" s="53" t="s">
        <v>45</v>
      </c>
      <c r="L2434" s="53" t="s">
        <v>50</v>
      </c>
      <c r="M2434" s="53">
        <v>1505.0</v>
      </c>
      <c r="N2434" s="53">
        <v>230.0</v>
      </c>
      <c r="O2434" s="53">
        <v>15.53</v>
      </c>
      <c r="P2434" s="55">
        <f t="shared" si="197"/>
        <v>3571.9</v>
      </c>
      <c r="Q2434" s="55"/>
      <c r="R2434" s="105">
        <f t="shared" si="198"/>
        <v>3571.9</v>
      </c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</row>
    <row r="2435">
      <c r="A2435" s="2"/>
      <c r="B2435" s="52">
        <v>8.0</v>
      </c>
      <c r="C2435" s="53">
        <v>1.004737781E9</v>
      </c>
      <c r="D2435" s="54">
        <v>46301.0</v>
      </c>
      <c r="E2435" s="53" t="s">
        <v>51</v>
      </c>
      <c r="F2435" s="53" t="s">
        <v>49</v>
      </c>
      <c r="G2435" s="53" t="s">
        <v>44</v>
      </c>
      <c r="H2435" s="53"/>
      <c r="I2435" s="55"/>
      <c r="J2435" s="55"/>
      <c r="K2435" s="53" t="s">
        <v>45</v>
      </c>
      <c r="L2435" s="53" t="s">
        <v>52</v>
      </c>
      <c r="M2435" s="53">
        <v>1766.0</v>
      </c>
      <c r="N2435" s="53">
        <v>230.0</v>
      </c>
      <c r="O2435" s="53">
        <v>15.53</v>
      </c>
      <c r="P2435" s="55">
        <f t="shared" si="197"/>
        <v>3571.9</v>
      </c>
      <c r="Q2435" s="55"/>
      <c r="R2435" s="105">
        <f t="shared" si="198"/>
        <v>3571.9</v>
      </c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</row>
    <row r="2436">
      <c r="A2436" s="2"/>
      <c r="B2436" s="52">
        <v>9.0</v>
      </c>
      <c r="C2436" s="53">
        <v>1.004738353E9</v>
      </c>
      <c r="D2436" s="54">
        <v>46301.0</v>
      </c>
      <c r="E2436" s="53" t="s">
        <v>51</v>
      </c>
      <c r="F2436" s="53" t="s">
        <v>44</v>
      </c>
      <c r="G2436" s="53" t="s">
        <v>49</v>
      </c>
      <c r="H2436" s="53"/>
      <c r="I2436" s="55"/>
      <c r="J2436" s="55"/>
      <c r="K2436" s="53" t="s">
        <v>45</v>
      </c>
      <c r="L2436" s="53" t="s">
        <v>53</v>
      </c>
      <c r="M2436" s="53">
        <v>1887.0</v>
      </c>
      <c r="N2436" s="53">
        <v>230.0</v>
      </c>
      <c r="O2436" s="53">
        <v>15.53</v>
      </c>
      <c r="P2436" s="55">
        <f t="shared" si="197"/>
        <v>3571.9</v>
      </c>
      <c r="Q2436" s="53"/>
      <c r="R2436" s="105">
        <f t="shared" si="198"/>
        <v>3571.9</v>
      </c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</row>
    <row r="2437">
      <c r="A2437" s="2"/>
      <c r="B2437" s="52">
        <v>10.0</v>
      </c>
      <c r="C2437" s="53">
        <v>1.00473835E9</v>
      </c>
      <c r="D2437" s="54">
        <v>46301.0</v>
      </c>
      <c r="E2437" s="53" t="s">
        <v>51</v>
      </c>
      <c r="F2437" s="53" t="s">
        <v>44</v>
      </c>
      <c r="G2437" s="55"/>
      <c r="H2437" s="55"/>
      <c r="I2437" s="55"/>
      <c r="J2437" s="55"/>
      <c r="K2437" s="53" t="s">
        <v>45</v>
      </c>
      <c r="L2437" s="53" t="s">
        <v>111</v>
      </c>
      <c r="M2437" s="53">
        <v>1413.0</v>
      </c>
      <c r="N2437" s="53">
        <v>230.0</v>
      </c>
      <c r="O2437" s="53">
        <v>15.53</v>
      </c>
      <c r="P2437" s="55">
        <f t="shared" si="197"/>
        <v>3571.9</v>
      </c>
      <c r="Q2437" s="53"/>
      <c r="R2437" s="105">
        <f t="shared" si="198"/>
        <v>3571.9</v>
      </c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</row>
    <row r="2438">
      <c r="A2438" s="2"/>
      <c r="B2438" s="8"/>
      <c r="C2438" s="6"/>
      <c r="D2438" s="6"/>
      <c r="E2438" s="6"/>
      <c r="F2438" s="6"/>
      <c r="G2438" s="6"/>
      <c r="H2438" s="6"/>
      <c r="I2438" s="6"/>
      <c r="J2438" s="6"/>
      <c r="K2438" s="6"/>
      <c r="L2438" s="6"/>
      <c r="M2438" s="6"/>
      <c r="N2438" s="6"/>
      <c r="O2438" s="6"/>
      <c r="P2438" s="6"/>
      <c r="Q2438" s="6"/>
      <c r="R2438" s="65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</row>
    <row r="2439">
      <c r="A2439" s="2"/>
      <c r="B2439" s="67" t="s">
        <v>64</v>
      </c>
      <c r="C2439" s="68"/>
      <c r="D2439" s="69" t="str">
        <f>MONEYTEXT(R2439, "INR")</f>
        <v/>
      </c>
      <c r="E2439" s="68"/>
      <c r="F2439" s="68"/>
      <c r="G2439" s="68"/>
      <c r="H2439" s="68"/>
      <c r="I2439" s="68"/>
      <c r="J2439" s="68"/>
      <c r="K2439" s="68"/>
      <c r="L2439" s="68"/>
      <c r="M2439" s="68"/>
      <c r="N2439" s="70" t="s">
        <v>65</v>
      </c>
      <c r="O2439" s="4"/>
      <c r="P2439" s="96">
        <f t="shared" ref="P2439:R2439" si="199">SUM(P2428:P2437)</f>
        <v>41733.81</v>
      </c>
      <c r="Q2439" s="96">
        <f t="shared" si="199"/>
        <v>1025</v>
      </c>
      <c r="R2439" s="96">
        <f t="shared" si="199"/>
        <v>42758.81</v>
      </c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</row>
    <row r="2440">
      <c r="A2440" s="2"/>
      <c r="B2440" s="72" t="s">
        <v>66</v>
      </c>
      <c r="C2440" s="68"/>
      <c r="D2440" s="68"/>
      <c r="E2440" s="68"/>
      <c r="F2440" s="68"/>
      <c r="G2440" s="68"/>
      <c r="H2440" s="68"/>
      <c r="I2440" s="68"/>
      <c r="J2440" s="68"/>
      <c r="K2440" s="68"/>
      <c r="L2440" s="68"/>
      <c r="M2440" s="68"/>
      <c r="N2440" s="68"/>
      <c r="O2440" s="76"/>
      <c r="P2440" s="78" t="s">
        <v>67</v>
      </c>
      <c r="Q2440" s="31"/>
      <c r="R2440" s="3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</row>
    <row r="2441">
      <c r="A2441" s="2"/>
      <c r="B2441" s="81" t="s">
        <v>68</v>
      </c>
      <c r="P2441" s="29"/>
      <c r="Q2441" s="29"/>
      <c r="R2441" s="8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</row>
    <row r="2442">
      <c r="A2442" s="2"/>
      <c r="B2442" s="81" t="s">
        <v>70</v>
      </c>
      <c r="P2442" s="29"/>
      <c r="Q2442" s="29"/>
      <c r="R2442" s="8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</row>
    <row r="2443">
      <c r="A2443" s="2"/>
      <c r="B2443" s="11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66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</row>
    <row r="2444">
      <c r="A2444" s="2"/>
      <c r="B2444" s="11"/>
      <c r="C2444" s="2"/>
      <c r="D2444" s="2"/>
      <c r="E2444" s="2"/>
      <c r="F2444" s="2"/>
      <c r="G2444" s="2"/>
      <c r="H2444" s="2"/>
      <c r="I2444" s="2"/>
      <c r="J2444" s="2"/>
      <c r="K2444" s="87" t="s">
        <v>71</v>
      </c>
      <c r="L2444" s="2"/>
      <c r="M2444" s="2"/>
      <c r="N2444" s="2"/>
      <c r="O2444" s="2"/>
      <c r="P2444" s="12" t="s">
        <v>72</v>
      </c>
      <c r="R2444" s="10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</row>
    <row r="2445">
      <c r="A2445" s="2"/>
      <c r="B2445" s="90"/>
      <c r="C2445" s="36"/>
      <c r="D2445" s="36"/>
      <c r="E2445" s="36"/>
      <c r="F2445" s="36"/>
      <c r="G2445" s="36"/>
      <c r="H2445" s="36"/>
      <c r="I2445" s="36"/>
      <c r="J2445" s="36"/>
      <c r="K2445" s="36"/>
      <c r="L2445" s="36"/>
      <c r="M2445" s="36"/>
      <c r="N2445" s="36"/>
      <c r="O2445" s="36"/>
      <c r="P2445" s="36"/>
      <c r="Q2445" s="36"/>
      <c r="R2445" s="91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</row>
    <row r="2446">
      <c r="A2446" s="2"/>
      <c r="B2446" s="177"/>
      <c r="C2446" s="177"/>
      <c r="D2446" s="177"/>
      <c r="E2446" s="177"/>
      <c r="F2446" s="177"/>
      <c r="G2446" s="177"/>
      <c r="H2446" s="177"/>
      <c r="I2446" s="177"/>
      <c r="J2446" s="177"/>
      <c r="K2446" s="177"/>
      <c r="L2446" s="177"/>
      <c r="M2446" s="177"/>
      <c r="N2446" s="177"/>
      <c r="O2446" s="177"/>
      <c r="P2446" s="177"/>
      <c r="Q2446" s="177"/>
      <c r="R2446" s="177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</row>
    <row r="2447">
      <c r="A2447" s="2"/>
      <c r="B2447" s="177"/>
      <c r="C2447" s="177"/>
      <c r="D2447" s="177"/>
      <c r="E2447" s="177"/>
      <c r="F2447" s="177"/>
      <c r="G2447" s="177"/>
      <c r="H2447" s="177"/>
      <c r="I2447" s="177"/>
      <c r="J2447" s="177"/>
      <c r="K2447" s="177"/>
      <c r="L2447" s="177"/>
      <c r="M2447" s="177"/>
      <c r="N2447" s="177"/>
      <c r="O2447" s="177"/>
      <c r="P2447" s="177"/>
      <c r="Q2447" s="177"/>
      <c r="R2447" s="177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</row>
    <row r="2448">
      <c r="A2448" s="2"/>
      <c r="B2448" s="177"/>
      <c r="C2448" s="177"/>
      <c r="D2448" s="177"/>
      <c r="E2448" s="177"/>
      <c r="F2448" s="177"/>
      <c r="G2448" s="177"/>
      <c r="H2448" s="177"/>
      <c r="I2448" s="177"/>
      <c r="J2448" s="177"/>
      <c r="K2448" s="177"/>
      <c r="L2448" s="177"/>
      <c r="M2448" s="177"/>
      <c r="N2448" s="177"/>
      <c r="O2448" s="177"/>
      <c r="P2448" s="177"/>
      <c r="Q2448" s="177"/>
      <c r="R2448" s="177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</row>
    <row r="2449">
      <c r="A2449" s="2"/>
      <c r="B2449" s="176" t="s">
        <v>1</v>
      </c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5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</row>
    <row r="2450">
      <c r="A2450" s="2"/>
      <c r="B2450" s="11"/>
      <c r="F2450" s="12"/>
      <c r="G2450" s="12"/>
      <c r="I2450" s="12"/>
      <c r="J2450" s="12" t="s">
        <v>2</v>
      </c>
      <c r="N2450" s="2"/>
      <c r="R2450" s="10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</row>
    <row r="2451">
      <c r="A2451" s="2"/>
      <c r="B2451" s="14"/>
      <c r="F2451" s="12"/>
      <c r="G2451" s="12"/>
      <c r="H2451" s="12"/>
      <c r="I2451" s="12"/>
      <c r="J2451" s="12" t="s">
        <v>3</v>
      </c>
      <c r="N2451" s="2"/>
      <c r="R2451" s="10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</row>
    <row r="2452">
      <c r="A2452" s="2"/>
      <c r="B2452" s="14" t="s">
        <v>4</v>
      </c>
      <c r="R2452" s="10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</row>
    <row r="2453">
      <c r="A2453" s="2"/>
      <c r="B2453" s="21" t="s">
        <v>5</v>
      </c>
      <c r="C2453" s="22" t="s">
        <v>6</v>
      </c>
      <c r="D2453" s="4"/>
      <c r="E2453" s="4"/>
      <c r="F2453" s="4"/>
      <c r="G2453" s="4"/>
      <c r="H2453" s="4"/>
      <c r="I2453" s="4"/>
      <c r="J2453" s="4"/>
      <c r="K2453" s="5"/>
      <c r="L2453" s="23" t="s">
        <v>7</v>
      </c>
      <c r="M2453" s="87">
        <v>93.0</v>
      </c>
      <c r="N2453" s="24"/>
      <c r="O2453" s="4"/>
      <c r="P2453" s="4"/>
      <c r="Q2453" s="4"/>
      <c r="R2453" s="5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</row>
    <row r="2454">
      <c r="A2454" s="2"/>
      <c r="B2454" s="28"/>
      <c r="C2454" s="29" t="s">
        <v>8</v>
      </c>
      <c r="K2454" s="10"/>
      <c r="L2454" s="23" t="s">
        <v>9</v>
      </c>
      <c r="M2454" s="9" t="s">
        <v>178</v>
      </c>
      <c r="N2454" s="2"/>
      <c r="R2454" s="10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</row>
    <row r="2455">
      <c r="A2455" s="2"/>
      <c r="B2455" s="21" t="s">
        <v>11</v>
      </c>
      <c r="C2455" s="35" t="s">
        <v>12</v>
      </c>
      <c r="D2455" s="31"/>
      <c r="E2455" s="31"/>
      <c r="F2455" s="31"/>
      <c r="G2455" s="31"/>
      <c r="H2455" s="31"/>
      <c r="I2455" s="31"/>
      <c r="J2455" s="31"/>
      <c r="K2455" s="32"/>
      <c r="L2455" s="23" t="s">
        <v>13</v>
      </c>
      <c r="M2455" s="33" t="s">
        <v>14</v>
      </c>
      <c r="N2455" s="36"/>
      <c r="O2455" s="31"/>
      <c r="P2455" s="31"/>
      <c r="Q2455" s="31"/>
      <c r="R2455" s="3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</row>
    <row r="2456">
      <c r="A2456" s="2"/>
      <c r="B2456" s="11"/>
      <c r="R2456" s="10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</row>
    <row r="2457">
      <c r="A2457" s="2"/>
      <c r="B2457" s="46" t="s">
        <v>15</v>
      </c>
      <c r="C2457" s="47" t="s">
        <v>16</v>
      </c>
      <c r="D2457" s="48" t="s">
        <v>17</v>
      </c>
      <c r="E2457" s="48" t="s">
        <v>18</v>
      </c>
      <c r="F2457" s="49" t="s">
        <v>19</v>
      </c>
      <c r="G2457" s="43"/>
      <c r="H2457" s="43"/>
      <c r="I2457" s="43"/>
      <c r="J2457" s="44"/>
      <c r="K2457" s="48" t="s">
        <v>20</v>
      </c>
      <c r="L2457" s="48" t="s">
        <v>21</v>
      </c>
      <c r="M2457" s="48" t="s">
        <v>22</v>
      </c>
      <c r="N2457" s="48" t="s">
        <v>23</v>
      </c>
      <c r="O2457" s="48" t="s">
        <v>24</v>
      </c>
      <c r="P2457" s="48" t="s">
        <v>25</v>
      </c>
      <c r="Q2457" s="48" t="s">
        <v>26</v>
      </c>
      <c r="R2457" s="50" t="s">
        <v>27</v>
      </c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</row>
    <row r="2458">
      <c r="A2458" s="2"/>
      <c r="B2458" s="52">
        <v>1.0</v>
      </c>
      <c r="C2458" s="53">
        <v>1.004738346E9</v>
      </c>
      <c r="D2458" s="54">
        <v>46301.0</v>
      </c>
      <c r="E2458" s="53" t="s">
        <v>51</v>
      </c>
      <c r="F2458" s="53" t="s">
        <v>44</v>
      </c>
      <c r="G2458" s="53"/>
      <c r="H2458" s="53"/>
      <c r="I2458" s="55"/>
      <c r="J2458" s="55"/>
      <c r="K2458" s="53" t="s">
        <v>45</v>
      </c>
      <c r="L2458" s="53" t="s">
        <v>54</v>
      </c>
      <c r="M2458" s="53">
        <v>1444.0</v>
      </c>
      <c r="N2458" s="53">
        <v>230.0</v>
      </c>
      <c r="O2458" s="53">
        <v>15.53</v>
      </c>
      <c r="P2458" s="55">
        <f t="shared" ref="P2458:P2467" si="200">N2458*O2458</f>
        <v>3571.9</v>
      </c>
      <c r="Q2458" s="53"/>
      <c r="R2458" s="94">
        <v>3571.9</v>
      </c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</row>
    <row r="2459">
      <c r="A2459" s="2"/>
      <c r="B2459" s="52">
        <v>2.0</v>
      </c>
      <c r="C2459" s="53">
        <v>1.004738546E9</v>
      </c>
      <c r="D2459" s="54">
        <v>46301.0</v>
      </c>
      <c r="E2459" s="53" t="s">
        <v>61</v>
      </c>
      <c r="F2459" s="53" t="s">
        <v>74</v>
      </c>
      <c r="G2459" s="53" t="s">
        <v>62</v>
      </c>
      <c r="H2459" s="53" t="s">
        <v>75</v>
      </c>
      <c r="I2459" s="55"/>
      <c r="J2459" s="55"/>
      <c r="K2459" s="53" t="s">
        <v>38</v>
      </c>
      <c r="L2459" s="53" t="s">
        <v>76</v>
      </c>
      <c r="M2459" s="53">
        <v>3267.0</v>
      </c>
      <c r="N2459" s="53">
        <v>330.0</v>
      </c>
      <c r="O2459" s="53">
        <v>19.28</v>
      </c>
      <c r="P2459" s="55">
        <f t="shared" si="200"/>
        <v>6362.4</v>
      </c>
      <c r="Q2459" s="55"/>
      <c r="R2459" s="105">
        <f t="shared" ref="R2459:R2467" si="201">P2459+Q2459</f>
        <v>6362.4</v>
      </c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</row>
    <row r="2460">
      <c r="A2460" s="2"/>
      <c r="B2460" s="52">
        <v>3.0</v>
      </c>
      <c r="C2460" s="53">
        <v>1.004738542E9</v>
      </c>
      <c r="D2460" s="54">
        <v>46301.0</v>
      </c>
      <c r="E2460" s="53" t="s">
        <v>61</v>
      </c>
      <c r="F2460" s="53" t="s">
        <v>73</v>
      </c>
      <c r="G2460" s="53" t="s">
        <v>75</v>
      </c>
      <c r="H2460" s="55"/>
      <c r="I2460" s="55"/>
      <c r="J2460" s="55"/>
      <c r="K2460" s="53" t="s">
        <v>38</v>
      </c>
      <c r="L2460" s="53" t="s">
        <v>110</v>
      </c>
      <c r="M2460" s="53">
        <v>3135.0</v>
      </c>
      <c r="N2460" s="53">
        <v>560.0</v>
      </c>
      <c r="O2460" s="53">
        <v>19.28</v>
      </c>
      <c r="P2460" s="55">
        <f t="shared" si="200"/>
        <v>10796.8</v>
      </c>
      <c r="Q2460" s="53">
        <v>1090.0</v>
      </c>
      <c r="R2460" s="105">
        <f t="shared" si="201"/>
        <v>11886.8</v>
      </c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</row>
    <row r="2461">
      <c r="A2461" s="2"/>
      <c r="B2461" s="52">
        <v>4.0</v>
      </c>
      <c r="C2461" s="53">
        <v>1.004738733E9</v>
      </c>
      <c r="D2461" s="54">
        <v>46301.0</v>
      </c>
      <c r="E2461" s="53" t="s">
        <v>100</v>
      </c>
      <c r="F2461" s="53" t="s">
        <v>83</v>
      </c>
      <c r="G2461" s="53" t="s">
        <v>84</v>
      </c>
      <c r="H2461" s="55"/>
      <c r="I2461" s="55"/>
      <c r="J2461" s="55"/>
      <c r="K2461" s="53" t="s">
        <v>33</v>
      </c>
      <c r="L2461" s="53" t="s">
        <v>95</v>
      </c>
      <c r="M2461" s="53">
        <v>2041.0</v>
      </c>
      <c r="N2461" s="53">
        <v>328.0</v>
      </c>
      <c r="O2461" s="53">
        <v>15.53</v>
      </c>
      <c r="P2461" s="55">
        <f t="shared" si="200"/>
        <v>5093.84</v>
      </c>
      <c r="Q2461" s="55"/>
      <c r="R2461" s="105">
        <f t="shared" si="201"/>
        <v>5093.84</v>
      </c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</row>
    <row r="2462">
      <c r="A2462" s="2"/>
      <c r="B2462" s="52">
        <v>5.0</v>
      </c>
      <c r="C2462" s="53">
        <v>1.004738744E9</v>
      </c>
      <c r="D2462" s="54">
        <v>46301.0</v>
      </c>
      <c r="E2462" s="53" t="s">
        <v>100</v>
      </c>
      <c r="F2462" s="53" t="s">
        <v>86</v>
      </c>
      <c r="G2462" s="53" t="s">
        <v>87</v>
      </c>
      <c r="H2462" s="53" t="s">
        <v>84</v>
      </c>
      <c r="I2462" s="55"/>
      <c r="J2462" s="55"/>
      <c r="K2462" s="53" t="s">
        <v>38</v>
      </c>
      <c r="L2462" s="53" t="s">
        <v>89</v>
      </c>
      <c r="M2462" s="53">
        <v>3532.0</v>
      </c>
      <c r="N2462" s="53">
        <v>428.0</v>
      </c>
      <c r="O2462" s="53">
        <v>19.28</v>
      </c>
      <c r="P2462" s="55">
        <f t="shared" si="200"/>
        <v>8251.84</v>
      </c>
      <c r="Q2462" s="53">
        <v>755.0</v>
      </c>
      <c r="R2462" s="105">
        <f t="shared" si="201"/>
        <v>9006.84</v>
      </c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</row>
    <row r="2463">
      <c r="A2463" s="2"/>
      <c r="B2463" s="52">
        <v>6.0</v>
      </c>
      <c r="C2463" s="53">
        <v>1.00473867E9</v>
      </c>
      <c r="D2463" s="54">
        <v>46301.0</v>
      </c>
      <c r="E2463" s="53" t="s">
        <v>55</v>
      </c>
      <c r="F2463" s="53" t="s">
        <v>57</v>
      </c>
      <c r="G2463" s="53" t="s">
        <v>58</v>
      </c>
      <c r="H2463" s="53" t="s">
        <v>59</v>
      </c>
      <c r="I2463" s="55"/>
      <c r="J2463" s="55"/>
      <c r="K2463" s="53" t="s">
        <v>33</v>
      </c>
      <c r="L2463" s="53" t="s">
        <v>85</v>
      </c>
      <c r="M2463" s="53">
        <v>1751.0</v>
      </c>
      <c r="N2463" s="53">
        <v>418.0</v>
      </c>
      <c r="O2463" s="53">
        <v>15.53</v>
      </c>
      <c r="P2463" s="55">
        <f t="shared" si="200"/>
        <v>6491.54</v>
      </c>
      <c r="Q2463" s="55"/>
      <c r="R2463" s="105">
        <f t="shared" si="201"/>
        <v>6491.54</v>
      </c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</row>
    <row r="2464">
      <c r="A2464" s="2"/>
      <c r="B2464" s="52">
        <v>7.0</v>
      </c>
      <c r="C2464" s="53">
        <v>1.004738661E9</v>
      </c>
      <c r="D2464" s="54">
        <v>46301.0</v>
      </c>
      <c r="E2464" s="53" t="s">
        <v>55</v>
      </c>
      <c r="F2464" s="53" t="s">
        <v>56</v>
      </c>
      <c r="G2464" s="53" t="s">
        <v>103</v>
      </c>
      <c r="H2464" s="53" t="s">
        <v>58</v>
      </c>
      <c r="I2464" s="55"/>
      <c r="J2464" s="55"/>
      <c r="K2464" s="53" t="s">
        <v>38</v>
      </c>
      <c r="L2464" s="53" t="s">
        <v>105</v>
      </c>
      <c r="M2464" s="53">
        <v>3147.0</v>
      </c>
      <c r="N2464" s="53">
        <v>572.0</v>
      </c>
      <c r="O2464" s="53">
        <v>19.28</v>
      </c>
      <c r="P2464" s="55">
        <f t="shared" si="200"/>
        <v>11028.16</v>
      </c>
      <c r="Q2464" s="53">
        <v>330.0</v>
      </c>
      <c r="R2464" s="105">
        <f t="shared" si="201"/>
        <v>11358.16</v>
      </c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</row>
    <row r="2465">
      <c r="A2465" s="2"/>
      <c r="B2465" s="52">
        <v>8.0</v>
      </c>
      <c r="C2465" s="53">
        <v>1.00473885E9</v>
      </c>
      <c r="D2465" s="54">
        <v>46301.0</v>
      </c>
      <c r="E2465" s="53" t="s">
        <v>77</v>
      </c>
      <c r="F2465" s="53" t="s">
        <v>116</v>
      </c>
      <c r="G2465" s="53" t="s">
        <v>78</v>
      </c>
      <c r="H2465" s="53" t="s">
        <v>79</v>
      </c>
      <c r="I2465" s="55"/>
      <c r="J2465" s="55"/>
      <c r="K2465" s="53" t="s">
        <v>80</v>
      </c>
      <c r="L2465" s="53" t="s">
        <v>81</v>
      </c>
      <c r="M2465" s="53">
        <v>2442.0</v>
      </c>
      <c r="N2465" s="53">
        <v>416.0</v>
      </c>
      <c r="O2465" s="53">
        <v>18.28</v>
      </c>
      <c r="P2465" s="55">
        <f t="shared" si="200"/>
        <v>7604.48</v>
      </c>
      <c r="Q2465" s="53">
        <v>505.0</v>
      </c>
      <c r="R2465" s="105">
        <f t="shared" si="201"/>
        <v>8109.48</v>
      </c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</row>
    <row r="2466">
      <c r="A2466" s="2"/>
      <c r="B2466" s="52">
        <v>9.0</v>
      </c>
      <c r="C2466" s="53">
        <v>1.004739576E9</v>
      </c>
      <c r="D2466" s="54">
        <v>46332.0</v>
      </c>
      <c r="E2466" s="53" t="s">
        <v>28</v>
      </c>
      <c r="F2466" s="53" t="s">
        <v>29</v>
      </c>
      <c r="G2466" s="53" t="s">
        <v>30</v>
      </c>
      <c r="H2466" s="53" t="s">
        <v>32</v>
      </c>
      <c r="I2466" s="55"/>
      <c r="J2466" s="55"/>
      <c r="K2466" s="53" t="s">
        <v>33</v>
      </c>
      <c r="L2466" s="53" t="s">
        <v>34</v>
      </c>
      <c r="M2466" s="53">
        <v>1928.0</v>
      </c>
      <c r="N2466" s="53">
        <v>246.0</v>
      </c>
      <c r="O2466" s="53">
        <v>15.53</v>
      </c>
      <c r="P2466" s="55">
        <f t="shared" si="200"/>
        <v>3820.38</v>
      </c>
      <c r="Q2466" s="53"/>
      <c r="R2466" s="105">
        <f t="shared" si="201"/>
        <v>3820.38</v>
      </c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</row>
    <row r="2467">
      <c r="A2467" s="2"/>
      <c r="B2467" s="52">
        <v>10.0</v>
      </c>
      <c r="C2467" s="53">
        <v>1.004739516E9</v>
      </c>
      <c r="D2467" s="54">
        <v>46332.0</v>
      </c>
      <c r="E2467" s="53" t="s">
        <v>35</v>
      </c>
      <c r="F2467" s="53" t="s">
        <v>37</v>
      </c>
      <c r="G2467" s="53" t="s">
        <v>36</v>
      </c>
      <c r="H2467" s="55"/>
      <c r="I2467" s="55"/>
      <c r="J2467" s="55"/>
      <c r="K2467" s="53" t="s">
        <v>33</v>
      </c>
      <c r="L2467" s="53" t="s">
        <v>41</v>
      </c>
      <c r="M2467" s="53">
        <v>1910.0</v>
      </c>
      <c r="N2467" s="53">
        <v>200.0</v>
      </c>
      <c r="O2467" s="53">
        <v>15.53</v>
      </c>
      <c r="P2467" s="55">
        <f t="shared" si="200"/>
        <v>3106</v>
      </c>
      <c r="Q2467" s="53"/>
      <c r="R2467" s="105">
        <f t="shared" si="201"/>
        <v>3106</v>
      </c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</row>
    <row r="2468">
      <c r="A2468" s="2"/>
      <c r="B2468" s="8"/>
      <c r="C2468" s="6"/>
      <c r="D2468" s="6"/>
      <c r="E2468" s="6"/>
      <c r="F2468" s="6"/>
      <c r="G2468" s="6"/>
      <c r="H2468" s="6"/>
      <c r="I2468" s="6"/>
      <c r="J2468" s="6"/>
      <c r="K2468" s="6"/>
      <c r="L2468" s="6"/>
      <c r="M2468" s="6"/>
      <c r="N2468" s="6"/>
      <c r="O2468" s="6"/>
      <c r="P2468" s="6"/>
      <c r="Q2468" s="6"/>
      <c r="R2468" s="65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</row>
    <row r="2469">
      <c r="A2469" s="2"/>
      <c r="B2469" s="67" t="s">
        <v>64</v>
      </c>
      <c r="C2469" s="68"/>
      <c r="D2469" s="69" t="str">
        <f>MONEYTEXT(R2469, "INR")</f>
        <v>Sixty-eight thousand eight hundred seven Indian rupees and thirty-four paise</v>
      </c>
      <c r="E2469" s="68"/>
      <c r="F2469" s="68"/>
      <c r="G2469" s="68"/>
      <c r="H2469" s="68"/>
      <c r="I2469" s="68"/>
      <c r="J2469" s="68"/>
      <c r="K2469" s="68"/>
      <c r="L2469" s="68"/>
      <c r="M2469" s="68"/>
      <c r="N2469" s="70" t="s">
        <v>65</v>
      </c>
      <c r="O2469" s="4"/>
      <c r="P2469" s="96">
        <f t="shared" ref="P2469:R2469" si="202">SUM(P2458:P2467)</f>
        <v>66127.34</v>
      </c>
      <c r="Q2469" s="96">
        <f t="shared" si="202"/>
        <v>2680</v>
      </c>
      <c r="R2469" s="96">
        <f t="shared" si="202"/>
        <v>68807.34</v>
      </c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</row>
    <row r="2470">
      <c r="A2470" s="2"/>
      <c r="B2470" s="72" t="s">
        <v>66</v>
      </c>
      <c r="C2470" s="68"/>
      <c r="D2470" s="68"/>
      <c r="E2470" s="68"/>
      <c r="F2470" s="68"/>
      <c r="G2470" s="68"/>
      <c r="H2470" s="68"/>
      <c r="I2470" s="68"/>
      <c r="J2470" s="68"/>
      <c r="K2470" s="68"/>
      <c r="L2470" s="68"/>
      <c r="M2470" s="68"/>
      <c r="N2470" s="68"/>
      <c r="O2470" s="76"/>
      <c r="P2470" s="78" t="s">
        <v>67</v>
      </c>
      <c r="Q2470" s="31"/>
      <c r="R2470" s="3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</row>
    <row r="2471">
      <c r="A2471" s="2"/>
      <c r="B2471" s="81" t="s">
        <v>68</v>
      </c>
      <c r="P2471" s="29"/>
      <c r="Q2471" s="29"/>
      <c r="R2471" s="8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</row>
    <row r="2472">
      <c r="A2472" s="2"/>
      <c r="B2472" s="81" t="s">
        <v>70</v>
      </c>
      <c r="P2472" s="29"/>
      <c r="Q2472" s="29"/>
      <c r="R2472" s="8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</row>
    <row r="2473">
      <c r="A2473" s="2"/>
      <c r="B2473" s="11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66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</row>
    <row r="2474">
      <c r="A2474" s="2"/>
      <c r="B2474" s="11"/>
      <c r="C2474" s="2"/>
      <c r="D2474" s="2"/>
      <c r="E2474" s="2"/>
      <c r="F2474" s="2"/>
      <c r="G2474" s="2"/>
      <c r="H2474" s="2"/>
      <c r="I2474" s="2"/>
      <c r="J2474" s="2"/>
      <c r="K2474" s="87" t="s">
        <v>71</v>
      </c>
      <c r="L2474" s="2"/>
      <c r="M2474" s="2"/>
      <c r="N2474" s="2"/>
      <c r="O2474" s="2"/>
      <c r="P2474" s="12" t="s">
        <v>72</v>
      </c>
      <c r="R2474" s="10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</row>
    <row r="2475">
      <c r="A2475" s="2"/>
      <c r="B2475" s="90"/>
      <c r="C2475" s="36"/>
      <c r="D2475" s="36"/>
      <c r="E2475" s="36"/>
      <c r="F2475" s="36"/>
      <c r="G2475" s="36"/>
      <c r="H2475" s="36"/>
      <c r="I2475" s="36"/>
      <c r="J2475" s="36"/>
      <c r="K2475" s="36"/>
      <c r="L2475" s="36"/>
      <c r="M2475" s="36"/>
      <c r="N2475" s="36"/>
      <c r="O2475" s="36"/>
      <c r="P2475" s="36"/>
      <c r="Q2475" s="36"/>
      <c r="R2475" s="91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</row>
    <row r="2476">
      <c r="A2476" s="2"/>
      <c r="B2476" s="177"/>
      <c r="C2476" s="177"/>
      <c r="D2476" s="177"/>
      <c r="E2476" s="177"/>
      <c r="F2476" s="177"/>
      <c r="G2476" s="177"/>
      <c r="H2476" s="177"/>
      <c r="I2476" s="177"/>
      <c r="J2476" s="177"/>
      <c r="K2476" s="177"/>
      <c r="L2476" s="177"/>
      <c r="M2476" s="177"/>
      <c r="N2476" s="177"/>
      <c r="O2476" s="177"/>
      <c r="P2476" s="177"/>
      <c r="Q2476" s="177"/>
      <c r="R2476" s="177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</row>
    <row r="2477">
      <c r="A2477" s="2"/>
      <c r="B2477" s="177"/>
      <c r="C2477" s="177"/>
      <c r="D2477" s="177"/>
      <c r="E2477" s="177"/>
      <c r="F2477" s="177"/>
      <c r="G2477" s="177"/>
      <c r="H2477" s="177"/>
      <c r="I2477" s="177"/>
      <c r="J2477" s="177"/>
      <c r="K2477" s="177"/>
      <c r="L2477" s="177"/>
      <c r="M2477" s="177"/>
      <c r="N2477" s="177"/>
      <c r="O2477" s="177"/>
      <c r="P2477" s="177"/>
      <c r="Q2477" s="177"/>
      <c r="R2477" s="177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</row>
    <row r="2478">
      <c r="A2478" s="2"/>
      <c r="B2478" s="177"/>
      <c r="C2478" s="177"/>
      <c r="D2478" s="177"/>
      <c r="E2478" s="177"/>
      <c r="F2478" s="177"/>
      <c r="G2478" s="177"/>
      <c r="H2478" s="177"/>
      <c r="I2478" s="177"/>
      <c r="J2478" s="177"/>
      <c r="K2478" s="177"/>
      <c r="L2478" s="177"/>
      <c r="M2478" s="177"/>
      <c r="N2478" s="177"/>
      <c r="O2478" s="177"/>
      <c r="P2478" s="177"/>
      <c r="Q2478" s="177"/>
      <c r="R2478" s="177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</row>
    <row r="2479">
      <c r="A2479" s="2"/>
      <c r="B2479" s="176" t="s">
        <v>1</v>
      </c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5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</row>
    <row r="2480">
      <c r="A2480" s="2"/>
      <c r="B2480" s="11"/>
      <c r="F2480" s="12"/>
      <c r="G2480" s="12"/>
      <c r="I2480" s="12"/>
      <c r="J2480" s="12" t="s">
        <v>2</v>
      </c>
      <c r="N2480" s="2"/>
      <c r="R2480" s="10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</row>
    <row r="2481">
      <c r="A2481" s="2"/>
      <c r="B2481" s="14"/>
      <c r="F2481" s="12"/>
      <c r="G2481" s="12"/>
      <c r="H2481" s="12"/>
      <c r="I2481" s="12"/>
      <c r="J2481" s="12" t="s">
        <v>3</v>
      </c>
      <c r="N2481" s="2"/>
      <c r="R2481" s="10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</row>
    <row r="2482">
      <c r="A2482" s="2"/>
      <c r="B2482" s="14" t="s">
        <v>4</v>
      </c>
      <c r="R2482" s="10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</row>
    <row r="2483">
      <c r="A2483" s="2"/>
      <c r="B2483" s="21" t="s">
        <v>5</v>
      </c>
      <c r="C2483" s="22" t="s">
        <v>6</v>
      </c>
      <c r="D2483" s="4"/>
      <c r="E2483" s="4"/>
      <c r="F2483" s="4"/>
      <c r="G2483" s="4"/>
      <c r="H2483" s="4"/>
      <c r="I2483" s="4"/>
      <c r="J2483" s="4"/>
      <c r="K2483" s="5"/>
      <c r="L2483" s="23" t="s">
        <v>7</v>
      </c>
      <c r="M2483" s="87">
        <v>94.0</v>
      </c>
      <c r="N2483" s="24"/>
      <c r="O2483" s="4"/>
      <c r="P2483" s="4"/>
      <c r="Q2483" s="4"/>
      <c r="R2483" s="5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</row>
    <row r="2484">
      <c r="A2484" s="2"/>
      <c r="B2484" s="28"/>
      <c r="C2484" s="29" t="s">
        <v>8</v>
      </c>
      <c r="K2484" s="10"/>
      <c r="L2484" s="23" t="s">
        <v>9</v>
      </c>
      <c r="M2484" s="9" t="s">
        <v>178</v>
      </c>
      <c r="N2484" s="2"/>
      <c r="R2484" s="10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</row>
    <row r="2485">
      <c r="A2485" s="2"/>
      <c r="B2485" s="21" t="s">
        <v>11</v>
      </c>
      <c r="C2485" s="35" t="s">
        <v>12</v>
      </c>
      <c r="D2485" s="31"/>
      <c r="E2485" s="31"/>
      <c r="F2485" s="31"/>
      <c r="G2485" s="31"/>
      <c r="H2485" s="31"/>
      <c r="I2485" s="31"/>
      <c r="J2485" s="31"/>
      <c r="K2485" s="32"/>
      <c r="L2485" s="23" t="s">
        <v>13</v>
      </c>
      <c r="M2485" s="33" t="s">
        <v>14</v>
      </c>
      <c r="N2485" s="36"/>
      <c r="O2485" s="31"/>
      <c r="P2485" s="31"/>
      <c r="Q2485" s="31"/>
      <c r="R2485" s="3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</row>
    <row r="2486">
      <c r="A2486" s="2"/>
      <c r="B2486" s="11"/>
      <c r="R2486" s="10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</row>
    <row r="2487">
      <c r="A2487" s="2"/>
      <c r="B2487" s="46" t="s">
        <v>15</v>
      </c>
      <c r="C2487" s="47" t="s">
        <v>16</v>
      </c>
      <c r="D2487" s="48" t="s">
        <v>17</v>
      </c>
      <c r="E2487" s="48" t="s">
        <v>18</v>
      </c>
      <c r="F2487" s="49" t="s">
        <v>19</v>
      </c>
      <c r="G2487" s="43"/>
      <c r="H2487" s="43"/>
      <c r="I2487" s="43"/>
      <c r="J2487" s="44"/>
      <c r="K2487" s="48" t="s">
        <v>20</v>
      </c>
      <c r="L2487" s="48" t="s">
        <v>21</v>
      </c>
      <c r="M2487" s="48" t="s">
        <v>22</v>
      </c>
      <c r="N2487" s="48" t="s">
        <v>23</v>
      </c>
      <c r="O2487" s="48" t="s">
        <v>24</v>
      </c>
      <c r="P2487" s="48" t="s">
        <v>25</v>
      </c>
      <c r="Q2487" s="48" t="s">
        <v>26</v>
      </c>
      <c r="R2487" s="50" t="s">
        <v>27</v>
      </c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</row>
    <row r="2488">
      <c r="A2488" s="2"/>
      <c r="B2488" s="52">
        <v>1.0</v>
      </c>
      <c r="C2488" s="53">
        <v>1.004739509E9</v>
      </c>
      <c r="D2488" s="54">
        <v>46332.0</v>
      </c>
      <c r="E2488" s="53" t="s">
        <v>35</v>
      </c>
      <c r="F2488" s="53" t="s">
        <v>36</v>
      </c>
      <c r="G2488" s="53" t="s">
        <v>40</v>
      </c>
      <c r="H2488" s="53"/>
      <c r="I2488" s="55"/>
      <c r="J2488" s="55"/>
      <c r="K2488" s="53" t="s">
        <v>38</v>
      </c>
      <c r="L2488" s="53" t="s">
        <v>97</v>
      </c>
      <c r="M2488" s="53">
        <v>3475.0</v>
      </c>
      <c r="N2488" s="53">
        <v>150.0</v>
      </c>
      <c r="O2488" s="53">
        <v>19.28</v>
      </c>
      <c r="P2488" s="55">
        <f t="shared" ref="P2488:P2497" si="203">N2488*O2488</f>
        <v>2892</v>
      </c>
      <c r="Q2488" s="53"/>
      <c r="R2488" s="94">
        <v>2892.0</v>
      </c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</row>
    <row r="2489">
      <c r="A2489" s="2"/>
      <c r="B2489" s="52">
        <v>2.0</v>
      </c>
      <c r="C2489" s="53">
        <v>1.004739648E9</v>
      </c>
      <c r="D2489" s="54">
        <v>46332.0</v>
      </c>
      <c r="E2489" s="53" t="s">
        <v>47</v>
      </c>
      <c r="F2489" s="53" t="s">
        <v>44</v>
      </c>
      <c r="G2489" s="53" t="s">
        <v>48</v>
      </c>
      <c r="H2489" s="53"/>
      <c r="I2489" s="55"/>
      <c r="J2489" s="55"/>
      <c r="K2489" s="53" t="s">
        <v>45</v>
      </c>
      <c r="L2489" s="53" t="s">
        <v>98</v>
      </c>
      <c r="M2489" s="53">
        <v>1483.0</v>
      </c>
      <c r="N2489" s="53">
        <v>250.0</v>
      </c>
      <c r="O2489" s="53">
        <v>15.53</v>
      </c>
      <c r="P2489" s="55">
        <f t="shared" si="203"/>
        <v>3882.5</v>
      </c>
      <c r="Q2489" s="55"/>
      <c r="R2489" s="105">
        <f t="shared" ref="R2489:R2497" si="204">P2489+Q2489</f>
        <v>3882.5</v>
      </c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</row>
    <row r="2490">
      <c r="A2490" s="2"/>
      <c r="B2490" s="52">
        <v>3.0</v>
      </c>
      <c r="C2490" s="53">
        <v>1.004739938E9</v>
      </c>
      <c r="D2490" s="54">
        <v>46332.0</v>
      </c>
      <c r="E2490" s="53" t="s">
        <v>51</v>
      </c>
      <c r="F2490" s="53" t="s">
        <v>44</v>
      </c>
      <c r="G2490" s="53" t="s">
        <v>49</v>
      </c>
      <c r="H2490" s="55"/>
      <c r="I2490" s="55"/>
      <c r="J2490" s="55"/>
      <c r="K2490" s="53" t="s">
        <v>45</v>
      </c>
      <c r="L2490" s="53" t="s">
        <v>50</v>
      </c>
      <c r="M2490" s="53">
        <v>1759.0</v>
      </c>
      <c r="N2490" s="53">
        <v>230.0</v>
      </c>
      <c r="O2490" s="53">
        <v>15.53</v>
      </c>
      <c r="P2490" s="55">
        <f t="shared" si="203"/>
        <v>3571.9</v>
      </c>
      <c r="Q2490" s="55"/>
      <c r="R2490" s="105">
        <f t="shared" si="204"/>
        <v>3571.9</v>
      </c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</row>
    <row r="2491">
      <c r="A2491" s="2"/>
      <c r="B2491" s="52">
        <v>4.0</v>
      </c>
      <c r="C2491" s="53">
        <v>1.004739971E9</v>
      </c>
      <c r="D2491" s="54">
        <v>46332.0</v>
      </c>
      <c r="E2491" s="53" t="s">
        <v>51</v>
      </c>
      <c r="F2491" s="53" t="s">
        <v>44</v>
      </c>
      <c r="G2491" s="53"/>
      <c r="H2491" s="55"/>
      <c r="I2491" s="55"/>
      <c r="J2491" s="55"/>
      <c r="K2491" s="53" t="s">
        <v>45</v>
      </c>
      <c r="L2491" s="53" t="s">
        <v>52</v>
      </c>
      <c r="M2491" s="53">
        <v>1683.0</v>
      </c>
      <c r="N2491" s="53">
        <v>230.0</v>
      </c>
      <c r="O2491" s="53">
        <v>15.53</v>
      </c>
      <c r="P2491" s="55">
        <f t="shared" si="203"/>
        <v>3571.9</v>
      </c>
      <c r="Q2491" s="55"/>
      <c r="R2491" s="105">
        <f t="shared" si="204"/>
        <v>3571.9</v>
      </c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</row>
    <row r="2492">
      <c r="A2492" s="2"/>
      <c r="B2492" s="52">
        <v>5.0</v>
      </c>
      <c r="C2492" s="53">
        <v>1.00474028E9</v>
      </c>
      <c r="D2492" s="54">
        <v>46332.0</v>
      </c>
      <c r="E2492" s="53" t="s">
        <v>51</v>
      </c>
      <c r="F2492" s="53" t="s">
        <v>44</v>
      </c>
      <c r="G2492" s="53" t="s">
        <v>49</v>
      </c>
      <c r="H2492" s="55"/>
      <c r="I2492" s="55"/>
      <c r="J2492" s="55"/>
      <c r="K2492" s="53" t="s">
        <v>45</v>
      </c>
      <c r="L2492" s="53" t="s">
        <v>53</v>
      </c>
      <c r="M2492" s="53">
        <v>1784.0</v>
      </c>
      <c r="N2492" s="53">
        <v>230.0</v>
      </c>
      <c r="O2492" s="53">
        <v>15.53</v>
      </c>
      <c r="P2492" s="55">
        <f t="shared" si="203"/>
        <v>3571.9</v>
      </c>
      <c r="Q2492" s="55"/>
      <c r="R2492" s="105">
        <f t="shared" si="204"/>
        <v>3571.9</v>
      </c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</row>
    <row r="2493">
      <c r="A2493" s="2"/>
      <c r="B2493" s="52">
        <v>6.0</v>
      </c>
      <c r="C2493" s="53">
        <v>1.004739981E9</v>
      </c>
      <c r="D2493" s="54">
        <v>46332.0</v>
      </c>
      <c r="E2493" s="53" t="s">
        <v>51</v>
      </c>
      <c r="F2493" s="53" t="s">
        <v>44</v>
      </c>
      <c r="G2493" s="55"/>
      <c r="H2493" s="55"/>
      <c r="I2493" s="55"/>
      <c r="J2493" s="55"/>
      <c r="K2493" s="53" t="s">
        <v>45</v>
      </c>
      <c r="L2493" s="53" t="s">
        <v>54</v>
      </c>
      <c r="M2493" s="53">
        <v>1368.0</v>
      </c>
      <c r="N2493" s="53">
        <v>230.0</v>
      </c>
      <c r="O2493" s="53">
        <v>15.53</v>
      </c>
      <c r="P2493" s="55">
        <f t="shared" si="203"/>
        <v>3571.9</v>
      </c>
      <c r="Q2493" s="55"/>
      <c r="R2493" s="105">
        <f t="shared" si="204"/>
        <v>3571.9</v>
      </c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</row>
    <row r="2494">
      <c r="A2494" s="2"/>
      <c r="B2494" s="52">
        <v>7.0</v>
      </c>
      <c r="C2494" s="53">
        <v>1.004740633E9</v>
      </c>
      <c r="D2494" s="54">
        <v>46332.0</v>
      </c>
      <c r="E2494" s="53" t="s">
        <v>106</v>
      </c>
      <c r="F2494" s="53" t="s">
        <v>107</v>
      </c>
      <c r="G2494" s="53" t="s">
        <v>108</v>
      </c>
      <c r="H2494" s="53"/>
      <c r="I2494" s="55"/>
      <c r="J2494" s="55"/>
      <c r="K2494" s="53" t="s">
        <v>80</v>
      </c>
      <c r="L2494" s="53" t="s">
        <v>104</v>
      </c>
      <c r="M2494" s="53">
        <v>2762.0</v>
      </c>
      <c r="N2494" s="53">
        <v>410.0</v>
      </c>
      <c r="O2494" s="53">
        <v>18.28</v>
      </c>
      <c r="P2494" s="55">
        <f t="shared" si="203"/>
        <v>7494.8</v>
      </c>
      <c r="Q2494" s="55"/>
      <c r="R2494" s="105">
        <f t="shared" si="204"/>
        <v>7494.8</v>
      </c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</row>
    <row r="2495">
      <c r="A2495" s="2"/>
      <c r="B2495" s="52">
        <v>8.0</v>
      </c>
      <c r="C2495" s="53">
        <v>1.004740631E9</v>
      </c>
      <c r="D2495" s="54">
        <v>46332.0</v>
      </c>
      <c r="E2495" s="53" t="s">
        <v>106</v>
      </c>
      <c r="F2495" s="53" t="s">
        <v>109</v>
      </c>
      <c r="G2495" s="53" t="s">
        <v>108</v>
      </c>
      <c r="H2495" s="53"/>
      <c r="I2495" s="55"/>
      <c r="J2495" s="55"/>
      <c r="K2495" s="53" t="s">
        <v>38</v>
      </c>
      <c r="L2495" s="53" t="s">
        <v>118</v>
      </c>
      <c r="M2495" s="53">
        <v>3308.0</v>
      </c>
      <c r="N2495" s="53">
        <v>482.0</v>
      </c>
      <c r="O2495" s="53">
        <v>19.28</v>
      </c>
      <c r="P2495" s="55">
        <f t="shared" si="203"/>
        <v>9292.96</v>
      </c>
      <c r="Q2495" s="53">
        <v>1025.0</v>
      </c>
      <c r="R2495" s="105">
        <f t="shared" si="204"/>
        <v>10317.96</v>
      </c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</row>
    <row r="2496">
      <c r="A2496" s="2"/>
      <c r="B2496" s="52">
        <v>9.0</v>
      </c>
      <c r="C2496" s="53">
        <v>1.004740855E9</v>
      </c>
      <c r="D2496" s="54">
        <v>46332.0</v>
      </c>
      <c r="E2496" s="53" t="s">
        <v>77</v>
      </c>
      <c r="F2496" s="53" t="s">
        <v>116</v>
      </c>
      <c r="G2496" s="53" t="s">
        <v>78</v>
      </c>
      <c r="H2496" s="53" t="s">
        <v>79</v>
      </c>
      <c r="I2496" s="55"/>
      <c r="J2496" s="55"/>
      <c r="K2496" s="53" t="s">
        <v>38</v>
      </c>
      <c r="L2496" s="53" t="s">
        <v>124</v>
      </c>
      <c r="M2496" s="53">
        <v>3336.0</v>
      </c>
      <c r="N2496" s="53">
        <v>416.0</v>
      </c>
      <c r="O2496" s="53">
        <v>19.28</v>
      </c>
      <c r="P2496" s="55">
        <f t="shared" si="203"/>
        <v>8020.48</v>
      </c>
      <c r="Q2496" s="53"/>
      <c r="R2496" s="105">
        <f t="shared" si="204"/>
        <v>8020.48</v>
      </c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</row>
    <row r="2497">
      <c r="A2497" s="2"/>
      <c r="B2497" s="52">
        <v>10.0</v>
      </c>
      <c r="C2497" s="53">
        <v>1.004740822E9</v>
      </c>
      <c r="D2497" s="54">
        <v>46332.0</v>
      </c>
      <c r="E2497" s="53" t="s">
        <v>90</v>
      </c>
      <c r="F2497" s="53" t="s">
        <v>91</v>
      </c>
      <c r="G2497" s="53" t="s">
        <v>92</v>
      </c>
      <c r="H2497" s="53" t="s">
        <v>94</v>
      </c>
      <c r="I2497" s="53" t="s">
        <v>93</v>
      </c>
      <c r="J2497" s="55"/>
      <c r="K2497" s="53" t="s">
        <v>38</v>
      </c>
      <c r="L2497" s="53" t="s">
        <v>102</v>
      </c>
      <c r="M2497" s="53">
        <v>3430.0</v>
      </c>
      <c r="N2497" s="53">
        <v>405.0</v>
      </c>
      <c r="O2497" s="53">
        <v>19.28</v>
      </c>
      <c r="P2497" s="55">
        <f t="shared" si="203"/>
        <v>7808.4</v>
      </c>
      <c r="Q2497" s="53"/>
      <c r="R2497" s="105">
        <f t="shared" si="204"/>
        <v>7808.4</v>
      </c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</row>
    <row r="2498">
      <c r="A2498" s="2"/>
      <c r="B2498" s="8"/>
      <c r="C2498" s="6"/>
      <c r="D2498" s="6"/>
      <c r="E2498" s="6"/>
      <c r="F2498" s="6"/>
      <c r="G2498" s="6"/>
      <c r="H2498" s="6"/>
      <c r="I2498" s="6"/>
      <c r="J2498" s="6"/>
      <c r="K2498" s="6"/>
      <c r="L2498" s="6"/>
      <c r="M2498" s="6"/>
      <c r="N2498" s="6"/>
      <c r="O2498" s="6"/>
      <c r="P2498" s="6"/>
      <c r="Q2498" s="6"/>
      <c r="R2498" s="65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</row>
    <row r="2499">
      <c r="A2499" s="2"/>
      <c r="B2499" s="67" t="s">
        <v>64</v>
      </c>
      <c r="C2499" s="68"/>
      <c r="D2499" s="69" t="str">
        <f>MONEYTEXT(R2499, "INR")</f>
        <v/>
      </c>
      <c r="E2499" s="68"/>
      <c r="F2499" s="68"/>
      <c r="G2499" s="68"/>
      <c r="H2499" s="68"/>
      <c r="I2499" s="68"/>
      <c r="J2499" s="68"/>
      <c r="K2499" s="68"/>
      <c r="L2499" s="68"/>
      <c r="M2499" s="68"/>
      <c r="N2499" s="70" t="s">
        <v>65</v>
      </c>
      <c r="O2499" s="4"/>
      <c r="P2499" s="96">
        <f t="shared" ref="P2499:R2499" si="205">SUM(P2488:P2497)</f>
        <v>53678.74</v>
      </c>
      <c r="Q2499" s="96">
        <f t="shared" si="205"/>
        <v>1025</v>
      </c>
      <c r="R2499" s="96">
        <f t="shared" si="205"/>
        <v>54703.74</v>
      </c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</row>
    <row r="2500">
      <c r="A2500" s="2"/>
      <c r="B2500" s="72" t="s">
        <v>66</v>
      </c>
      <c r="C2500" s="68"/>
      <c r="D2500" s="68"/>
      <c r="E2500" s="68"/>
      <c r="F2500" s="68"/>
      <c r="G2500" s="68"/>
      <c r="H2500" s="68"/>
      <c r="I2500" s="68"/>
      <c r="J2500" s="68"/>
      <c r="K2500" s="68"/>
      <c r="L2500" s="68"/>
      <c r="M2500" s="68"/>
      <c r="N2500" s="68"/>
      <c r="O2500" s="76"/>
      <c r="P2500" s="78" t="s">
        <v>67</v>
      </c>
      <c r="Q2500" s="31"/>
      <c r="R2500" s="3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</row>
    <row r="2501">
      <c r="A2501" s="2"/>
      <c r="B2501" s="81" t="s">
        <v>68</v>
      </c>
      <c r="P2501" s="29"/>
      <c r="Q2501" s="29"/>
      <c r="R2501" s="8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</row>
    <row r="2502">
      <c r="A2502" s="2"/>
      <c r="B2502" s="81" t="s">
        <v>70</v>
      </c>
      <c r="P2502" s="29"/>
      <c r="Q2502" s="29"/>
      <c r="R2502" s="8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</row>
    <row r="2503">
      <c r="A2503" s="2"/>
      <c r="B2503" s="11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66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</row>
    <row r="2504">
      <c r="A2504" s="2"/>
      <c r="B2504" s="11"/>
      <c r="C2504" s="2"/>
      <c r="D2504" s="2"/>
      <c r="E2504" s="2"/>
      <c r="F2504" s="2"/>
      <c r="G2504" s="2"/>
      <c r="H2504" s="2"/>
      <c r="I2504" s="2"/>
      <c r="J2504" s="2"/>
      <c r="K2504" s="87" t="s">
        <v>71</v>
      </c>
      <c r="L2504" s="2"/>
      <c r="M2504" s="2"/>
      <c r="N2504" s="2"/>
      <c r="O2504" s="2"/>
      <c r="P2504" s="12" t="s">
        <v>72</v>
      </c>
      <c r="R2504" s="10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</row>
    <row r="2505">
      <c r="A2505" s="2"/>
      <c r="B2505" s="90"/>
      <c r="C2505" s="36"/>
      <c r="D2505" s="36"/>
      <c r="E2505" s="36"/>
      <c r="F2505" s="36"/>
      <c r="G2505" s="36"/>
      <c r="H2505" s="36"/>
      <c r="I2505" s="36"/>
      <c r="J2505" s="36"/>
      <c r="K2505" s="36"/>
      <c r="L2505" s="36"/>
      <c r="M2505" s="36"/>
      <c r="N2505" s="36"/>
      <c r="O2505" s="36"/>
      <c r="P2505" s="36"/>
      <c r="Q2505" s="36"/>
      <c r="R2505" s="91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</row>
    <row r="2506">
      <c r="A2506" s="2"/>
      <c r="B2506" s="177"/>
      <c r="C2506" s="177"/>
      <c r="D2506" s="177"/>
      <c r="E2506" s="177"/>
      <c r="F2506" s="177"/>
      <c r="G2506" s="177"/>
      <c r="H2506" s="177"/>
      <c r="I2506" s="177"/>
      <c r="J2506" s="177"/>
      <c r="K2506" s="177"/>
      <c r="L2506" s="177"/>
      <c r="M2506" s="177"/>
      <c r="N2506" s="177"/>
      <c r="O2506" s="177"/>
      <c r="P2506" s="177"/>
      <c r="Q2506" s="177"/>
      <c r="R2506" s="177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</row>
    <row r="2507">
      <c r="A2507" s="2"/>
      <c r="B2507" s="177"/>
      <c r="C2507" s="177"/>
      <c r="D2507" s="177"/>
      <c r="E2507" s="177"/>
      <c r="F2507" s="177"/>
      <c r="G2507" s="177"/>
      <c r="H2507" s="177"/>
      <c r="I2507" s="177"/>
      <c r="J2507" s="177"/>
      <c r="K2507" s="177"/>
      <c r="L2507" s="177"/>
      <c r="M2507" s="177"/>
      <c r="N2507" s="177"/>
      <c r="O2507" s="177"/>
      <c r="P2507" s="177"/>
      <c r="Q2507" s="177"/>
      <c r="R2507" s="177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</row>
    <row r="2508">
      <c r="A2508" s="2"/>
      <c r="B2508" s="177"/>
      <c r="C2508" s="177"/>
      <c r="D2508" s="177"/>
      <c r="E2508" s="177"/>
      <c r="F2508" s="177"/>
      <c r="G2508" s="177"/>
      <c r="H2508" s="177"/>
      <c r="I2508" s="177"/>
      <c r="J2508" s="177"/>
      <c r="K2508" s="177"/>
      <c r="L2508" s="177"/>
      <c r="M2508" s="177"/>
      <c r="N2508" s="177"/>
      <c r="O2508" s="177"/>
      <c r="P2508" s="177"/>
      <c r="Q2508" s="177"/>
      <c r="R2508" s="177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</row>
    <row r="2509">
      <c r="A2509" s="2"/>
      <c r="B2509" s="176" t="s">
        <v>1</v>
      </c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5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</row>
    <row r="2510">
      <c r="A2510" s="2"/>
      <c r="B2510" s="11"/>
      <c r="F2510" s="12"/>
      <c r="G2510" s="12"/>
      <c r="I2510" s="12"/>
      <c r="J2510" s="12" t="s">
        <v>2</v>
      </c>
      <c r="N2510" s="2"/>
      <c r="R2510" s="10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</row>
    <row r="2511">
      <c r="A2511" s="2"/>
      <c r="B2511" s="14"/>
      <c r="F2511" s="12"/>
      <c r="G2511" s="12"/>
      <c r="H2511" s="12"/>
      <c r="I2511" s="12"/>
      <c r="J2511" s="12" t="s">
        <v>3</v>
      </c>
      <c r="N2511" s="2"/>
      <c r="R2511" s="10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</row>
    <row r="2512">
      <c r="A2512" s="2"/>
      <c r="B2512" s="14" t="s">
        <v>4</v>
      </c>
      <c r="R2512" s="10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</row>
    <row r="2513">
      <c r="A2513" s="2"/>
      <c r="B2513" s="21" t="s">
        <v>5</v>
      </c>
      <c r="C2513" s="22" t="s">
        <v>6</v>
      </c>
      <c r="D2513" s="4"/>
      <c r="E2513" s="4"/>
      <c r="F2513" s="4"/>
      <c r="G2513" s="4"/>
      <c r="H2513" s="4"/>
      <c r="I2513" s="4"/>
      <c r="J2513" s="4"/>
      <c r="K2513" s="5"/>
      <c r="L2513" s="23" t="s">
        <v>7</v>
      </c>
      <c r="M2513" s="87">
        <v>95.0</v>
      </c>
      <c r="N2513" s="24"/>
      <c r="O2513" s="4"/>
      <c r="P2513" s="4"/>
      <c r="Q2513" s="4"/>
      <c r="R2513" s="5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</row>
    <row r="2514">
      <c r="A2514" s="2"/>
      <c r="B2514" s="28"/>
      <c r="C2514" s="29" t="s">
        <v>8</v>
      </c>
      <c r="K2514" s="10"/>
      <c r="L2514" s="23" t="s">
        <v>9</v>
      </c>
      <c r="M2514" s="9" t="s">
        <v>178</v>
      </c>
      <c r="N2514" s="2"/>
      <c r="R2514" s="10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</row>
    <row r="2515">
      <c r="A2515" s="2"/>
      <c r="B2515" s="21" t="s">
        <v>11</v>
      </c>
      <c r="C2515" s="35" t="s">
        <v>12</v>
      </c>
      <c r="D2515" s="31"/>
      <c r="E2515" s="31"/>
      <c r="F2515" s="31"/>
      <c r="G2515" s="31"/>
      <c r="H2515" s="31"/>
      <c r="I2515" s="31"/>
      <c r="J2515" s="31"/>
      <c r="K2515" s="32"/>
      <c r="L2515" s="23" t="s">
        <v>13</v>
      </c>
      <c r="M2515" s="33" t="s">
        <v>14</v>
      </c>
      <c r="N2515" s="36"/>
      <c r="O2515" s="31"/>
      <c r="P2515" s="31"/>
      <c r="Q2515" s="31"/>
      <c r="R2515" s="3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</row>
    <row r="2516">
      <c r="A2516" s="2"/>
      <c r="B2516" s="11"/>
      <c r="R2516" s="10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</row>
    <row r="2517">
      <c r="A2517" s="2"/>
      <c r="B2517" s="46" t="s">
        <v>15</v>
      </c>
      <c r="C2517" s="47" t="s">
        <v>16</v>
      </c>
      <c r="D2517" s="48" t="s">
        <v>17</v>
      </c>
      <c r="E2517" s="48" t="s">
        <v>18</v>
      </c>
      <c r="F2517" s="49" t="s">
        <v>19</v>
      </c>
      <c r="G2517" s="43"/>
      <c r="H2517" s="43"/>
      <c r="I2517" s="43"/>
      <c r="J2517" s="44"/>
      <c r="K2517" s="48" t="s">
        <v>20</v>
      </c>
      <c r="L2517" s="48" t="s">
        <v>21</v>
      </c>
      <c r="M2517" s="48" t="s">
        <v>22</v>
      </c>
      <c r="N2517" s="48" t="s">
        <v>23</v>
      </c>
      <c r="O2517" s="48" t="s">
        <v>24</v>
      </c>
      <c r="P2517" s="48" t="s">
        <v>25</v>
      </c>
      <c r="Q2517" s="48" t="s">
        <v>26</v>
      </c>
      <c r="R2517" s="50" t="s">
        <v>27</v>
      </c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</row>
    <row r="2518">
      <c r="A2518" s="2"/>
      <c r="B2518" s="52">
        <v>1.0</v>
      </c>
      <c r="C2518" s="53">
        <v>1.004740994E9</v>
      </c>
      <c r="D2518" s="54">
        <v>46332.0</v>
      </c>
      <c r="E2518" s="53" t="s">
        <v>55</v>
      </c>
      <c r="F2518" s="53" t="s">
        <v>56</v>
      </c>
      <c r="G2518" s="53" t="s">
        <v>57</v>
      </c>
      <c r="H2518" s="53" t="s">
        <v>103</v>
      </c>
      <c r="I2518" s="53" t="s">
        <v>58</v>
      </c>
      <c r="J2518" s="53" t="s">
        <v>59</v>
      </c>
      <c r="K2518" s="53" t="s">
        <v>33</v>
      </c>
      <c r="L2518" s="53" t="s">
        <v>60</v>
      </c>
      <c r="M2518" s="53">
        <v>1956.0</v>
      </c>
      <c r="N2518" s="53">
        <v>572.0</v>
      </c>
      <c r="O2518" s="53">
        <v>15.53</v>
      </c>
      <c r="P2518" s="55">
        <f t="shared" ref="P2518:P2527" si="206">N2518*O2518</f>
        <v>8883.16</v>
      </c>
      <c r="Q2518" s="53">
        <v>330.0</v>
      </c>
      <c r="R2518" s="94">
        <v>9213.16</v>
      </c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</row>
    <row r="2519">
      <c r="A2519" s="2"/>
      <c r="B2519" s="52">
        <v>2.0</v>
      </c>
      <c r="C2519" s="53">
        <v>1.004741752E9</v>
      </c>
      <c r="D2519" s="54">
        <v>46362.0</v>
      </c>
      <c r="E2519" s="53" t="s">
        <v>28</v>
      </c>
      <c r="F2519" s="53" t="s">
        <v>29</v>
      </c>
      <c r="G2519" s="53" t="s">
        <v>30</v>
      </c>
      <c r="H2519" s="53" t="s">
        <v>31</v>
      </c>
      <c r="I2519" s="55"/>
      <c r="J2519" s="55"/>
      <c r="K2519" s="53" t="s">
        <v>33</v>
      </c>
      <c r="L2519" s="53" t="s">
        <v>34</v>
      </c>
      <c r="M2519" s="53">
        <v>1868.0</v>
      </c>
      <c r="N2519" s="53">
        <v>246.0</v>
      </c>
      <c r="O2519" s="53">
        <v>15.53</v>
      </c>
      <c r="P2519" s="55">
        <f t="shared" si="206"/>
        <v>3820.38</v>
      </c>
      <c r="Q2519" s="55"/>
      <c r="R2519" s="105">
        <f t="shared" ref="R2519:R2527" si="207">P2519+Q2519</f>
        <v>3820.38</v>
      </c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</row>
    <row r="2520">
      <c r="A2520" s="2"/>
      <c r="B2520" s="52">
        <v>3.0</v>
      </c>
      <c r="C2520" s="53">
        <v>1.00474159E9</v>
      </c>
      <c r="D2520" s="54">
        <v>46362.0</v>
      </c>
      <c r="E2520" s="53" t="s">
        <v>35</v>
      </c>
      <c r="F2520" s="53" t="s">
        <v>36</v>
      </c>
      <c r="G2520" s="53" t="s">
        <v>37</v>
      </c>
      <c r="H2520" s="55"/>
      <c r="I2520" s="55"/>
      <c r="J2520" s="55"/>
      <c r="K2520" s="53" t="s">
        <v>38</v>
      </c>
      <c r="L2520" s="53" t="s">
        <v>97</v>
      </c>
      <c r="M2520" s="53">
        <v>3348.0</v>
      </c>
      <c r="N2520" s="53">
        <v>200.0</v>
      </c>
      <c r="O2520" s="53">
        <v>19.28</v>
      </c>
      <c r="P2520" s="55">
        <f t="shared" si="206"/>
        <v>3856</v>
      </c>
      <c r="Q2520" s="55"/>
      <c r="R2520" s="105">
        <f t="shared" si="207"/>
        <v>3856</v>
      </c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</row>
    <row r="2521">
      <c r="A2521" s="2"/>
      <c r="B2521" s="52">
        <v>4.0</v>
      </c>
      <c r="C2521" s="53">
        <v>1.004741595E9</v>
      </c>
      <c r="D2521" s="54">
        <v>46362.0</v>
      </c>
      <c r="E2521" s="53" t="s">
        <v>35</v>
      </c>
      <c r="F2521" s="53" t="s">
        <v>36</v>
      </c>
      <c r="G2521" s="53" t="s">
        <v>40</v>
      </c>
      <c r="H2521" s="55"/>
      <c r="I2521" s="55"/>
      <c r="J2521" s="55"/>
      <c r="K2521" s="53" t="s">
        <v>33</v>
      </c>
      <c r="L2521" s="53" t="s">
        <v>41</v>
      </c>
      <c r="M2521" s="53">
        <v>2088.0</v>
      </c>
      <c r="N2521" s="53">
        <v>150.0</v>
      </c>
      <c r="O2521" s="53">
        <v>15.53</v>
      </c>
      <c r="P2521" s="55">
        <f t="shared" si="206"/>
        <v>2329.5</v>
      </c>
      <c r="Q2521" s="55"/>
      <c r="R2521" s="105">
        <f t="shared" si="207"/>
        <v>2329.5</v>
      </c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</row>
    <row r="2522">
      <c r="A2522" s="2"/>
      <c r="B2522" s="52">
        <v>5.0</v>
      </c>
      <c r="C2522" s="53">
        <v>1.004741776E9</v>
      </c>
      <c r="D2522" s="54">
        <v>46362.0</v>
      </c>
      <c r="E2522" s="53" t="s">
        <v>42</v>
      </c>
      <c r="F2522" s="53" t="s">
        <v>43</v>
      </c>
      <c r="G2522" s="53" t="s">
        <v>44</v>
      </c>
      <c r="H2522" s="55"/>
      <c r="I2522" s="55"/>
      <c r="J2522" s="55"/>
      <c r="K2522" s="53" t="s">
        <v>45</v>
      </c>
      <c r="L2522" s="53" t="s">
        <v>98</v>
      </c>
      <c r="M2522" s="53">
        <v>1560.0</v>
      </c>
      <c r="N2522" s="53">
        <v>299.0</v>
      </c>
      <c r="O2522" s="53">
        <v>15.53</v>
      </c>
      <c r="P2522" s="55">
        <f t="shared" si="206"/>
        <v>4643.47</v>
      </c>
      <c r="Q2522" s="55"/>
      <c r="R2522" s="105">
        <f t="shared" si="207"/>
        <v>4643.47</v>
      </c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</row>
    <row r="2523">
      <c r="A2523" s="2"/>
      <c r="B2523" s="52">
        <v>6.0</v>
      </c>
      <c r="C2523" s="53">
        <v>1.004741909E9</v>
      </c>
      <c r="D2523" s="54">
        <v>46362.0</v>
      </c>
      <c r="E2523" s="53" t="s">
        <v>51</v>
      </c>
      <c r="F2523" s="53" t="s">
        <v>44</v>
      </c>
      <c r="G2523" s="55"/>
      <c r="H2523" s="55"/>
      <c r="I2523" s="55"/>
      <c r="J2523" s="55"/>
      <c r="K2523" s="53" t="s">
        <v>45</v>
      </c>
      <c r="L2523" s="53" t="s">
        <v>50</v>
      </c>
      <c r="M2523" s="53">
        <v>1473.0</v>
      </c>
      <c r="N2523" s="53">
        <v>230.0</v>
      </c>
      <c r="O2523" s="53">
        <v>15.53</v>
      </c>
      <c r="P2523" s="55">
        <f t="shared" si="206"/>
        <v>3571.9</v>
      </c>
      <c r="Q2523" s="55"/>
      <c r="R2523" s="105">
        <f t="shared" si="207"/>
        <v>3571.9</v>
      </c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</row>
    <row r="2524">
      <c r="A2524" s="2"/>
      <c r="B2524" s="52">
        <v>7.0</v>
      </c>
      <c r="C2524" s="53">
        <v>1.004741913E9</v>
      </c>
      <c r="D2524" s="54">
        <v>46362.0</v>
      </c>
      <c r="E2524" s="53" t="s">
        <v>51</v>
      </c>
      <c r="F2524" s="53" t="s">
        <v>44</v>
      </c>
      <c r="G2524" s="53"/>
      <c r="H2524" s="53"/>
      <c r="I2524" s="55"/>
      <c r="J2524" s="55"/>
      <c r="K2524" s="53" t="s">
        <v>45</v>
      </c>
      <c r="L2524" s="53" t="s">
        <v>52</v>
      </c>
      <c r="M2524" s="53">
        <v>1528.0</v>
      </c>
      <c r="N2524" s="53">
        <v>230.0</v>
      </c>
      <c r="O2524" s="53">
        <v>15.53</v>
      </c>
      <c r="P2524" s="55">
        <f t="shared" si="206"/>
        <v>3571.9</v>
      </c>
      <c r="Q2524" s="55"/>
      <c r="R2524" s="105">
        <f t="shared" si="207"/>
        <v>3571.9</v>
      </c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</row>
    <row r="2525">
      <c r="A2525" s="2"/>
      <c r="B2525" s="52">
        <v>8.0</v>
      </c>
      <c r="C2525" s="53">
        <v>1.00474236E9</v>
      </c>
      <c r="D2525" s="54">
        <v>46362.0</v>
      </c>
      <c r="E2525" s="53" t="s">
        <v>51</v>
      </c>
      <c r="F2525" s="53" t="s">
        <v>44</v>
      </c>
      <c r="G2525" s="53"/>
      <c r="H2525" s="53" t="s">
        <v>49</v>
      </c>
      <c r="I2525" s="55"/>
      <c r="J2525" s="55"/>
      <c r="K2525" s="53" t="s">
        <v>45</v>
      </c>
      <c r="L2525" s="53" t="s">
        <v>53</v>
      </c>
      <c r="M2525" s="53">
        <v>1633.0</v>
      </c>
      <c r="N2525" s="53">
        <v>230.0</v>
      </c>
      <c r="O2525" s="53">
        <v>15.53</v>
      </c>
      <c r="P2525" s="55">
        <f t="shared" si="206"/>
        <v>3571.9</v>
      </c>
      <c r="Q2525" s="55"/>
      <c r="R2525" s="105">
        <f t="shared" si="207"/>
        <v>3571.9</v>
      </c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</row>
    <row r="2526">
      <c r="A2526" s="2"/>
      <c r="B2526" s="52">
        <v>9.0</v>
      </c>
      <c r="C2526" s="53">
        <v>1.004742723E9</v>
      </c>
      <c r="D2526" s="54">
        <v>46362.0</v>
      </c>
      <c r="E2526" s="53" t="s">
        <v>51</v>
      </c>
      <c r="F2526" s="53" t="s">
        <v>49</v>
      </c>
      <c r="G2526" s="53" t="s">
        <v>44</v>
      </c>
      <c r="H2526" s="53"/>
      <c r="I2526" s="55"/>
      <c r="J2526" s="55"/>
      <c r="K2526" s="53" t="s">
        <v>45</v>
      </c>
      <c r="L2526" s="53" t="s">
        <v>99</v>
      </c>
      <c r="M2526" s="53">
        <v>1645.0</v>
      </c>
      <c r="N2526" s="53">
        <v>230.0</v>
      </c>
      <c r="O2526" s="53">
        <v>15.53</v>
      </c>
      <c r="P2526" s="55">
        <f t="shared" si="206"/>
        <v>3571.9</v>
      </c>
      <c r="Q2526" s="53"/>
      <c r="R2526" s="105">
        <f t="shared" si="207"/>
        <v>3571.9</v>
      </c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</row>
    <row r="2527">
      <c r="A2527" s="2"/>
      <c r="B2527" s="52">
        <v>10.0</v>
      </c>
      <c r="C2527" s="53">
        <v>1.004742345E9</v>
      </c>
      <c r="D2527" s="54">
        <v>46362.0</v>
      </c>
      <c r="E2527" s="53" t="s">
        <v>51</v>
      </c>
      <c r="F2527" s="53" t="s">
        <v>44</v>
      </c>
      <c r="G2527" s="55"/>
      <c r="H2527" s="55"/>
      <c r="I2527" s="55"/>
      <c r="J2527" s="55"/>
      <c r="K2527" s="53" t="s">
        <v>45</v>
      </c>
      <c r="L2527" s="53" t="s">
        <v>111</v>
      </c>
      <c r="M2527" s="53">
        <v>1399.0</v>
      </c>
      <c r="N2527" s="53">
        <v>230.0</v>
      </c>
      <c r="O2527" s="53">
        <v>15.53</v>
      </c>
      <c r="P2527" s="55">
        <f t="shared" si="206"/>
        <v>3571.9</v>
      </c>
      <c r="Q2527" s="53"/>
      <c r="R2527" s="105">
        <f t="shared" si="207"/>
        <v>3571.9</v>
      </c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</row>
    <row r="2528">
      <c r="A2528" s="2"/>
      <c r="B2528" s="8"/>
      <c r="C2528" s="6"/>
      <c r="D2528" s="6"/>
      <c r="E2528" s="6"/>
      <c r="F2528" s="6"/>
      <c r="G2528" s="6"/>
      <c r="H2528" s="6"/>
      <c r="I2528" s="6"/>
      <c r="J2528" s="6"/>
      <c r="K2528" s="6"/>
      <c r="L2528" s="6"/>
      <c r="M2528" s="6"/>
      <c r="N2528" s="6"/>
      <c r="O2528" s="6"/>
      <c r="P2528" s="6"/>
      <c r="Q2528" s="6"/>
      <c r="R2528" s="65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</row>
    <row r="2529">
      <c r="A2529" s="2"/>
      <c r="B2529" s="67" t="s">
        <v>64</v>
      </c>
      <c r="C2529" s="68"/>
      <c r="D2529" s="69" t="str">
        <f>MONEYTEXT(R2529, "INR")</f>
        <v/>
      </c>
      <c r="E2529" s="68"/>
      <c r="F2529" s="68"/>
      <c r="G2529" s="68"/>
      <c r="H2529" s="68"/>
      <c r="I2529" s="68"/>
      <c r="J2529" s="68"/>
      <c r="K2529" s="68"/>
      <c r="L2529" s="68"/>
      <c r="M2529" s="68"/>
      <c r="N2529" s="70" t="s">
        <v>65</v>
      </c>
      <c r="O2529" s="4"/>
      <c r="P2529" s="96">
        <f t="shared" ref="P2529:R2529" si="208">SUM(P2518:P2527)</f>
        <v>41392.01</v>
      </c>
      <c r="Q2529" s="96">
        <f t="shared" si="208"/>
        <v>330</v>
      </c>
      <c r="R2529" s="96">
        <f t="shared" si="208"/>
        <v>41722.01</v>
      </c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</row>
    <row r="2530">
      <c r="A2530" s="2"/>
      <c r="B2530" s="72" t="s">
        <v>66</v>
      </c>
      <c r="C2530" s="68"/>
      <c r="D2530" s="68"/>
      <c r="E2530" s="68"/>
      <c r="F2530" s="68"/>
      <c r="G2530" s="68"/>
      <c r="H2530" s="68"/>
      <c r="I2530" s="68"/>
      <c r="J2530" s="68"/>
      <c r="K2530" s="68"/>
      <c r="L2530" s="68"/>
      <c r="M2530" s="68"/>
      <c r="N2530" s="68"/>
      <c r="O2530" s="76"/>
      <c r="P2530" s="78" t="s">
        <v>67</v>
      </c>
      <c r="Q2530" s="31"/>
      <c r="R2530" s="3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</row>
    <row r="2531">
      <c r="A2531" s="2"/>
      <c r="B2531" s="81" t="s">
        <v>68</v>
      </c>
      <c r="P2531" s="29"/>
      <c r="Q2531" s="29"/>
      <c r="R2531" s="8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</row>
    <row r="2532">
      <c r="A2532" s="2"/>
      <c r="B2532" s="81" t="s">
        <v>70</v>
      </c>
      <c r="P2532" s="29"/>
      <c r="Q2532" s="29"/>
      <c r="R2532" s="8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</row>
    <row r="2533">
      <c r="A2533" s="2"/>
      <c r="B2533" s="11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66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</row>
    <row r="2534">
      <c r="A2534" s="2"/>
      <c r="B2534" s="11"/>
      <c r="C2534" s="2"/>
      <c r="D2534" s="2"/>
      <c r="E2534" s="2"/>
      <c r="F2534" s="2"/>
      <c r="G2534" s="2"/>
      <c r="H2534" s="2"/>
      <c r="I2534" s="2"/>
      <c r="J2534" s="2"/>
      <c r="K2534" s="87" t="s">
        <v>71</v>
      </c>
      <c r="L2534" s="2"/>
      <c r="M2534" s="2"/>
      <c r="N2534" s="2"/>
      <c r="O2534" s="2"/>
      <c r="P2534" s="12" t="s">
        <v>72</v>
      </c>
      <c r="R2534" s="10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</row>
    <row r="2535">
      <c r="A2535" s="2"/>
      <c r="B2535" s="90"/>
      <c r="C2535" s="36"/>
      <c r="D2535" s="36"/>
      <c r="E2535" s="36"/>
      <c r="F2535" s="36"/>
      <c r="G2535" s="36"/>
      <c r="H2535" s="36"/>
      <c r="I2535" s="36"/>
      <c r="J2535" s="36"/>
      <c r="K2535" s="36"/>
      <c r="L2535" s="36"/>
      <c r="M2535" s="36"/>
      <c r="N2535" s="36"/>
      <c r="O2535" s="36"/>
      <c r="P2535" s="36"/>
      <c r="Q2535" s="36"/>
      <c r="R2535" s="91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</row>
    <row r="2536">
      <c r="A2536" s="2"/>
      <c r="B2536" s="177"/>
      <c r="C2536" s="177"/>
      <c r="D2536" s="177"/>
      <c r="E2536" s="177"/>
      <c r="F2536" s="177"/>
      <c r="G2536" s="177"/>
      <c r="H2536" s="177"/>
      <c r="I2536" s="177"/>
      <c r="J2536" s="177"/>
      <c r="K2536" s="177"/>
      <c r="L2536" s="177"/>
      <c r="M2536" s="177"/>
      <c r="N2536" s="177"/>
      <c r="O2536" s="177"/>
      <c r="P2536" s="177"/>
      <c r="Q2536" s="177"/>
      <c r="R2536" s="177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</row>
    <row r="2537">
      <c r="A2537" s="2"/>
      <c r="B2537" s="177"/>
      <c r="C2537" s="177"/>
      <c r="D2537" s="177"/>
      <c r="E2537" s="177"/>
      <c r="F2537" s="177"/>
      <c r="G2537" s="177"/>
      <c r="H2537" s="177"/>
      <c r="I2537" s="177"/>
      <c r="J2537" s="177"/>
      <c r="K2537" s="177"/>
      <c r="L2537" s="177"/>
      <c r="M2537" s="177"/>
      <c r="N2537" s="177"/>
      <c r="O2537" s="177"/>
      <c r="P2537" s="177"/>
      <c r="Q2537" s="177"/>
      <c r="R2537" s="177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</row>
    <row r="2538">
      <c r="A2538" s="2"/>
      <c r="B2538" s="177"/>
      <c r="C2538" s="177"/>
      <c r="D2538" s="177"/>
      <c r="E2538" s="177"/>
      <c r="F2538" s="177"/>
      <c r="G2538" s="177"/>
      <c r="H2538" s="177"/>
      <c r="I2538" s="177"/>
      <c r="J2538" s="177"/>
      <c r="K2538" s="177"/>
      <c r="L2538" s="177"/>
      <c r="M2538" s="177"/>
      <c r="N2538" s="177"/>
      <c r="O2538" s="177"/>
      <c r="P2538" s="177"/>
      <c r="Q2538" s="177"/>
      <c r="R2538" s="177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</row>
    <row r="2539">
      <c r="A2539" s="2"/>
      <c r="B2539" s="177"/>
      <c r="C2539" s="177"/>
      <c r="D2539" s="177"/>
      <c r="E2539" s="177"/>
      <c r="F2539" s="177"/>
      <c r="G2539" s="177"/>
      <c r="H2539" s="177"/>
      <c r="I2539" s="177"/>
      <c r="J2539" s="177"/>
      <c r="K2539" s="177"/>
      <c r="L2539" s="177"/>
      <c r="M2539" s="177"/>
      <c r="N2539" s="177"/>
      <c r="O2539" s="177"/>
      <c r="P2539" s="177"/>
      <c r="Q2539" s="177"/>
      <c r="R2539" s="177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</row>
    <row r="2540">
      <c r="A2540" s="2"/>
      <c r="B2540" s="176" t="s">
        <v>1</v>
      </c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5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</row>
    <row r="2541">
      <c r="A2541" s="2"/>
      <c r="B2541" s="11"/>
      <c r="F2541" s="12"/>
      <c r="G2541" s="12"/>
      <c r="I2541" s="12"/>
      <c r="J2541" s="12" t="s">
        <v>2</v>
      </c>
      <c r="N2541" s="2"/>
      <c r="R2541" s="10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</row>
    <row r="2542">
      <c r="A2542" s="2"/>
      <c r="B2542" s="14"/>
      <c r="F2542" s="12"/>
      <c r="G2542" s="12"/>
      <c r="H2542" s="12"/>
      <c r="I2542" s="12"/>
      <c r="J2542" s="12" t="s">
        <v>3</v>
      </c>
      <c r="N2542" s="2"/>
      <c r="R2542" s="10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</row>
    <row r="2543">
      <c r="A2543" s="2"/>
      <c r="B2543" s="14" t="s">
        <v>4</v>
      </c>
      <c r="R2543" s="10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</row>
    <row r="2544">
      <c r="A2544" s="2"/>
      <c r="B2544" s="21" t="s">
        <v>5</v>
      </c>
      <c r="C2544" s="22" t="s">
        <v>6</v>
      </c>
      <c r="D2544" s="4"/>
      <c r="E2544" s="4"/>
      <c r="F2544" s="4"/>
      <c r="G2544" s="4"/>
      <c r="H2544" s="4"/>
      <c r="I2544" s="4"/>
      <c r="J2544" s="4"/>
      <c r="K2544" s="5"/>
      <c r="L2544" s="23" t="s">
        <v>7</v>
      </c>
      <c r="M2544" s="87">
        <v>96.0</v>
      </c>
      <c r="N2544" s="24"/>
      <c r="O2544" s="4"/>
      <c r="P2544" s="4"/>
      <c r="Q2544" s="4"/>
      <c r="R2544" s="5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</row>
    <row r="2545">
      <c r="A2545" s="2"/>
      <c r="B2545" s="28"/>
      <c r="C2545" s="29" t="s">
        <v>8</v>
      </c>
      <c r="K2545" s="10"/>
      <c r="L2545" s="23" t="s">
        <v>9</v>
      </c>
      <c r="M2545" s="9" t="s">
        <v>178</v>
      </c>
      <c r="N2545" s="2"/>
      <c r="R2545" s="10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</row>
    <row r="2546">
      <c r="A2546" s="2"/>
      <c r="B2546" s="21" t="s">
        <v>11</v>
      </c>
      <c r="C2546" s="35" t="s">
        <v>12</v>
      </c>
      <c r="D2546" s="31"/>
      <c r="E2546" s="31"/>
      <c r="F2546" s="31"/>
      <c r="G2546" s="31"/>
      <c r="H2546" s="31"/>
      <c r="I2546" s="31"/>
      <c r="J2546" s="31"/>
      <c r="K2546" s="32"/>
      <c r="L2546" s="23" t="s">
        <v>13</v>
      </c>
      <c r="M2546" s="33" t="s">
        <v>14</v>
      </c>
      <c r="N2546" s="36"/>
      <c r="O2546" s="31"/>
      <c r="P2546" s="31"/>
      <c r="Q2546" s="31"/>
      <c r="R2546" s="3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</row>
    <row r="2547">
      <c r="A2547" s="2"/>
      <c r="B2547" s="11"/>
      <c r="R2547" s="10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</row>
    <row r="2548">
      <c r="A2548" s="2"/>
      <c r="B2548" s="46" t="s">
        <v>15</v>
      </c>
      <c r="C2548" s="47" t="s">
        <v>16</v>
      </c>
      <c r="D2548" s="48" t="s">
        <v>17</v>
      </c>
      <c r="E2548" s="48" t="s">
        <v>18</v>
      </c>
      <c r="F2548" s="49" t="s">
        <v>19</v>
      </c>
      <c r="G2548" s="43"/>
      <c r="H2548" s="43"/>
      <c r="I2548" s="43"/>
      <c r="J2548" s="44"/>
      <c r="K2548" s="48" t="s">
        <v>20</v>
      </c>
      <c r="L2548" s="48" t="s">
        <v>21</v>
      </c>
      <c r="M2548" s="48" t="s">
        <v>22</v>
      </c>
      <c r="N2548" s="48" t="s">
        <v>23</v>
      </c>
      <c r="O2548" s="48" t="s">
        <v>24</v>
      </c>
      <c r="P2548" s="48" t="s">
        <v>25</v>
      </c>
      <c r="Q2548" s="48" t="s">
        <v>26</v>
      </c>
      <c r="R2548" s="50" t="s">
        <v>27</v>
      </c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</row>
    <row r="2549">
      <c r="A2549" s="2"/>
      <c r="B2549" s="52">
        <v>1.0</v>
      </c>
      <c r="C2549" s="53">
        <v>1.004742718E9</v>
      </c>
      <c r="D2549" s="54">
        <v>46362.0</v>
      </c>
      <c r="E2549" s="53" t="s">
        <v>51</v>
      </c>
      <c r="F2549" s="53" t="s">
        <v>44</v>
      </c>
      <c r="G2549" s="53"/>
      <c r="H2549" s="53"/>
      <c r="I2549" s="55"/>
      <c r="J2549" s="55"/>
      <c r="K2549" s="53" t="s">
        <v>45</v>
      </c>
      <c r="L2549" s="53" t="s">
        <v>54</v>
      </c>
      <c r="M2549" s="53">
        <v>1742.0</v>
      </c>
      <c r="N2549" s="53">
        <v>230.0</v>
      </c>
      <c r="O2549" s="53">
        <v>15.53</v>
      </c>
      <c r="P2549" s="55">
        <f t="shared" ref="P2549:P2558" si="209">N2549*O2549</f>
        <v>3571.9</v>
      </c>
      <c r="Q2549" s="53"/>
      <c r="R2549" s="94">
        <v>3571.9</v>
      </c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</row>
    <row r="2550">
      <c r="A2550" s="2"/>
      <c r="B2550" s="52">
        <v>2.0</v>
      </c>
      <c r="C2550" s="53">
        <v>1.004743361E9</v>
      </c>
      <c r="D2550" s="54">
        <v>46362.0</v>
      </c>
      <c r="E2550" s="53" t="s">
        <v>82</v>
      </c>
      <c r="F2550" s="53" t="s">
        <v>83</v>
      </c>
      <c r="G2550" s="53"/>
      <c r="H2550" s="53"/>
      <c r="I2550" s="55"/>
      <c r="J2550" s="55"/>
      <c r="K2550" s="53" t="s">
        <v>33</v>
      </c>
      <c r="L2550" s="53" t="s">
        <v>95</v>
      </c>
      <c r="M2550" s="53">
        <v>2030.0</v>
      </c>
      <c r="N2550" s="53">
        <v>122.0</v>
      </c>
      <c r="O2550" s="53">
        <v>15.53</v>
      </c>
      <c r="P2550" s="55">
        <f t="shared" si="209"/>
        <v>1894.66</v>
      </c>
      <c r="Q2550" s="55"/>
      <c r="R2550" s="105">
        <f t="shared" ref="R2550:R2558" si="210">P2550+Q2550</f>
        <v>1894.66</v>
      </c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</row>
    <row r="2551">
      <c r="A2551" s="2"/>
      <c r="B2551" s="52">
        <v>3.0</v>
      </c>
      <c r="C2551" s="53">
        <v>1.004743356E9</v>
      </c>
      <c r="D2551" s="54">
        <v>46362.0</v>
      </c>
      <c r="E2551" s="53" t="s">
        <v>82</v>
      </c>
      <c r="F2551" s="53" t="s">
        <v>83</v>
      </c>
      <c r="G2551" s="53"/>
      <c r="H2551" s="55"/>
      <c r="I2551" s="55"/>
      <c r="J2551" s="55"/>
      <c r="K2551" s="53" t="s">
        <v>38</v>
      </c>
      <c r="L2551" s="53" t="s">
        <v>102</v>
      </c>
      <c r="M2551" s="53">
        <v>3288.0</v>
      </c>
      <c r="N2551" s="53">
        <v>122.0</v>
      </c>
      <c r="O2551" s="53">
        <v>19.28</v>
      </c>
      <c r="P2551" s="55">
        <f t="shared" si="209"/>
        <v>2352.16</v>
      </c>
      <c r="Q2551" s="53">
        <v>115.0</v>
      </c>
      <c r="R2551" s="105">
        <f t="shared" si="210"/>
        <v>2467.16</v>
      </c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</row>
    <row r="2552">
      <c r="A2552" s="2"/>
      <c r="B2552" s="52">
        <v>4.0</v>
      </c>
      <c r="C2552" s="53">
        <v>1.004743185E9</v>
      </c>
      <c r="D2552" s="54">
        <v>46362.0</v>
      </c>
      <c r="E2552" s="53" t="s">
        <v>82</v>
      </c>
      <c r="F2552" s="53" t="s">
        <v>87</v>
      </c>
      <c r="G2552" s="53" t="s">
        <v>86</v>
      </c>
      <c r="H2552" s="53" t="s">
        <v>88</v>
      </c>
      <c r="I2552" s="55"/>
      <c r="J2552" s="55"/>
      <c r="K2552" s="53" t="s">
        <v>38</v>
      </c>
      <c r="L2552" s="53" t="s">
        <v>101</v>
      </c>
      <c r="M2552" s="53">
        <v>3135.0</v>
      </c>
      <c r="N2552" s="53">
        <v>484.0</v>
      </c>
      <c r="O2552" s="53">
        <v>19.28</v>
      </c>
      <c r="P2552" s="55">
        <f t="shared" si="209"/>
        <v>9331.52</v>
      </c>
      <c r="Q2552" s="53">
        <v>930.0</v>
      </c>
      <c r="R2552" s="105">
        <f t="shared" si="210"/>
        <v>10261.52</v>
      </c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</row>
    <row r="2553">
      <c r="A2553" s="2"/>
      <c r="B2553" s="52">
        <v>5.0</v>
      </c>
      <c r="C2553" s="53">
        <v>1.0047431E9</v>
      </c>
      <c r="D2553" s="54">
        <v>46362.0</v>
      </c>
      <c r="E2553" s="53" t="s">
        <v>61</v>
      </c>
      <c r="F2553" s="53" t="s">
        <v>74</v>
      </c>
      <c r="G2553" s="53" t="s">
        <v>62</v>
      </c>
      <c r="H2553" s="55"/>
      <c r="I2553" s="55"/>
      <c r="J2553" s="55"/>
      <c r="K2553" s="53" t="s">
        <v>33</v>
      </c>
      <c r="L2553" s="53" t="s">
        <v>85</v>
      </c>
      <c r="M2553" s="53">
        <v>1978.0</v>
      </c>
      <c r="N2553" s="53">
        <v>330.0</v>
      </c>
      <c r="O2553" s="53">
        <v>15.53</v>
      </c>
      <c r="P2553" s="55">
        <f t="shared" si="209"/>
        <v>5124.9</v>
      </c>
      <c r="Q2553" s="55"/>
      <c r="R2553" s="105">
        <f t="shared" si="210"/>
        <v>5124.9</v>
      </c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</row>
    <row r="2554">
      <c r="A2554" s="2"/>
      <c r="B2554" s="52">
        <v>6.0</v>
      </c>
      <c r="C2554" s="53">
        <v>1.004743056E9</v>
      </c>
      <c r="D2554" s="54">
        <v>46362.0</v>
      </c>
      <c r="E2554" s="53" t="s">
        <v>61</v>
      </c>
      <c r="F2554" s="53" t="s">
        <v>73</v>
      </c>
      <c r="G2554" s="53" t="s">
        <v>75</v>
      </c>
      <c r="H2554" s="55"/>
      <c r="I2554" s="55"/>
      <c r="J2554" s="55"/>
      <c r="K2554" s="53" t="s">
        <v>38</v>
      </c>
      <c r="L2554" s="53" t="s">
        <v>76</v>
      </c>
      <c r="M2554" s="53">
        <v>2965.0</v>
      </c>
      <c r="N2554" s="53">
        <v>560.0</v>
      </c>
      <c r="O2554" s="53">
        <v>19.28</v>
      </c>
      <c r="P2554" s="55">
        <f t="shared" si="209"/>
        <v>10796.8</v>
      </c>
      <c r="Q2554" s="53">
        <v>1090.0</v>
      </c>
      <c r="R2554" s="105">
        <f t="shared" si="210"/>
        <v>11886.8</v>
      </c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</row>
    <row r="2555">
      <c r="A2555" s="2"/>
      <c r="B2555" s="52">
        <v>7.0</v>
      </c>
      <c r="C2555" s="53">
        <v>1.004743255E9</v>
      </c>
      <c r="D2555" s="54">
        <v>46362.0</v>
      </c>
      <c r="E2555" s="53" t="s">
        <v>55</v>
      </c>
      <c r="F2555" s="53" t="s">
        <v>57</v>
      </c>
      <c r="G2555" s="53" t="s">
        <v>56</v>
      </c>
      <c r="H2555" s="53" t="s">
        <v>58</v>
      </c>
      <c r="I2555" s="53" t="s">
        <v>59</v>
      </c>
      <c r="J2555" s="55"/>
      <c r="K2555" s="53" t="s">
        <v>38</v>
      </c>
      <c r="L2555" s="53" t="s">
        <v>60</v>
      </c>
      <c r="M2555" s="53">
        <v>3508.0</v>
      </c>
      <c r="N2555" s="53">
        <v>572.0</v>
      </c>
      <c r="O2555" s="53">
        <v>19.28</v>
      </c>
      <c r="P2555" s="55">
        <f t="shared" si="209"/>
        <v>11028.16</v>
      </c>
      <c r="Q2555" s="53">
        <v>330.0</v>
      </c>
      <c r="R2555" s="105">
        <f t="shared" si="210"/>
        <v>11358.16</v>
      </c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</row>
    <row r="2556">
      <c r="A2556" s="2"/>
      <c r="B2556" s="52">
        <v>8.0</v>
      </c>
      <c r="C2556" s="53">
        <v>1.004744049E9</v>
      </c>
      <c r="D2556" s="53" t="s">
        <v>186</v>
      </c>
      <c r="E2556" s="53" t="s">
        <v>28</v>
      </c>
      <c r="F2556" s="53" t="s">
        <v>29</v>
      </c>
      <c r="G2556" s="53" t="s">
        <v>30</v>
      </c>
      <c r="H2556" s="53" t="s">
        <v>31</v>
      </c>
      <c r="I2556" s="53" t="s">
        <v>32</v>
      </c>
      <c r="J2556" s="55"/>
      <c r="K2556" s="53" t="s">
        <v>80</v>
      </c>
      <c r="L2556" s="53" t="s">
        <v>34</v>
      </c>
      <c r="M2556" s="53">
        <v>2565.0</v>
      </c>
      <c r="N2556" s="53">
        <v>246.0</v>
      </c>
      <c r="O2556" s="53">
        <v>18.28</v>
      </c>
      <c r="P2556" s="55">
        <f t="shared" si="209"/>
        <v>4496.88</v>
      </c>
      <c r="Q2556" s="55"/>
      <c r="R2556" s="105">
        <f t="shared" si="210"/>
        <v>4496.88</v>
      </c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</row>
    <row r="2557">
      <c r="A2557" s="2"/>
      <c r="B2557" s="52">
        <v>9.0</v>
      </c>
      <c r="C2557" s="53">
        <v>1.004744052E9</v>
      </c>
      <c r="D2557" s="53" t="s">
        <v>186</v>
      </c>
      <c r="E2557" s="53" t="s">
        <v>35</v>
      </c>
      <c r="F2557" s="53" t="s">
        <v>36</v>
      </c>
      <c r="G2557" s="53" t="s">
        <v>40</v>
      </c>
      <c r="H2557" s="53"/>
      <c r="I2557" s="55"/>
      <c r="J2557" s="55"/>
      <c r="K2557" s="53" t="s">
        <v>38</v>
      </c>
      <c r="L2557" s="53" t="s">
        <v>97</v>
      </c>
      <c r="M2557" s="53">
        <v>3779.0</v>
      </c>
      <c r="N2557" s="53">
        <v>150.0</v>
      </c>
      <c r="O2557" s="53">
        <v>19.28</v>
      </c>
      <c r="P2557" s="55">
        <f t="shared" si="209"/>
        <v>2892</v>
      </c>
      <c r="Q2557" s="53"/>
      <c r="R2557" s="105">
        <f t="shared" si="210"/>
        <v>2892</v>
      </c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</row>
    <row r="2558">
      <c r="A2558" s="2"/>
      <c r="B2558" s="52">
        <v>10.0</v>
      </c>
      <c r="C2558" s="53">
        <v>1.004744171E9</v>
      </c>
      <c r="D2558" s="53" t="s">
        <v>186</v>
      </c>
      <c r="E2558" s="53" t="s">
        <v>47</v>
      </c>
      <c r="F2558" s="53" t="s">
        <v>44</v>
      </c>
      <c r="G2558" s="53" t="s">
        <v>48</v>
      </c>
      <c r="H2558" s="53" t="s">
        <v>49</v>
      </c>
      <c r="I2558" s="55"/>
      <c r="J2558" s="55"/>
      <c r="K2558" s="53" t="s">
        <v>45</v>
      </c>
      <c r="L2558" s="53" t="s">
        <v>98</v>
      </c>
      <c r="M2558" s="53">
        <v>1646.0</v>
      </c>
      <c r="N2558" s="53">
        <v>250.0</v>
      </c>
      <c r="O2558" s="53">
        <v>15.53</v>
      </c>
      <c r="P2558" s="55">
        <f t="shared" si="209"/>
        <v>3882.5</v>
      </c>
      <c r="Q2558" s="53"/>
      <c r="R2558" s="105">
        <f t="shared" si="210"/>
        <v>3882.5</v>
      </c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</row>
    <row r="2559">
      <c r="A2559" s="2"/>
      <c r="B2559" s="8"/>
      <c r="C2559" s="6"/>
      <c r="D2559" s="6"/>
      <c r="E2559" s="6"/>
      <c r="F2559" s="6"/>
      <c r="G2559" s="6"/>
      <c r="H2559" s="6"/>
      <c r="I2559" s="6"/>
      <c r="J2559" s="6"/>
      <c r="K2559" s="6"/>
      <c r="L2559" s="6"/>
      <c r="M2559" s="6"/>
      <c r="N2559" s="6"/>
      <c r="O2559" s="6"/>
      <c r="P2559" s="6"/>
      <c r="Q2559" s="6"/>
      <c r="R2559" s="65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</row>
    <row r="2560">
      <c r="A2560" s="2"/>
      <c r="B2560" s="67" t="s">
        <v>64</v>
      </c>
      <c r="C2560" s="68"/>
      <c r="D2560" s="69" t="str">
        <f>MONEYTEXT(R2560, "INR")</f>
        <v>Fifty-seven thousand eight hundred thirty-six Indian rupees and forty-eight paise</v>
      </c>
      <c r="E2560" s="68"/>
      <c r="F2560" s="68"/>
      <c r="G2560" s="68"/>
      <c r="H2560" s="68"/>
      <c r="I2560" s="68"/>
      <c r="J2560" s="68"/>
      <c r="K2560" s="68"/>
      <c r="L2560" s="68"/>
      <c r="M2560" s="68"/>
      <c r="N2560" s="70" t="s">
        <v>65</v>
      </c>
      <c r="O2560" s="4"/>
      <c r="P2560" s="96">
        <f t="shared" ref="P2560:R2560" si="211">SUM(P2549:P2558)</f>
        <v>55371.48</v>
      </c>
      <c r="Q2560" s="96">
        <f t="shared" si="211"/>
        <v>2465</v>
      </c>
      <c r="R2560" s="96">
        <f t="shared" si="211"/>
        <v>57836.48</v>
      </c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</row>
    <row r="2561">
      <c r="A2561" s="2"/>
      <c r="B2561" s="72" t="s">
        <v>66</v>
      </c>
      <c r="C2561" s="68"/>
      <c r="D2561" s="68"/>
      <c r="E2561" s="68"/>
      <c r="F2561" s="68"/>
      <c r="G2561" s="68"/>
      <c r="H2561" s="68"/>
      <c r="I2561" s="68"/>
      <c r="J2561" s="68"/>
      <c r="K2561" s="68"/>
      <c r="L2561" s="68"/>
      <c r="M2561" s="68"/>
      <c r="N2561" s="68"/>
      <c r="O2561" s="76"/>
      <c r="P2561" s="78" t="s">
        <v>67</v>
      </c>
      <c r="Q2561" s="31"/>
      <c r="R2561" s="3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</row>
    <row r="2562">
      <c r="A2562" s="2"/>
      <c r="B2562" s="81" t="s">
        <v>68</v>
      </c>
      <c r="P2562" s="29"/>
      <c r="Q2562" s="29"/>
      <c r="R2562" s="8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</row>
    <row r="2563">
      <c r="A2563" s="2"/>
      <c r="B2563" s="81" t="s">
        <v>70</v>
      </c>
      <c r="P2563" s="29"/>
      <c r="Q2563" s="29"/>
      <c r="R2563" s="8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</row>
    <row r="2564">
      <c r="A2564" s="2"/>
      <c r="B2564" s="11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66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</row>
    <row r="2565">
      <c r="A2565" s="2"/>
      <c r="B2565" s="11"/>
      <c r="C2565" s="2"/>
      <c r="D2565" s="2"/>
      <c r="E2565" s="2"/>
      <c r="F2565" s="2"/>
      <c r="G2565" s="2"/>
      <c r="H2565" s="2"/>
      <c r="I2565" s="2"/>
      <c r="J2565" s="2"/>
      <c r="K2565" s="87" t="s">
        <v>71</v>
      </c>
      <c r="L2565" s="2"/>
      <c r="M2565" s="2"/>
      <c r="N2565" s="2"/>
      <c r="O2565" s="2"/>
      <c r="P2565" s="12" t="s">
        <v>72</v>
      </c>
      <c r="R2565" s="10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</row>
    <row r="2566">
      <c r="A2566" s="2"/>
      <c r="B2566" s="90"/>
      <c r="C2566" s="36"/>
      <c r="D2566" s="36"/>
      <c r="E2566" s="36"/>
      <c r="F2566" s="36"/>
      <c r="G2566" s="36"/>
      <c r="H2566" s="36"/>
      <c r="I2566" s="36"/>
      <c r="J2566" s="36"/>
      <c r="K2566" s="36"/>
      <c r="L2566" s="36"/>
      <c r="M2566" s="36"/>
      <c r="N2566" s="36"/>
      <c r="O2566" s="36"/>
      <c r="P2566" s="36"/>
      <c r="Q2566" s="36"/>
      <c r="R2566" s="91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</row>
    <row r="2567">
      <c r="A2567" s="2"/>
      <c r="B2567" s="177"/>
      <c r="C2567" s="177"/>
      <c r="D2567" s="177"/>
      <c r="E2567" s="177"/>
      <c r="F2567" s="177"/>
      <c r="G2567" s="177"/>
      <c r="H2567" s="177"/>
      <c r="I2567" s="177"/>
      <c r="J2567" s="177"/>
      <c r="K2567" s="177"/>
      <c r="L2567" s="177"/>
      <c r="M2567" s="177"/>
      <c r="N2567" s="177"/>
      <c r="O2567" s="177"/>
      <c r="P2567" s="177"/>
      <c r="Q2567" s="177"/>
      <c r="R2567" s="177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</row>
    <row r="2568">
      <c r="A2568" s="2"/>
      <c r="B2568" s="177"/>
      <c r="C2568" s="177"/>
      <c r="D2568" s="177"/>
      <c r="E2568" s="177"/>
      <c r="F2568" s="177"/>
      <c r="G2568" s="177"/>
      <c r="H2568" s="177"/>
      <c r="I2568" s="177"/>
      <c r="J2568" s="177"/>
      <c r="K2568" s="177"/>
      <c r="L2568" s="177"/>
      <c r="M2568" s="177"/>
      <c r="N2568" s="177"/>
      <c r="O2568" s="177"/>
      <c r="P2568" s="177"/>
      <c r="Q2568" s="177"/>
      <c r="R2568" s="177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</row>
    <row r="2569">
      <c r="A2569" s="2"/>
      <c r="B2569" s="177"/>
      <c r="C2569" s="177"/>
      <c r="D2569" s="177"/>
      <c r="E2569" s="177"/>
      <c r="F2569" s="177"/>
      <c r="G2569" s="177"/>
      <c r="H2569" s="177"/>
      <c r="I2569" s="177"/>
      <c r="J2569" s="177"/>
      <c r="K2569" s="177"/>
      <c r="L2569" s="177"/>
      <c r="M2569" s="177"/>
      <c r="N2569" s="177"/>
      <c r="O2569" s="177"/>
      <c r="P2569" s="177"/>
      <c r="Q2569" s="177"/>
      <c r="R2569" s="177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</row>
    <row r="2570">
      <c r="A2570" s="2"/>
      <c r="B2570" s="176" t="s">
        <v>1</v>
      </c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5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</row>
    <row r="2571">
      <c r="A2571" s="2"/>
      <c r="B2571" s="11"/>
      <c r="F2571" s="12"/>
      <c r="G2571" s="12"/>
      <c r="I2571" s="12"/>
      <c r="J2571" s="12" t="s">
        <v>2</v>
      </c>
      <c r="N2571" s="2"/>
      <c r="R2571" s="10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</row>
    <row r="2572">
      <c r="A2572" s="2"/>
      <c r="B2572" s="14"/>
      <c r="F2572" s="12"/>
      <c r="G2572" s="12"/>
      <c r="H2572" s="12"/>
      <c r="I2572" s="12"/>
      <c r="J2572" s="12" t="s">
        <v>3</v>
      </c>
      <c r="N2572" s="2"/>
      <c r="R2572" s="10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</row>
    <row r="2573">
      <c r="A2573" s="2"/>
      <c r="B2573" s="14" t="s">
        <v>4</v>
      </c>
      <c r="R2573" s="10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</row>
    <row r="2574">
      <c r="A2574" s="2"/>
      <c r="B2574" s="21" t="s">
        <v>5</v>
      </c>
      <c r="C2574" s="22" t="s">
        <v>6</v>
      </c>
      <c r="D2574" s="4"/>
      <c r="E2574" s="4"/>
      <c r="F2574" s="4"/>
      <c r="G2574" s="4"/>
      <c r="H2574" s="4"/>
      <c r="I2574" s="4"/>
      <c r="J2574" s="4"/>
      <c r="K2574" s="5"/>
      <c r="L2574" s="23" t="s">
        <v>7</v>
      </c>
      <c r="M2574" s="87">
        <v>97.0</v>
      </c>
      <c r="N2574" s="24"/>
      <c r="O2574" s="4"/>
      <c r="P2574" s="4"/>
      <c r="Q2574" s="4"/>
      <c r="R2574" s="5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</row>
    <row r="2575">
      <c r="A2575" s="2"/>
      <c r="B2575" s="28"/>
      <c r="C2575" s="29" t="s">
        <v>8</v>
      </c>
      <c r="K2575" s="10"/>
      <c r="L2575" s="23" t="s">
        <v>9</v>
      </c>
      <c r="M2575" s="9" t="s">
        <v>178</v>
      </c>
      <c r="N2575" s="2"/>
      <c r="R2575" s="10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</row>
    <row r="2576">
      <c r="A2576" s="2"/>
      <c r="B2576" s="21" t="s">
        <v>11</v>
      </c>
      <c r="C2576" s="35" t="s">
        <v>12</v>
      </c>
      <c r="D2576" s="31"/>
      <c r="E2576" s="31"/>
      <c r="F2576" s="31"/>
      <c r="G2576" s="31"/>
      <c r="H2576" s="31"/>
      <c r="I2576" s="31"/>
      <c r="J2576" s="31"/>
      <c r="K2576" s="32"/>
      <c r="L2576" s="23" t="s">
        <v>13</v>
      </c>
      <c r="M2576" s="33" t="s">
        <v>14</v>
      </c>
      <c r="N2576" s="36"/>
      <c r="O2576" s="31"/>
      <c r="P2576" s="31"/>
      <c r="Q2576" s="31"/>
      <c r="R2576" s="3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</row>
    <row r="2577">
      <c r="A2577" s="2"/>
      <c r="B2577" s="11"/>
      <c r="R2577" s="10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</row>
    <row r="2578">
      <c r="A2578" s="2"/>
      <c r="B2578" s="46" t="s">
        <v>15</v>
      </c>
      <c r="C2578" s="47" t="s">
        <v>16</v>
      </c>
      <c r="D2578" s="48" t="s">
        <v>17</v>
      </c>
      <c r="E2578" s="48" t="s">
        <v>18</v>
      </c>
      <c r="F2578" s="49" t="s">
        <v>19</v>
      </c>
      <c r="G2578" s="43"/>
      <c r="H2578" s="43"/>
      <c r="I2578" s="43"/>
      <c r="J2578" s="44"/>
      <c r="K2578" s="48" t="s">
        <v>20</v>
      </c>
      <c r="L2578" s="48" t="s">
        <v>21</v>
      </c>
      <c r="M2578" s="48" t="s">
        <v>22</v>
      </c>
      <c r="N2578" s="48" t="s">
        <v>23</v>
      </c>
      <c r="O2578" s="48" t="s">
        <v>24</v>
      </c>
      <c r="P2578" s="48" t="s">
        <v>25</v>
      </c>
      <c r="Q2578" s="48" t="s">
        <v>26</v>
      </c>
      <c r="R2578" s="50" t="s">
        <v>27</v>
      </c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</row>
    <row r="2579">
      <c r="A2579" s="2"/>
      <c r="B2579" s="52">
        <v>1.0</v>
      </c>
      <c r="C2579" s="53">
        <v>1.004744881E9</v>
      </c>
      <c r="D2579" s="53" t="s">
        <v>186</v>
      </c>
      <c r="E2579" s="53" t="s">
        <v>51</v>
      </c>
      <c r="F2579" s="53" t="s">
        <v>44</v>
      </c>
      <c r="G2579" s="53"/>
      <c r="H2579" s="53"/>
      <c r="I2579" s="55"/>
      <c r="J2579" s="55"/>
      <c r="K2579" s="53" t="s">
        <v>45</v>
      </c>
      <c r="L2579" s="53" t="s">
        <v>50</v>
      </c>
      <c r="M2579" s="53">
        <v>1561.0</v>
      </c>
      <c r="N2579" s="53">
        <v>230.0</v>
      </c>
      <c r="O2579" s="53">
        <v>15.53</v>
      </c>
      <c r="P2579" s="55">
        <f t="shared" ref="P2579:P2588" si="212">N2579*O2579</f>
        <v>3571.9</v>
      </c>
      <c r="Q2579" s="53"/>
      <c r="R2579" s="94">
        <v>3571.9</v>
      </c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</row>
    <row r="2580">
      <c r="A2580" s="2"/>
      <c r="B2580" s="52">
        <v>2.0</v>
      </c>
      <c r="C2580" s="53">
        <v>1.004745338E9</v>
      </c>
      <c r="D2580" s="53" t="s">
        <v>186</v>
      </c>
      <c r="E2580" s="53" t="s">
        <v>51</v>
      </c>
      <c r="F2580" s="53" t="s">
        <v>44</v>
      </c>
      <c r="G2580" s="53" t="s">
        <v>49</v>
      </c>
      <c r="H2580" s="53"/>
      <c r="I2580" s="55"/>
      <c r="J2580" s="55"/>
      <c r="K2580" s="53" t="s">
        <v>45</v>
      </c>
      <c r="L2580" s="53" t="s">
        <v>52</v>
      </c>
      <c r="M2580" s="53">
        <v>1747.0</v>
      </c>
      <c r="N2580" s="53">
        <v>230.0</v>
      </c>
      <c r="O2580" s="53">
        <v>15.53</v>
      </c>
      <c r="P2580" s="55">
        <f t="shared" si="212"/>
        <v>3571.9</v>
      </c>
      <c r="Q2580" s="55"/>
      <c r="R2580" s="105">
        <f t="shared" ref="R2580:R2588" si="213">P2580+Q2580</f>
        <v>3571.9</v>
      </c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</row>
    <row r="2581">
      <c r="A2581" s="2"/>
      <c r="B2581" s="52">
        <v>3.0</v>
      </c>
      <c r="C2581" s="53">
        <v>1.004744872E9</v>
      </c>
      <c r="D2581" s="53" t="s">
        <v>186</v>
      </c>
      <c r="E2581" s="53" t="s">
        <v>51</v>
      </c>
      <c r="F2581" s="53" t="s">
        <v>44</v>
      </c>
      <c r="G2581" s="53"/>
      <c r="H2581" s="55"/>
      <c r="I2581" s="55"/>
      <c r="J2581" s="55"/>
      <c r="K2581" s="53" t="s">
        <v>45</v>
      </c>
      <c r="L2581" s="53" t="s">
        <v>54</v>
      </c>
      <c r="M2581" s="53">
        <v>1447.0</v>
      </c>
      <c r="N2581" s="53">
        <v>230.0</v>
      </c>
      <c r="O2581" s="53">
        <v>15.53</v>
      </c>
      <c r="P2581" s="55">
        <f t="shared" si="212"/>
        <v>3571.9</v>
      </c>
      <c r="Q2581" s="55"/>
      <c r="R2581" s="105">
        <f t="shared" si="213"/>
        <v>3571.9</v>
      </c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</row>
    <row r="2582">
      <c r="A2582" s="2"/>
      <c r="B2582" s="52">
        <v>4.0</v>
      </c>
      <c r="C2582" s="53">
        <v>1.004745636E9</v>
      </c>
      <c r="D2582" s="53" t="s">
        <v>186</v>
      </c>
      <c r="E2582" s="53" t="s">
        <v>90</v>
      </c>
      <c r="F2582" s="53" t="s">
        <v>91</v>
      </c>
      <c r="G2582" s="53" t="s">
        <v>92</v>
      </c>
      <c r="H2582" s="53" t="s">
        <v>93</v>
      </c>
      <c r="I2582" s="53" t="s">
        <v>94</v>
      </c>
      <c r="J2582" s="55"/>
      <c r="K2582" s="53" t="s">
        <v>80</v>
      </c>
      <c r="L2582" s="53" t="s">
        <v>187</v>
      </c>
      <c r="M2582" s="53">
        <v>2724.0</v>
      </c>
      <c r="N2582" s="53">
        <v>405.0</v>
      </c>
      <c r="O2582" s="53">
        <v>18.28</v>
      </c>
      <c r="P2582" s="55">
        <f t="shared" si="212"/>
        <v>7403.4</v>
      </c>
      <c r="Q2582" s="53">
        <v>500.0</v>
      </c>
      <c r="R2582" s="105">
        <f t="shared" si="213"/>
        <v>7903.4</v>
      </c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</row>
    <row r="2583">
      <c r="A2583" s="2"/>
      <c r="B2583" s="52">
        <v>5.0</v>
      </c>
      <c r="C2583" s="53">
        <v>1.004745601E9</v>
      </c>
      <c r="D2583" s="53" t="s">
        <v>186</v>
      </c>
      <c r="E2583" s="53" t="s">
        <v>77</v>
      </c>
      <c r="F2583" s="53" t="s">
        <v>116</v>
      </c>
      <c r="G2583" s="53" t="s">
        <v>78</v>
      </c>
      <c r="H2583" s="55"/>
      <c r="I2583" s="55"/>
      <c r="J2583" s="55"/>
      <c r="K2583" s="53" t="s">
        <v>33</v>
      </c>
      <c r="L2583" s="53" t="s">
        <v>104</v>
      </c>
      <c r="M2583" s="53">
        <v>1955.0</v>
      </c>
      <c r="N2583" s="53">
        <v>266.0</v>
      </c>
      <c r="O2583" s="53">
        <v>15.53</v>
      </c>
      <c r="P2583" s="55">
        <f t="shared" si="212"/>
        <v>4130.98</v>
      </c>
      <c r="Q2583" s="55"/>
      <c r="R2583" s="105">
        <f t="shared" si="213"/>
        <v>4130.98</v>
      </c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</row>
    <row r="2584">
      <c r="A2584" s="2"/>
      <c r="B2584" s="52">
        <v>6.0</v>
      </c>
      <c r="C2584" s="53">
        <v>1.004745591E9</v>
      </c>
      <c r="D2584" s="53" t="s">
        <v>186</v>
      </c>
      <c r="E2584" s="53" t="s">
        <v>77</v>
      </c>
      <c r="F2584" s="53" t="s">
        <v>78</v>
      </c>
      <c r="G2584" s="53" t="s">
        <v>79</v>
      </c>
      <c r="H2584" s="55"/>
      <c r="I2584" s="55"/>
      <c r="J2584" s="55"/>
      <c r="K2584" s="53" t="s">
        <v>38</v>
      </c>
      <c r="L2584" s="53" t="s">
        <v>81</v>
      </c>
      <c r="M2584" s="53">
        <v>3295.0</v>
      </c>
      <c r="N2584" s="53">
        <v>416.0</v>
      </c>
      <c r="O2584" s="53">
        <v>19.28</v>
      </c>
      <c r="P2584" s="55">
        <f t="shared" si="212"/>
        <v>8020.48</v>
      </c>
      <c r="Q2584" s="53">
        <v>505.0</v>
      </c>
      <c r="R2584" s="105">
        <f t="shared" si="213"/>
        <v>8525.48</v>
      </c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</row>
    <row r="2585">
      <c r="A2585" s="2"/>
      <c r="B2585" s="52">
        <v>7.0</v>
      </c>
      <c r="C2585" s="53">
        <v>1.00474547E9</v>
      </c>
      <c r="D2585" s="53" t="s">
        <v>186</v>
      </c>
      <c r="E2585" s="53" t="s">
        <v>106</v>
      </c>
      <c r="F2585" s="53" t="s">
        <v>107</v>
      </c>
      <c r="G2585" s="53" t="s">
        <v>108</v>
      </c>
      <c r="H2585" s="53" t="s">
        <v>109</v>
      </c>
      <c r="I2585" s="55"/>
      <c r="J2585" s="55"/>
      <c r="K2585" s="53" t="s">
        <v>38</v>
      </c>
      <c r="L2585" s="53" t="s">
        <v>118</v>
      </c>
      <c r="M2585" s="53">
        <v>3021.0</v>
      </c>
      <c r="N2585" s="53">
        <v>482.0</v>
      </c>
      <c r="O2585" s="53">
        <v>19.28</v>
      </c>
      <c r="P2585" s="55">
        <f t="shared" si="212"/>
        <v>9292.96</v>
      </c>
      <c r="Q2585" s="53">
        <v>1025.0</v>
      </c>
      <c r="R2585" s="105">
        <f t="shared" si="213"/>
        <v>10317.96</v>
      </c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</row>
    <row r="2586">
      <c r="A2586" s="2"/>
      <c r="B2586" s="52">
        <v>8.0</v>
      </c>
      <c r="C2586" s="53">
        <v>1.004745464E9</v>
      </c>
      <c r="D2586" s="53" t="s">
        <v>186</v>
      </c>
      <c r="E2586" s="53" t="s">
        <v>100</v>
      </c>
      <c r="F2586" s="53" t="s">
        <v>86</v>
      </c>
      <c r="G2586" s="53" t="s">
        <v>87</v>
      </c>
      <c r="H2586" s="53" t="s">
        <v>83</v>
      </c>
      <c r="I2586" s="53" t="s">
        <v>84</v>
      </c>
      <c r="J2586" s="55"/>
      <c r="K2586" s="53" t="s">
        <v>33</v>
      </c>
      <c r="L2586" s="53" t="s">
        <v>89</v>
      </c>
      <c r="M2586" s="53">
        <v>1981.0</v>
      </c>
      <c r="N2586" s="53">
        <v>428.0</v>
      </c>
      <c r="O2586" s="53">
        <v>15.53</v>
      </c>
      <c r="P2586" s="55">
        <f t="shared" si="212"/>
        <v>6646.84</v>
      </c>
      <c r="Q2586" s="53">
        <v>755.0</v>
      </c>
      <c r="R2586" s="105">
        <f t="shared" si="213"/>
        <v>7401.84</v>
      </c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</row>
    <row r="2587">
      <c r="A2587" s="2"/>
      <c r="B2587" s="52">
        <v>9.0</v>
      </c>
      <c r="C2587" s="53">
        <v>1.004746343E9</v>
      </c>
      <c r="D2587" s="53" t="s">
        <v>188</v>
      </c>
      <c r="E2587" s="53" t="s">
        <v>28</v>
      </c>
      <c r="F2587" s="53" t="s">
        <v>29</v>
      </c>
      <c r="G2587" s="53" t="s">
        <v>30</v>
      </c>
      <c r="H2587" s="53" t="s">
        <v>31</v>
      </c>
      <c r="I2587" s="53" t="s">
        <v>32</v>
      </c>
      <c r="J2587" s="55"/>
      <c r="K2587" s="53" t="s">
        <v>33</v>
      </c>
      <c r="L2587" s="53" t="s">
        <v>34</v>
      </c>
      <c r="M2587" s="53">
        <v>2108.0</v>
      </c>
      <c r="N2587" s="53">
        <v>246.0</v>
      </c>
      <c r="O2587" s="53">
        <v>15.53</v>
      </c>
      <c r="P2587" s="55">
        <f t="shared" si="212"/>
        <v>3820.38</v>
      </c>
      <c r="Q2587" s="53"/>
      <c r="R2587" s="105">
        <f t="shared" si="213"/>
        <v>3820.38</v>
      </c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</row>
    <row r="2588">
      <c r="A2588" s="2"/>
      <c r="B2588" s="52">
        <v>10.0</v>
      </c>
      <c r="C2588" s="53">
        <v>1.004746293E9</v>
      </c>
      <c r="D2588" s="53" t="s">
        <v>188</v>
      </c>
      <c r="E2588" s="53" t="s">
        <v>35</v>
      </c>
      <c r="F2588" s="53" t="s">
        <v>36</v>
      </c>
      <c r="G2588" s="53" t="s">
        <v>40</v>
      </c>
      <c r="H2588" s="53" t="s">
        <v>37</v>
      </c>
      <c r="I2588" s="55"/>
      <c r="J2588" s="55"/>
      <c r="K2588" s="53" t="s">
        <v>38</v>
      </c>
      <c r="L2588" s="53" t="s">
        <v>97</v>
      </c>
      <c r="M2588" s="53">
        <v>3255.0</v>
      </c>
      <c r="N2588" s="53">
        <v>200.0</v>
      </c>
      <c r="O2588" s="53">
        <v>19.28</v>
      </c>
      <c r="P2588" s="55">
        <f t="shared" si="212"/>
        <v>3856</v>
      </c>
      <c r="Q2588" s="53"/>
      <c r="R2588" s="105">
        <f t="shared" si="213"/>
        <v>3856</v>
      </c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</row>
    <row r="2589">
      <c r="A2589" s="2"/>
      <c r="B2589" s="8"/>
      <c r="C2589" s="6"/>
      <c r="D2589" s="6"/>
      <c r="E2589" s="6"/>
      <c r="F2589" s="6"/>
      <c r="G2589" s="6"/>
      <c r="H2589" s="6"/>
      <c r="I2589" s="6"/>
      <c r="J2589" s="6"/>
      <c r="K2589" s="6"/>
      <c r="L2589" s="6"/>
      <c r="M2589" s="6"/>
      <c r="N2589" s="6"/>
      <c r="O2589" s="6"/>
      <c r="P2589" s="6"/>
      <c r="Q2589" s="6"/>
      <c r="R2589" s="65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</row>
    <row r="2590">
      <c r="A2590" s="2"/>
      <c r="B2590" s="67" t="s">
        <v>64</v>
      </c>
      <c r="C2590" s="68"/>
      <c r="D2590" s="69" t="str">
        <f>MONEYTEXT(R2590, "INR")</f>
        <v>Fifty-six thousand six hundred seventy-one Indian rupees and seventy-four paise</v>
      </c>
      <c r="E2590" s="68"/>
      <c r="F2590" s="68"/>
      <c r="G2590" s="68"/>
      <c r="H2590" s="68"/>
      <c r="I2590" s="68"/>
      <c r="J2590" s="68"/>
      <c r="K2590" s="68"/>
      <c r="L2590" s="68"/>
      <c r="M2590" s="68"/>
      <c r="N2590" s="70" t="s">
        <v>65</v>
      </c>
      <c r="O2590" s="4"/>
      <c r="P2590" s="96">
        <f t="shared" ref="P2590:R2590" si="214">SUM(P2579:P2588)</f>
        <v>53886.74</v>
      </c>
      <c r="Q2590" s="96">
        <f t="shared" si="214"/>
        <v>2785</v>
      </c>
      <c r="R2590" s="96">
        <f t="shared" si="214"/>
        <v>56671.74</v>
      </c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</row>
    <row r="2591">
      <c r="A2591" s="2"/>
      <c r="B2591" s="72" t="s">
        <v>66</v>
      </c>
      <c r="C2591" s="68"/>
      <c r="D2591" s="68"/>
      <c r="E2591" s="68"/>
      <c r="F2591" s="68"/>
      <c r="G2591" s="68"/>
      <c r="H2591" s="68"/>
      <c r="I2591" s="68"/>
      <c r="J2591" s="68"/>
      <c r="K2591" s="68"/>
      <c r="L2591" s="68"/>
      <c r="M2591" s="68"/>
      <c r="N2591" s="68"/>
      <c r="O2591" s="76"/>
      <c r="P2591" s="78" t="s">
        <v>67</v>
      </c>
      <c r="Q2591" s="31"/>
      <c r="R2591" s="3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</row>
    <row r="2592">
      <c r="A2592" s="2"/>
      <c r="B2592" s="81" t="s">
        <v>68</v>
      </c>
      <c r="P2592" s="29"/>
      <c r="Q2592" s="29"/>
      <c r="R2592" s="8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</row>
    <row r="2593">
      <c r="A2593" s="2"/>
      <c r="B2593" s="81" t="s">
        <v>70</v>
      </c>
      <c r="P2593" s="29"/>
      <c r="Q2593" s="29"/>
      <c r="R2593" s="8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</row>
    <row r="2594">
      <c r="A2594" s="2"/>
      <c r="B2594" s="11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66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</row>
    <row r="2595">
      <c r="A2595" s="2"/>
      <c r="B2595" s="11"/>
      <c r="C2595" s="2"/>
      <c r="D2595" s="2"/>
      <c r="E2595" s="2"/>
      <c r="F2595" s="2"/>
      <c r="G2595" s="2"/>
      <c r="H2595" s="2"/>
      <c r="I2595" s="2"/>
      <c r="J2595" s="2"/>
      <c r="K2595" s="87" t="s">
        <v>71</v>
      </c>
      <c r="L2595" s="2"/>
      <c r="M2595" s="2"/>
      <c r="N2595" s="2"/>
      <c r="O2595" s="2"/>
      <c r="P2595" s="12" t="s">
        <v>72</v>
      </c>
      <c r="R2595" s="10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</row>
    <row r="2596">
      <c r="A2596" s="2"/>
      <c r="B2596" s="90"/>
      <c r="C2596" s="36"/>
      <c r="D2596" s="36"/>
      <c r="E2596" s="36"/>
      <c r="F2596" s="36"/>
      <c r="G2596" s="36"/>
      <c r="H2596" s="36"/>
      <c r="I2596" s="36"/>
      <c r="J2596" s="36"/>
      <c r="K2596" s="36"/>
      <c r="L2596" s="36"/>
      <c r="M2596" s="36"/>
      <c r="N2596" s="36"/>
      <c r="O2596" s="36"/>
      <c r="P2596" s="36"/>
      <c r="Q2596" s="36"/>
      <c r="R2596" s="91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</row>
    <row r="2597">
      <c r="A2597" s="2"/>
      <c r="B2597" s="177"/>
      <c r="C2597" s="177"/>
      <c r="D2597" s="177"/>
      <c r="E2597" s="177"/>
      <c r="F2597" s="177"/>
      <c r="G2597" s="177"/>
      <c r="H2597" s="177"/>
      <c r="I2597" s="177"/>
      <c r="J2597" s="177"/>
      <c r="K2597" s="177"/>
      <c r="L2597" s="177"/>
      <c r="M2597" s="177"/>
      <c r="N2597" s="177"/>
      <c r="O2597" s="177"/>
      <c r="P2597" s="177"/>
      <c r="Q2597" s="177"/>
      <c r="R2597" s="177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</row>
    <row r="2598">
      <c r="A2598" s="2"/>
      <c r="B2598" s="177"/>
      <c r="C2598" s="177"/>
      <c r="D2598" s="177"/>
      <c r="E2598" s="177"/>
      <c r="F2598" s="177"/>
      <c r="G2598" s="177"/>
      <c r="H2598" s="177"/>
      <c r="I2598" s="177"/>
      <c r="J2598" s="177"/>
      <c r="K2598" s="177"/>
      <c r="L2598" s="177"/>
      <c r="M2598" s="177"/>
      <c r="N2598" s="177"/>
      <c r="O2598" s="177"/>
      <c r="P2598" s="177"/>
      <c r="Q2598" s="177"/>
      <c r="R2598" s="177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</row>
    <row r="2599">
      <c r="A2599" s="2"/>
      <c r="B2599" s="177"/>
      <c r="C2599" s="177"/>
      <c r="D2599" s="177"/>
      <c r="E2599" s="177"/>
      <c r="F2599" s="177"/>
      <c r="G2599" s="177"/>
      <c r="H2599" s="177"/>
      <c r="I2599" s="177"/>
      <c r="J2599" s="177"/>
      <c r="K2599" s="177"/>
      <c r="L2599" s="177"/>
      <c r="M2599" s="177"/>
      <c r="N2599" s="177"/>
      <c r="O2599" s="177"/>
      <c r="P2599" s="177"/>
      <c r="Q2599" s="177"/>
      <c r="R2599" s="177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</row>
    <row r="2600">
      <c r="A2600" s="2"/>
      <c r="B2600" s="177"/>
      <c r="C2600" s="177"/>
      <c r="D2600" s="177"/>
      <c r="E2600" s="177"/>
      <c r="F2600" s="177"/>
      <c r="G2600" s="177"/>
      <c r="H2600" s="177"/>
      <c r="I2600" s="177"/>
      <c r="J2600" s="177"/>
      <c r="K2600" s="177"/>
      <c r="L2600" s="177"/>
      <c r="M2600" s="177"/>
      <c r="N2600" s="177"/>
      <c r="O2600" s="177"/>
      <c r="P2600" s="177"/>
      <c r="Q2600" s="177"/>
      <c r="R2600" s="177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</row>
    <row r="2601">
      <c r="A2601" s="2"/>
      <c r="B2601" s="176" t="s">
        <v>1</v>
      </c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5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</row>
    <row r="2602">
      <c r="A2602" s="2"/>
      <c r="B2602" s="11"/>
      <c r="F2602" s="12"/>
      <c r="G2602" s="12"/>
      <c r="I2602" s="12"/>
      <c r="J2602" s="12" t="s">
        <v>2</v>
      </c>
      <c r="N2602" s="2"/>
      <c r="R2602" s="10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</row>
    <row r="2603">
      <c r="A2603" s="2"/>
      <c r="B2603" s="14"/>
      <c r="F2603" s="12"/>
      <c r="G2603" s="12"/>
      <c r="H2603" s="12"/>
      <c r="I2603" s="12"/>
      <c r="J2603" s="12" t="s">
        <v>3</v>
      </c>
      <c r="N2603" s="2"/>
      <c r="R2603" s="10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</row>
    <row r="2604">
      <c r="A2604" s="2"/>
      <c r="B2604" s="14" t="s">
        <v>4</v>
      </c>
      <c r="R2604" s="10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</row>
    <row r="2605">
      <c r="A2605" s="2"/>
      <c r="B2605" s="21" t="s">
        <v>5</v>
      </c>
      <c r="C2605" s="22" t="s">
        <v>6</v>
      </c>
      <c r="D2605" s="4"/>
      <c r="E2605" s="4"/>
      <c r="F2605" s="4"/>
      <c r="G2605" s="4"/>
      <c r="H2605" s="4"/>
      <c r="I2605" s="4"/>
      <c r="J2605" s="4"/>
      <c r="K2605" s="5"/>
      <c r="L2605" s="23" t="s">
        <v>7</v>
      </c>
      <c r="M2605" s="87">
        <v>98.0</v>
      </c>
      <c r="N2605" s="24"/>
      <c r="O2605" s="4"/>
      <c r="P2605" s="4"/>
      <c r="Q2605" s="4"/>
      <c r="R2605" s="5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</row>
    <row r="2606">
      <c r="A2606" s="2"/>
      <c r="B2606" s="28"/>
      <c r="C2606" s="29" t="s">
        <v>8</v>
      </c>
      <c r="K2606" s="10"/>
      <c r="L2606" s="23" t="s">
        <v>9</v>
      </c>
      <c r="M2606" s="9" t="s">
        <v>178</v>
      </c>
      <c r="N2606" s="2"/>
      <c r="R2606" s="10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</row>
    <row r="2607">
      <c r="A2607" s="2"/>
      <c r="B2607" s="21" t="s">
        <v>11</v>
      </c>
      <c r="C2607" s="35" t="s">
        <v>12</v>
      </c>
      <c r="D2607" s="31"/>
      <c r="E2607" s="31"/>
      <c r="F2607" s="31"/>
      <c r="G2607" s="31"/>
      <c r="H2607" s="31"/>
      <c r="I2607" s="31"/>
      <c r="J2607" s="31"/>
      <c r="K2607" s="32"/>
      <c r="L2607" s="23" t="s">
        <v>13</v>
      </c>
      <c r="M2607" s="33" t="s">
        <v>14</v>
      </c>
      <c r="N2607" s="36"/>
      <c r="O2607" s="31"/>
      <c r="P2607" s="31"/>
      <c r="Q2607" s="31"/>
      <c r="R2607" s="3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</row>
    <row r="2608">
      <c r="A2608" s="2"/>
      <c r="B2608" s="11"/>
      <c r="R2608" s="10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</row>
    <row r="2609">
      <c r="A2609" s="2"/>
      <c r="B2609" s="46" t="s">
        <v>15</v>
      </c>
      <c r="C2609" s="47" t="s">
        <v>16</v>
      </c>
      <c r="D2609" s="48" t="s">
        <v>17</v>
      </c>
      <c r="E2609" s="48" t="s">
        <v>18</v>
      </c>
      <c r="F2609" s="49" t="s">
        <v>19</v>
      </c>
      <c r="G2609" s="43"/>
      <c r="H2609" s="43"/>
      <c r="I2609" s="43"/>
      <c r="J2609" s="44"/>
      <c r="K2609" s="48" t="s">
        <v>20</v>
      </c>
      <c r="L2609" s="48" t="s">
        <v>21</v>
      </c>
      <c r="M2609" s="48" t="s">
        <v>22</v>
      </c>
      <c r="N2609" s="48" t="s">
        <v>23</v>
      </c>
      <c r="O2609" s="48" t="s">
        <v>24</v>
      </c>
      <c r="P2609" s="48" t="s">
        <v>25</v>
      </c>
      <c r="Q2609" s="48" t="s">
        <v>26</v>
      </c>
      <c r="R2609" s="50" t="s">
        <v>27</v>
      </c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</row>
    <row r="2610">
      <c r="A2610" s="2"/>
      <c r="B2610" s="52">
        <v>1.0</v>
      </c>
      <c r="C2610" s="53">
        <v>1.004746805E9</v>
      </c>
      <c r="D2610" s="53" t="s">
        <v>188</v>
      </c>
      <c r="E2610" s="53" t="s">
        <v>51</v>
      </c>
      <c r="F2610" s="53" t="s">
        <v>44</v>
      </c>
      <c r="G2610" s="53"/>
      <c r="H2610" s="53"/>
      <c r="I2610" s="55"/>
      <c r="J2610" s="55"/>
      <c r="K2610" s="53" t="s">
        <v>45</v>
      </c>
      <c r="L2610" s="53" t="s">
        <v>98</v>
      </c>
      <c r="M2610" s="53">
        <v>1531.0</v>
      </c>
      <c r="N2610" s="53">
        <v>230.0</v>
      </c>
      <c r="O2610" s="53">
        <v>15.53</v>
      </c>
      <c r="P2610" s="55">
        <f t="shared" ref="P2610:P2619" si="215">N2610*O2610</f>
        <v>3571.9</v>
      </c>
      <c r="Q2610" s="53"/>
      <c r="R2610" s="94">
        <v>3571.9</v>
      </c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</row>
    <row r="2611">
      <c r="A2611" s="2"/>
      <c r="B2611" s="52">
        <v>2.0</v>
      </c>
      <c r="C2611" s="53">
        <v>1.004746847E9</v>
      </c>
      <c r="D2611" s="53" t="s">
        <v>188</v>
      </c>
      <c r="E2611" s="53" t="s">
        <v>51</v>
      </c>
      <c r="F2611" s="53" t="s">
        <v>44</v>
      </c>
      <c r="G2611" s="53" t="s">
        <v>49</v>
      </c>
      <c r="H2611" s="53"/>
      <c r="I2611" s="55"/>
      <c r="J2611" s="55"/>
      <c r="K2611" s="53" t="s">
        <v>45</v>
      </c>
      <c r="L2611" s="53" t="s">
        <v>50</v>
      </c>
      <c r="M2611" s="53">
        <v>1459.0</v>
      </c>
      <c r="N2611" s="53">
        <v>230.0</v>
      </c>
      <c r="O2611" s="53">
        <v>15.53</v>
      </c>
      <c r="P2611" s="55">
        <f t="shared" si="215"/>
        <v>3571.9</v>
      </c>
      <c r="Q2611" s="55"/>
      <c r="R2611" s="105">
        <f t="shared" ref="R2611:R2619" si="216">P2611+Q2611</f>
        <v>3571.9</v>
      </c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</row>
    <row r="2612">
      <c r="A2612" s="2"/>
      <c r="B2612" s="52">
        <v>3.0</v>
      </c>
      <c r="C2612" s="53">
        <v>1.004746936E9</v>
      </c>
      <c r="D2612" s="53" t="s">
        <v>188</v>
      </c>
      <c r="E2612" s="53" t="s">
        <v>51</v>
      </c>
      <c r="F2612" s="53" t="s">
        <v>44</v>
      </c>
      <c r="G2612" s="53"/>
      <c r="H2612" s="55"/>
      <c r="I2612" s="55"/>
      <c r="J2612" s="55"/>
      <c r="K2612" s="53" t="s">
        <v>45</v>
      </c>
      <c r="L2612" s="53" t="s">
        <v>52</v>
      </c>
      <c r="M2612" s="53">
        <v>1510.0</v>
      </c>
      <c r="N2612" s="53">
        <v>230.0</v>
      </c>
      <c r="O2612" s="53">
        <v>15.53</v>
      </c>
      <c r="P2612" s="55">
        <f t="shared" si="215"/>
        <v>3571.9</v>
      </c>
      <c r="Q2612" s="55"/>
      <c r="R2612" s="105">
        <f t="shared" si="216"/>
        <v>3571.9</v>
      </c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</row>
    <row r="2613">
      <c r="A2613" s="2"/>
      <c r="B2613" s="52">
        <v>4.0</v>
      </c>
      <c r="C2613" s="53">
        <v>1.004747416E9</v>
      </c>
      <c r="D2613" s="53" t="s">
        <v>188</v>
      </c>
      <c r="E2613" s="53" t="s">
        <v>51</v>
      </c>
      <c r="F2613" s="53" t="s">
        <v>44</v>
      </c>
      <c r="G2613" s="53" t="s">
        <v>49</v>
      </c>
      <c r="H2613" s="55"/>
      <c r="I2613" s="55"/>
      <c r="J2613" s="55"/>
      <c r="K2613" s="53" t="s">
        <v>45</v>
      </c>
      <c r="L2613" s="53" t="s">
        <v>53</v>
      </c>
      <c r="M2613" s="53">
        <v>1783.0</v>
      </c>
      <c r="N2613" s="53">
        <v>230.0</v>
      </c>
      <c r="O2613" s="53">
        <v>15.53</v>
      </c>
      <c r="P2613" s="55">
        <f t="shared" si="215"/>
        <v>3571.9</v>
      </c>
      <c r="Q2613" s="55"/>
      <c r="R2613" s="105">
        <f t="shared" si="216"/>
        <v>3571.9</v>
      </c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</row>
    <row r="2614">
      <c r="A2614" s="2"/>
      <c r="B2614" s="52">
        <v>5.0</v>
      </c>
      <c r="C2614" s="53">
        <v>1.004747397E9</v>
      </c>
      <c r="D2614" s="53" t="s">
        <v>188</v>
      </c>
      <c r="E2614" s="53" t="s">
        <v>51</v>
      </c>
      <c r="F2614" s="53" t="s">
        <v>44</v>
      </c>
      <c r="G2614" s="53"/>
      <c r="H2614" s="55"/>
      <c r="I2614" s="55"/>
      <c r="J2614" s="55"/>
      <c r="K2614" s="53" t="s">
        <v>45</v>
      </c>
      <c r="L2614" s="53" t="s">
        <v>54</v>
      </c>
      <c r="M2614" s="53">
        <v>1697.0</v>
      </c>
      <c r="N2614" s="53">
        <v>230.0</v>
      </c>
      <c r="O2614" s="53">
        <v>15.53</v>
      </c>
      <c r="P2614" s="55">
        <f t="shared" si="215"/>
        <v>3571.9</v>
      </c>
      <c r="Q2614" s="55"/>
      <c r="R2614" s="105">
        <f t="shared" si="216"/>
        <v>3571.9</v>
      </c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</row>
    <row r="2615">
      <c r="A2615" s="2"/>
      <c r="B2615" s="52">
        <v>6.0</v>
      </c>
      <c r="C2615" s="53">
        <v>1.004747737E9</v>
      </c>
      <c r="D2615" s="53" t="s">
        <v>188</v>
      </c>
      <c r="E2615" s="53" t="s">
        <v>61</v>
      </c>
      <c r="F2615" s="53" t="s">
        <v>73</v>
      </c>
      <c r="G2615" s="53" t="s">
        <v>74</v>
      </c>
      <c r="H2615" s="53" t="s">
        <v>62</v>
      </c>
      <c r="I2615" s="53" t="s">
        <v>75</v>
      </c>
      <c r="J2615" s="55"/>
      <c r="K2615" s="53" t="s">
        <v>38</v>
      </c>
      <c r="L2615" s="53" t="s">
        <v>76</v>
      </c>
      <c r="M2615" s="53">
        <v>3550.0</v>
      </c>
      <c r="N2615" s="53">
        <v>560.0</v>
      </c>
      <c r="O2615" s="53">
        <v>19.28</v>
      </c>
      <c r="P2615" s="55">
        <f t="shared" si="215"/>
        <v>10796.8</v>
      </c>
      <c r="Q2615" s="53">
        <v>1085.0</v>
      </c>
      <c r="R2615" s="105">
        <f t="shared" si="216"/>
        <v>11881.8</v>
      </c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</row>
    <row r="2616">
      <c r="A2616" s="2"/>
      <c r="B2616" s="52">
        <v>7.0</v>
      </c>
      <c r="C2616" s="53">
        <v>1.004748136E9</v>
      </c>
      <c r="D2616" s="53" t="s">
        <v>188</v>
      </c>
      <c r="E2616" s="53" t="s">
        <v>77</v>
      </c>
      <c r="F2616" s="53" t="s">
        <v>78</v>
      </c>
      <c r="G2616" s="53" t="s">
        <v>79</v>
      </c>
      <c r="H2616" s="53"/>
      <c r="I2616" s="55"/>
      <c r="J2616" s="55"/>
      <c r="K2616" s="53" t="s">
        <v>38</v>
      </c>
      <c r="L2616" s="53" t="s">
        <v>81</v>
      </c>
      <c r="M2616" s="53">
        <v>3211.0</v>
      </c>
      <c r="N2616" s="53">
        <v>416.0</v>
      </c>
      <c r="O2616" s="53">
        <v>19.28</v>
      </c>
      <c r="P2616" s="55">
        <f t="shared" si="215"/>
        <v>8020.48</v>
      </c>
      <c r="Q2616" s="53">
        <v>505.0</v>
      </c>
      <c r="R2616" s="105">
        <f t="shared" si="216"/>
        <v>8525.48</v>
      </c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</row>
    <row r="2617">
      <c r="A2617" s="2"/>
      <c r="B2617" s="52">
        <v>8.0</v>
      </c>
      <c r="C2617" s="53">
        <v>1.004747846E9</v>
      </c>
      <c r="D2617" s="53" t="s">
        <v>188</v>
      </c>
      <c r="E2617" s="53" t="s">
        <v>100</v>
      </c>
      <c r="F2617" s="53" t="s">
        <v>87</v>
      </c>
      <c r="G2617" s="53" t="s">
        <v>83</v>
      </c>
      <c r="H2617" s="53" t="s">
        <v>84</v>
      </c>
      <c r="I2617" s="55"/>
      <c r="J2617" s="55"/>
      <c r="K2617" s="53" t="s">
        <v>38</v>
      </c>
      <c r="L2617" s="53" t="s">
        <v>89</v>
      </c>
      <c r="M2617" s="53">
        <v>3427.0</v>
      </c>
      <c r="N2617" s="53">
        <v>428.0</v>
      </c>
      <c r="O2617" s="53">
        <v>19.28</v>
      </c>
      <c r="P2617" s="55">
        <f t="shared" si="215"/>
        <v>8251.84</v>
      </c>
      <c r="Q2617" s="53">
        <v>755.0</v>
      </c>
      <c r="R2617" s="105">
        <f t="shared" si="216"/>
        <v>9006.84</v>
      </c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</row>
    <row r="2618">
      <c r="A2618" s="2"/>
      <c r="B2618" s="52">
        <v>9.0</v>
      </c>
      <c r="C2618" s="53"/>
      <c r="D2618" s="54"/>
      <c r="E2618" s="53"/>
      <c r="F2618" s="53"/>
      <c r="G2618" s="55"/>
      <c r="H2618" s="53"/>
      <c r="I2618" s="55"/>
      <c r="J2618" s="55"/>
      <c r="K2618" s="53"/>
      <c r="L2618" s="53"/>
      <c r="M2618" s="53"/>
      <c r="N2618" s="53"/>
      <c r="O2618" s="53"/>
      <c r="P2618" s="55">
        <f t="shared" si="215"/>
        <v>0</v>
      </c>
      <c r="Q2618" s="53"/>
      <c r="R2618" s="105">
        <f t="shared" si="216"/>
        <v>0</v>
      </c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</row>
    <row r="2619">
      <c r="A2619" s="2"/>
      <c r="B2619" s="52">
        <v>10.0</v>
      </c>
      <c r="C2619" s="53"/>
      <c r="D2619" s="54"/>
      <c r="E2619" s="53"/>
      <c r="F2619" s="53"/>
      <c r="G2619" s="55"/>
      <c r="H2619" s="55"/>
      <c r="I2619" s="55"/>
      <c r="J2619" s="55"/>
      <c r="K2619" s="53"/>
      <c r="L2619" s="53"/>
      <c r="M2619" s="53"/>
      <c r="N2619" s="53"/>
      <c r="O2619" s="53"/>
      <c r="P2619" s="55">
        <f t="shared" si="215"/>
        <v>0</v>
      </c>
      <c r="Q2619" s="53"/>
      <c r="R2619" s="105">
        <f t="shared" si="216"/>
        <v>0</v>
      </c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</row>
    <row r="2620">
      <c r="A2620" s="2"/>
      <c r="B2620" s="8"/>
      <c r="C2620" s="6"/>
      <c r="D2620" s="6"/>
      <c r="E2620" s="6"/>
      <c r="F2620" s="6"/>
      <c r="G2620" s="6"/>
      <c r="H2620" s="6"/>
      <c r="I2620" s="6"/>
      <c r="J2620" s="6"/>
      <c r="K2620" s="6"/>
      <c r="L2620" s="6"/>
      <c r="M2620" s="6"/>
      <c r="N2620" s="6"/>
      <c r="O2620" s="6"/>
      <c r="P2620" s="6"/>
      <c r="Q2620" s="6"/>
      <c r="R2620" s="65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</row>
    <row r="2621">
      <c r="A2621" s="2"/>
      <c r="B2621" s="67" t="s">
        <v>64</v>
      </c>
      <c r="C2621" s="68"/>
      <c r="D2621" s="69" t="str">
        <f>MONEYTEXT(R2621, "INR")</f>
        <v/>
      </c>
      <c r="E2621" s="68"/>
      <c r="F2621" s="68"/>
      <c r="G2621" s="68"/>
      <c r="H2621" s="68"/>
      <c r="I2621" s="68"/>
      <c r="J2621" s="68"/>
      <c r="K2621" s="68"/>
      <c r="L2621" s="68"/>
      <c r="M2621" s="68"/>
      <c r="N2621" s="70" t="s">
        <v>65</v>
      </c>
      <c r="O2621" s="4"/>
      <c r="P2621" s="96">
        <f t="shared" ref="P2621:R2621" si="217">SUM(P2610:P2619)</f>
        <v>44928.62</v>
      </c>
      <c r="Q2621" s="96">
        <f t="shared" si="217"/>
        <v>2345</v>
      </c>
      <c r="R2621" s="96">
        <f t="shared" si="217"/>
        <v>47273.62</v>
      </c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</row>
    <row r="2622">
      <c r="A2622" s="2"/>
      <c r="B2622" s="72" t="s">
        <v>66</v>
      </c>
      <c r="C2622" s="68"/>
      <c r="D2622" s="68"/>
      <c r="E2622" s="68"/>
      <c r="F2622" s="68"/>
      <c r="G2622" s="68"/>
      <c r="H2622" s="68"/>
      <c r="I2622" s="68"/>
      <c r="J2622" s="68"/>
      <c r="K2622" s="68"/>
      <c r="L2622" s="68"/>
      <c r="M2622" s="68"/>
      <c r="N2622" s="68"/>
      <c r="O2622" s="76"/>
      <c r="P2622" s="78" t="s">
        <v>67</v>
      </c>
      <c r="Q2622" s="31"/>
      <c r="R2622" s="3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</row>
    <row r="2623">
      <c r="A2623" s="2"/>
      <c r="B2623" s="81" t="s">
        <v>68</v>
      </c>
      <c r="P2623" s="29"/>
      <c r="Q2623" s="29"/>
      <c r="R2623" s="8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</row>
    <row r="2624">
      <c r="A2624" s="2"/>
      <c r="B2624" s="81" t="s">
        <v>70</v>
      </c>
      <c r="P2624" s="29"/>
      <c r="Q2624" s="29"/>
      <c r="R2624" s="8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</row>
    <row r="2625">
      <c r="A2625" s="2"/>
      <c r="B2625" s="11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66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</row>
    <row r="2626">
      <c r="A2626" s="2"/>
      <c r="B2626" s="11"/>
      <c r="C2626" s="2"/>
      <c r="D2626" s="2"/>
      <c r="E2626" s="2"/>
      <c r="F2626" s="2"/>
      <c r="G2626" s="2"/>
      <c r="H2626" s="2"/>
      <c r="I2626" s="2"/>
      <c r="J2626" s="2"/>
      <c r="K2626" s="87" t="s">
        <v>71</v>
      </c>
      <c r="L2626" s="2"/>
      <c r="M2626" s="2"/>
      <c r="N2626" s="2"/>
      <c r="O2626" s="2"/>
      <c r="P2626" s="12" t="s">
        <v>72</v>
      </c>
      <c r="R2626" s="10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</row>
    <row r="2627">
      <c r="A2627" s="2"/>
      <c r="B2627" s="90"/>
      <c r="C2627" s="36"/>
      <c r="D2627" s="36"/>
      <c r="E2627" s="36"/>
      <c r="F2627" s="36"/>
      <c r="G2627" s="36"/>
      <c r="H2627" s="36"/>
      <c r="I2627" s="36"/>
      <c r="J2627" s="36"/>
      <c r="K2627" s="36"/>
      <c r="L2627" s="36"/>
      <c r="M2627" s="36"/>
      <c r="N2627" s="36"/>
      <c r="O2627" s="36"/>
      <c r="P2627" s="36"/>
      <c r="Q2627" s="36"/>
      <c r="R2627" s="91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</row>
    <row r="2628">
      <c r="A2628" s="2"/>
      <c r="B2628" s="177"/>
      <c r="C2628" s="177"/>
      <c r="D2628" s="177"/>
      <c r="E2628" s="177"/>
      <c r="F2628" s="177"/>
      <c r="G2628" s="177"/>
      <c r="H2628" s="177"/>
      <c r="I2628" s="177"/>
      <c r="J2628" s="177"/>
      <c r="K2628" s="177"/>
      <c r="L2628" s="177"/>
      <c r="M2628" s="177"/>
      <c r="N2628" s="177"/>
      <c r="O2628" s="177"/>
      <c r="P2628" s="177"/>
      <c r="Q2628" s="177"/>
      <c r="R2628" s="177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</row>
    <row r="2629">
      <c r="A2629" s="2"/>
      <c r="B2629" s="177"/>
      <c r="C2629" s="177"/>
      <c r="D2629" s="177"/>
      <c r="E2629" s="177"/>
      <c r="F2629" s="177"/>
      <c r="G2629" s="177"/>
      <c r="H2629" s="177"/>
      <c r="I2629" s="177"/>
      <c r="J2629" s="177"/>
      <c r="K2629" s="177"/>
      <c r="L2629" s="59"/>
      <c r="M2629" s="177"/>
      <c r="N2629" s="177"/>
      <c r="O2629" s="177"/>
      <c r="P2629" s="177"/>
      <c r="Q2629" s="177"/>
      <c r="R2629" s="177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</row>
    <row r="2630">
      <c r="A2630" s="2"/>
      <c r="B2630" s="177"/>
      <c r="C2630" s="177"/>
      <c r="D2630" s="177"/>
      <c r="E2630" s="177"/>
      <c r="F2630" s="177"/>
      <c r="G2630" s="177"/>
      <c r="H2630" s="177"/>
      <c r="I2630" s="177"/>
      <c r="J2630" s="177"/>
      <c r="K2630" s="177"/>
      <c r="L2630" s="59"/>
      <c r="M2630" s="177"/>
      <c r="N2630" s="177"/>
      <c r="O2630" s="177"/>
      <c r="P2630" s="177"/>
      <c r="Q2630" s="177"/>
      <c r="R2630" s="177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</row>
    <row r="2631">
      <c r="A2631" s="2"/>
      <c r="B2631" s="176" t="s">
        <v>1</v>
      </c>
      <c r="C2631" s="236"/>
      <c r="D2631" s="236"/>
      <c r="E2631" s="236"/>
      <c r="F2631" s="236"/>
      <c r="G2631" s="236"/>
      <c r="H2631" s="236"/>
      <c r="I2631" s="236"/>
      <c r="J2631" s="236"/>
      <c r="K2631" s="236"/>
      <c r="L2631" s="59"/>
      <c r="M2631" s="236"/>
      <c r="N2631" s="236"/>
      <c r="O2631" s="236"/>
      <c r="P2631" s="236"/>
      <c r="Q2631" s="236"/>
      <c r="R2631" s="237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</row>
    <row r="2632">
      <c r="A2632" s="2"/>
      <c r="B2632" s="11"/>
      <c r="F2632" s="12"/>
      <c r="G2632" s="12"/>
      <c r="I2632" s="12"/>
      <c r="J2632" s="12" t="s">
        <v>2</v>
      </c>
      <c r="K2632" s="12"/>
      <c r="L2632" s="59"/>
      <c r="M2632" s="12"/>
      <c r="N2632" s="2"/>
      <c r="R2632" s="10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</row>
    <row r="2633">
      <c r="A2633" s="2"/>
      <c r="B2633" s="14"/>
      <c r="F2633" s="12"/>
      <c r="G2633" s="12"/>
      <c r="H2633" s="12"/>
      <c r="I2633" s="12"/>
      <c r="J2633" s="12" t="s">
        <v>3</v>
      </c>
      <c r="K2633" s="12"/>
      <c r="L2633" s="59"/>
      <c r="M2633" s="12"/>
      <c r="N2633" s="2"/>
      <c r="R2633" s="10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</row>
    <row r="2634">
      <c r="A2634" s="2"/>
      <c r="B2634" s="14" t="s">
        <v>4</v>
      </c>
      <c r="C2634" s="12"/>
      <c r="D2634" s="12"/>
      <c r="E2634" s="12"/>
      <c r="F2634" s="12"/>
      <c r="G2634" s="12"/>
      <c r="H2634" s="12"/>
      <c r="I2634" s="12"/>
      <c r="J2634" s="12"/>
      <c r="K2634" s="12"/>
      <c r="L2634" s="59"/>
      <c r="M2634" s="12"/>
      <c r="N2634" s="12"/>
      <c r="O2634" s="12"/>
      <c r="P2634" s="12"/>
      <c r="Q2634" s="12"/>
      <c r="R2634" s="239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</row>
    <row r="2635">
      <c r="A2635" s="2"/>
      <c r="B2635" s="21" t="s">
        <v>5</v>
      </c>
      <c r="C2635" s="22" t="s">
        <v>6</v>
      </c>
      <c r="D2635" s="4"/>
      <c r="E2635" s="4"/>
      <c r="F2635" s="4"/>
      <c r="G2635" s="4"/>
      <c r="H2635" s="4"/>
      <c r="I2635" s="4"/>
      <c r="J2635" s="4"/>
      <c r="K2635" s="5"/>
      <c r="L2635" s="59"/>
      <c r="M2635" s="19">
        <v>105.0</v>
      </c>
      <c r="N2635" s="24"/>
      <c r="O2635" s="4"/>
      <c r="P2635" s="4"/>
      <c r="Q2635" s="4"/>
      <c r="R2635" s="5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</row>
    <row r="2636">
      <c r="A2636" s="2"/>
      <c r="B2636" s="28"/>
      <c r="C2636" s="29" t="s">
        <v>8</v>
      </c>
      <c r="K2636" s="10"/>
      <c r="L2636" s="59"/>
      <c r="M2636" s="9" t="s">
        <v>178</v>
      </c>
      <c r="N2636" s="2"/>
      <c r="R2636" s="10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</row>
    <row r="2637">
      <c r="A2637" s="2"/>
      <c r="B2637" s="21" t="s">
        <v>11</v>
      </c>
      <c r="C2637" s="35" t="s">
        <v>12</v>
      </c>
      <c r="D2637" s="31"/>
      <c r="E2637" s="31"/>
      <c r="F2637" s="31"/>
      <c r="G2637" s="31"/>
      <c r="H2637" s="31"/>
      <c r="I2637" s="31"/>
      <c r="J2637" s="31"/>
      <c r="K2637" s="32"/>
      <c r="L2637" s="59"/>
      <c r="M2637" s="33" t="s">
        <v>14</v>
      </c>
      <c r="N2637" s="36"/>
      <c r="O2637" s="31"/>
      <c r="P2637" s="31"/>
      <c r="Q2637" s="31"/>
      <c r="R2637" s="3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</row>
    <row r="2638">
      <c r="A2638" s="2"/>
      <c r="B2638" s="11"/>
      <c r="C2638" s="2"/>
      <c r="D2638" s="2"/>
      <c r="E2638" s="2"/>
      <c r="F2638" s="2"/>
      <c r="G2638" s="2"/>
      <c r="H2638" s="2"/>
      <c r="I2638" s="2"/>
      <c r="J2638" s="2"/>
      <c r="K2638" s="2"/>
      <c r="L2638" s="59"/>
      <c r="M2638" s="2"/>
      <c r="N2638" s="2"/>
      <c r="O2638" s="2"/>
      <c r="P2638" s="2"/>
      <c r="Q2638" s="2"/>
      <c r="R2638" s="66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</row>
    <row r="2639">
      <c r="A2639" s="2"/>
      <c r="B2639" s="46" t="s">
        <v>15</v>
      </c>
      <c r="C2639" s="47" t="s">
        <v>16</v>
      </c>
      <c r="D2639" s="48" t="s">
        <v>17</v>
      </c>
      <c r="E2639" s="48" t="s">
        <v>18</v>
      </c>
      <c r="F2639" s="49" t="s">
        <v>19</v>
      </c>
      <c r="G2639" s="43"/>
      <c r="H2639" s="43"/>
      <c r="I2639" s="43"/>
      <c r="J2639" s="44"/>
      <c r="K2639" s="48" t="s">
        <v>20</v>
      </c>
      <c r="L2639" s="59"/>
      <c r="M2639" s="48" t="s">
        <v>22</v>
      </c>
      <c r="N2639" s="48" t="s">
        <v>23</v>
      </c>
      <c r="O2639" s="48" t="s">
        <v>24</v>
      </c>
      <c r="P2639" s="48" t="s">
        <v>25</v>
      </c>
      <c r="Q2639" s="48" t="s">
        <v>26</v>
      </c>
      <c r="R2639" s="50" t="s">
        <v>27</v>
      </c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</row>
    <row r="2640">
      <c r="A2640" s="2"/>
      <c r="B2640" s="52">
        <v>1.0</v>
      </c>
      <c r="C2640" s="59">
        <v>1.004732303E9</v>
      </c>
      <c r="D2640" s="60">
        <v>46179.0</v>
      </c>
      <c r="E2640" s="59" t="s">
        <v>106</v>
      </c>
      <c r="F2640" s="59" t="s">
        <v>107</v>
      </c>
      <c r="G2640" s="59" t="s">
        <v>108</v>
      </c>
      <c r="H2640" s="59" t="s">
        <v>109</v>
      </c>
      <c r="I2640" s="61"/>
      <c r="J2640" s="61"/>
      <c r="K2640" s="59" t="s">
        <v>80</v>
      </c>
      <c r="L2640" s="59" t="s">
        <v>110</v>
      </c>
      <c r="M2640" s="59">
        <v>2429.0</v>
      </c>
      <c r="N2640" s="59">
        <v>482.0</v>
      </c>
      <c r="O2640" s="59">
        <v>18.28</v>
      </c>
      <c r="P2640" s="61">
        <f t="shared" ref="P2640:P2649" si="218">N2640*O2640</f>
        <v>8810.96</v>
      </c>
      <c r="Q2640" s="59">
        <v>1025.0</v>
      </c>
      <c r="R2640" s="240">
        <v>9835.96</v>
      </c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</row>
    <row r="2641">
      <c r="A2641" s="2"/>
      <c r="B2641" s="52">
        <v>2.0</v>
      </c>
      <c r="C2641" s="59"/>
      <c r="D2641" s="60"/>
      <c r="E2641" s="59"/>
      <c r="F2641" s="59"/>
      <c r="G2641" s="59"/>
      <c r="H2641" s="59"/>
      <c r="I2641" s="61"/>
      <c r="J2641" s="61"/>
      <c r="K2641" s="59"/>
      <c r="L2641" s="59"/>
      <c r="M2641" s="59"/>
      <c r="N2641" s="59"/>
      <c r="O2641" s="59"/>
      <c r="P2641" s="61">
        <f t="shared" si="218"/>
        <v>0</v>
      </c>
      <c r="Q2641" s="61"/>
      <c r="R2641" s="62">
        <f t="shared" ref="R2641:R2649" si="219">P2641+Q2641</f>
        <v>0</v>
      </c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</row>
    <row r="2642">
      <c r="A2642" s="2"/>
      <c r="B2642" s="52">
        <v>3.0</v>
      </c>
      <c r="C2642" s="59"/>
      <c r="D2642" s="60"/>
      <c r="E2642" s="59"/>
      <c r="F2642" s="59"/>
      <c r="G2642" s="59"/>
      <c r="H2642" s="61"/>
      <c r="I2642" s="61"/>
      <c r="J2642" s="61"/>
      <c r="K2642" s="59"/>
      <c r="L2642" s="59"/>
      <c r="M2642" s="59"/>
      <c r="N2642" s="59"/>
      <c r="O2642" s="59"/>
      <c r="P2642" s="61">
        <f t="shared" si="218"/>
        <v>0</v>
      </c>
      <c r="Q2642" s="61"/>
      <c r="R2642" s="62">
        <f t="shared" si="219"/>
        <v>0</v>
      </c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</row>
    <row r="2643">
      <c r="A2643" s="2"/>
      <c r="B2643" s="52">
        <v>4.0</v>
      </c>
      <c r="C2643" s="59"/>
      <c r="D2643" s="60"/>
      <c r="E2643" s="59"/>
      <c r="F2643" s="59"/>
      <c r="G2643" s="59"/>
      <c r="H2643" s="61"/>
      <c r="I2643" s="61"/>
      <c r="J2643" s="61"/>
      <c r="K2643" s="59"/>
      <c r="L2643" s="59"/>
      <c r="M2643" s="59"/>
      <c r="N2643" s="59"/>
      <c r="O2643" s="59"/>
      <c r="P2643" s="61">
        <f t="shared" si="218"/>
        <v>0</v>
      </c>
      <c r="Q2643" s="61"/>
      <c r="R2643" s="62">
        <f t="shared" si="219"/>
        <v>0</v>
      </c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</row>
    <row r="2644">
      <c r="A2644" s="2"/>
      <c r="B2644" s="52">
        <v>5.0</v>
      </c>
      <c r="C2644" s="59"/>
      <c r="D2644" s="60"/>
      <c r="E2644" s="59"/>
      <c r="F2644" s="59"/>
      <c r="G2644" s="59"/>
      <c r="H2644" s="61"/>
      <c r="I2644" s="61"/>
      <c r="J2644" s="61"/>
      <c r="K2644" s="59"/>
      <c r="L2644" s="59"/>
      <c r="M2644" s="59"/>
      <c r="N2644" s="59"/>
      <c r="O2644" s="59"/>
      <c r="P2644" s="61">
        <f t="shared" si="218"/>
        <v>0</v>
      </c>
      <c r="Q2644" s="61"/>
      <c r="R2644" s="62">
        <f t="shared" si="219"/>
        <v>0</v>
      </c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</row>
    <row r="2645">
      <c r="A2645" s="2"/>
      <c r="B2645" s="52">
        <v>6.0</v>
      </c>
      <c r="C2645" s="59"/>
      <c r="D2645" s="60"/>
      <c r="E2645" s="59"/>
      <c r="F2645" s="59"/>
      <c r="G2645" s="61"/>
      <c r="H2645" s="61"/>
      <c r="I2645" s="61"/>
      <c r="J2645" s="61"/>
      <c r="K2645" s="59"/>
      <c r="L2645" s="59"/>
      <c r="M2645" s="59"/>
      <c r="N2645" s="59"/>
      <c r="O2645" s="59"/>
      <c r="P2645" s="61">
        <f t="shared" si="218"/>
        <v>0</v>
      </c>
      <c r="Q2645" s="61"/>
      <c r="R2645" s="62">
        <f t="shared" si="219"/>
        <v>0</v>
      </c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</row>
    <row r="2646">
      <c r="A2646" s="2"/>
      <c r="B2646" s="52">
        <v>7.0</v>
      </c>
      <c r="C2646" s="59"/>
      <c r="D2646" s="60"/>
      <c r="E2646" s="59"/>
      <c r="F2646" s="59"/>
      <c r="G2646" s="59"/>
      <c r="H2646" s="59"/>
      <c r="I2646" s="61"/>
      <c r="J2646" s="61"/>
      <c r="K2646" s="59"/>
      <c r="L2646" s="59"/>
      <c r="M2646" s="59"/>
      <c r="N2646" s="59"/>
      <c r="O2646" s="59"/>
      <c r="P2646" s="61">
        <f t="shared" si="218"/>
        <v>0</v>
      </c>
      <c r="Q2646" s="61"/>
      <c r="R2646" s="62">
        <f t="shared" si="219"/>
        <v>0</v>
      </c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</row>
    <row r="2647">
      <c r="A2647" s="2"/>
      <c r="B2647" s="52">
        <v>8.0</v>
      </c>
      <c r="C2647" s="59"/>
      <c r="D2647" s="60"/>
      <c r="E2647" s="59"/>
      <c r="F2647" s="59"/>
      <c r="G2647" s="59"/>
      <c r="H2647" s="59"/>
      <c r="I2647" s="61"/>
      <c r="J2647" s="61"/>
      <c r="K2647" s="59"/>
      <c r="L2647" s="59"/>
      <c r="M2647" s="59"/>
      <c r="N2647" s="59"/>
      <c r="O2647" s="59"/>
      <c r="P2647" s="61">
        <f t="shared" si="218"/>
        <v>0</v>
      </c>
      <c r="Q2647" s="61"/>
      <c r="R2647" s="62">
        <f t="shared" si="219"/>
        <v>0</v>
      </c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</row>
    <row r="2648">
      <c r="A2648" s="2"/>
      <c r="B2648" s="52">
        <v>9.0</v>
      </c>
      <c r="C2648" s="59"/>
      <c r="D2648" s="60"/>
      <c r="E2648" s="59"/>
      <c r="F2648" s="59"/>
      <c r="G2648" s="61"/>
      <c r="H2648" s="59"/>
      <c r="I2648" s="61"/>
      <c r="J2648" s="61"/>
      <c r="K2648" s="59"/>
      <c r="L2648" s="59"/>
      <c r="M2648" s="59"/>
      <c r="N2648" s="59"/>
      <c r="O2648" s="59"/>
      <c r="P2648" s="61">
        <f t="shared" si="218"/>
        <v>0</v>
      </c>
      <c r="Q2648" s="59"/>
      <c r="R2648" s="62">
        <f t="shared" si="219"/>
        <v>0</v>
      </c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</row>
    <row r="2649">
      <c r="A2649" s="2"/>
      <c r="B2649" s="52">
        <v>10.0</v>
      </c>
      <c r="C2649" s="59"/>
      <c r="D2649" s="60"/>
      <c r="E2649" s="59"/>
      <c r="F2649" s="59"/>
      <c r="G2649" s="61"/>
      <c r="H2649" s="61"/>
      <c r="I2649" s="61"/>
      <c r="J2649" s="61"/>
      <c r="K2649" s="59"/>
      <c r="L2649" s="59"/>
      <c r="M2649" s="59"/>
      <c r="N2649" s="59"/>
      <c r="O2649" s="59"/>
      <c r="P2649" s="61">
        <f t="shared" si="218"/>
        <v>0</v>
      </c>
      <c r="Q2649" s="59"/>
      <c r="R2649" s="62">
        <f t="shared" si="219"/>
        <v>0</v>
      </c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</row>
    <row r="2650">
      <c r="A2650" s="2"/>
      <c r="B2650" s="11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66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</row>
    <row r="2651">
      <c r="A2651" s="2"/>
      <c r="B2651" s="72" t="s">
        <v>64</v>
      </c>
      <c r="C2651" s="68"/>
      <c r="D2651" s="73" t="str">
        <f>MONEYTEXT(R2651, "INR")</f>
        <v>Nine thousand eight hundred thirty-five Indian rupees and ninety-six paise</v>
      </c>
      <c r="E2651" s="68"/>
      <c r="F2651" s="68"/>
      <c r="G2651" s="68"/>
      <c r="H2651" s="68"/>
      <c r="I2651" s="68"/>
      <c r="J2651" s="68"/>
      <c r="K2651" s="68"/>
      <c r="L2651" s="68"/>
      <c r="M2651" s="68"/>
      <c r="N2651" s="74" t="s">
        <v>65</v>
      </c>
      <c r="O2651" s="4"/>
      <c r="P2651" s="75">
        <f t="shared" ref="P2651:R2651" si="220">SUM(P2640:P2649)</f>
        <v>8810.96</v>
      </c>
      <c r="Q2651" s="75">
        <f t="shared" si="220"/>
        <v>1025</v>
      </c>
      <c r="R2651" s="75">
        <f t="shared" si="220"/>
        <v>9835.96</v>
      </c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</row>
    <row r="2652">
      <c r="A2652" s="2"/>
      <c r="B2652" s="72" t="s">
        <v>66</v>
      </c>
      <c r="C2652" s="68"/>
      <c r="D2652" s="68"/>
      <c r="E2652" s="68"/>
      <c r="F2652" s="68"/>
      <c r="G2652" s="68"/>
      <c r="H2652" s="68"/>
      <c r="I2652" s="68"/>
      <c r="J2652" s="68"/>
      <c r="K2652" s="68"/>
      <c r="L2652" s="68"/>
      <c r="M2652" s="68"/>
      <c r="N2652" s="68"/>
      <c r="O2652" s="76"/>
      <c r="P2652" s="78" t="s">
        <v>67</v>
      </c>
      <c r="Q2652" s="31"/>
      <c r="R2652" s="3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</row>
    <row r="2653">
      <c r="A2653" s="2"/>
      <c r="B2653" s="81" t="s">
        <v>68</v>
      </c>
      <c r="P2653" s="29"/>
      <c r="Q2653" s="29"/>
      <c r="R2653" s="8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</row>
    <row r="2654">
      <c r="A2654" s="2"/>
      <c r="B2654" s="81" t="s">
        <v>70</v>
      </c>
      <c r="P2654" s="29"/>
      <c r="Q2654" s="29"/>
      <c r="R2654" s="8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</row>
    <row r="2655">
      <c r="A2655" s="2"/>
      <c r="B2655" s="11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66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</row>
    <row r="2656">
      <c r="A2656" s="2"/>
      <c r="B2656" s="11"/>
      <c r="C2656" s="2"/>
      <c r="D2656" s="2"/>
      <c r="E2656" s="2"/>
      <c r="F2656" s="2"/>
      <c r="G2656" s="2"/>
      <c r="H2656" s="2"/>
      <c r="I2656" s="2"/>
      <c r="J2656" s="2"/>
      <c r="K2656" s="87" t="s">
        <v>71</v>
      </c>
      <c r="L2656" s="2"/>
      <c r="M2656" s="2"/>
      <c r="N2656" s="2"/>
      <c r="O2656" s="2"/>
      <c r="P2656" s="12" t="s">
        <v>72</v>
      </c>
      <c r="R2656" s="10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</row>
    <row r="2657">
      <c r="A2657" s="2"/>
      <c r="B2657" s="90"/>
      <c r="C2657" s="36"/>
      <c r="D2657" s="36"/>
      <c r="E2657" s="36"/>
      <c r="F2657" s="36"/>
      <c r="G2657" s="36"/>
      <c r="H2657" s="36"/>
      <c r="I2657" s="36"/>
      <c r="J2657" s="36"/>
      <c r="K2657" s="36"/>
      <c r="L2657" s="36"/>
      <c r="M2657" s="36"/>
      <c r="N2657" s="36"/>
      <c r="O2657" s="36"/>
      <c r="P2657" s="36"/>
      <c r="Q2657" s="36"/>
      <c r="R2657" s="91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</row>
    <row r="2658">
      <c r="A2658" s="2"/>
      <c r="B2658" s="177"/>
      <c r="C2658" s="177"/>
      <c r="D2658" s="177"/>
      <c r="E2658" s="177"/>
      <c r="F2658" s="177"/>
      <c r="G2658" s="177"/>
      <c r="H2658" s="177"/>
      <c r="I2658" s="177"/>
      <c r="J2658" s="177"/>
      <c r="K2658" s="177"/>
      <c r="L2658" s="177"/>
      <c r="M2658" s="177"/>
      <c r="N2658" s="177"/>
      <c r="O2658" s="177"/>
      <c r="P2658" s="177"/>
      <c r="Q2658" s="177"/>
      <c r="R2658" s="177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</row>
    <row r="2659">
      <c r="A2659" s="2"/>
      <c r="B2659" s="177"/>
      <c r="C2659" s="177"/>
      <c r="D2659" s="177"/>
      <c r="E2659" s="177"/>
      <c r="F2659" s="177"/>
      <c r="G2659" s="177"/>
      <c r="H2659" s="177"/>
      <c r="I2659" s="177"/>
      <c r="J2659" s="177"/>
      <c r="K2659" s="177"/>
      <c r="L2659" s="177"/>
      <c r="M2659" s="177"/>
      <c r="N2659" s="177"/>
      <c r="O2659" s="177"/>
      <c r="P2659" s="177"/>
      <c r="Q2659" s="177"/>
      <c r="R2659" s="177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</row>
    <row r="2660">
      <c r="A2660" s="2"/>
      <c r="B2660" s="177"/>
      <c r="C2660" s="177"/>
      <c r="D2660" s="177"/>
      <c r="E2660" s="177"/>
      <c r="F2660" s="177"/>
      <c r="G2660" s="177"/>
      <c r="H2660" s="177"/>
      <c r="I2660" s="177"/>
      <c r="J2660" s="177"/>
      <c r="K2660" s="177"/>
      <c r="L2660" s="177"/>
      <c r="M2660" s="177"/>
      <c r="N2660" s="177"/>
      <c r="O2660" s="177"/>
      <c r="P2660" s="177"/>
      <c r="Q2660" s="177"/>
      <c r="R2660" s="177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</row>
    <row r="2661">
      <c r="A2661" s="2"/>
      <c r="B2661" s="176" t="s">
        <v>1</v>
      </c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5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</row>
    <row r="2662">
      <c r="A2662" s="2"/>
      <c r="B2662" s="11"/>
      <c r="F2662" s="12"/>
      <c r="G2662" s="12"/>
      <c r="I2662" s="12"/>
      <c r="J2662" s="12" t="s">
        <v>2</v>
      </c>
      <c r="N2662" s="2"/>
      <c r="R2662" s="10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</row>
    <row r="2663">
      <c r="A2663" s="2"/>
      <c r="B2663" s="14"/>
      <c r="F2663" s="12"/>
      <c r="G2663" s="12"/>
      <c r="H2663" s="12"/>
      <c r="I2663" s="12"/>
      <c r="J2663" s="12" t="s">
        <v>3</v>
      </c>
      <c r="N2663" s="2"/>
      <c r="R2663" s="10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</row>
    <row r="2664">
      <c r="A2664" s="2"/>
      <c r="B2664" s="14" t="s">
        <v>4</v>
      </c>
      <c r="R2664" s="10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</row>
    <row r="2665">
      <c r="A2665" s="2"/>
      <c r="B2665" s="21" t="s">
        <v>5</v>
      </c>
      <c r="C2665" s="22" t="s">
        <v>6</v>
      </c>
      <c r="D2665" s="4"/>
      <c r="E2665" s="4"/>
      <c r="F2665" s="4"/>
      <c r="G2665" s="4"/>
      <c r="H2665" s="4"/>
      <c r="I2665" s="4"/>
      <c r="J2665" s="4"/>
      <c r="K2665" s="5"/>
      <c r="L2665" s="23" t="s">
        <v>7</v>
      </c>
      <c r="M2665" s="19">
        <v>105.0</v>
      </c>
      <c r="N2665" s="24"/>
      <c r="O2665" s="4"/>
      <c r="P2665" s="4"/>
      <c r="Q2665" s="4"/>
      <c r="R2665" s="5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</row>
    <row r="2666">
      <c r="A2666" s="2"/>
      <c r="B2666" s="28"/>
      <c r="C2666" s="27" t="s">
        <v>8</v>
      </c>
      <c r="K2666" s="10"/>
      <c r="L2666" s="23" t="s">
        <v>9</v>
      </c>
      <c r="M2666" s="9" t="s">
        <v>178</v>
      </c>
      <c r="N2666" s="2"/>
      <c r="R2666" s="10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</row>
    <row r="2667">
      <c r="A2667" s="2"/>
      <c r="B2667" s="21" t="s">
        <v>11</v>
      </c>
      <c r="C2667" s="35" t="s">
        <v>12</v>
      </c>
      <c r="D2667" s="31"/>
      <c r="E2667" s="31"/>
      <c r="F2667" s="31"/>
      <c r="G2667" s="31"/>
      <c r="H2667" s="31"/>
      <c r="I2667" s="31"/>
      <c r="J2667" s="31"/>
      <c r="K2667" s="32"/>
      <c r="L2667" s="23" t="s">
        <v>13</v>
      </c>
      <c r="M2667" s="33" t="s">
        <v>14</v>
      </c>
      <c r="N2667" s="36"/>
      <c r="O2667" s="31"/>
      <c r="P2667" s="31"/>
      <c r="Q2667" s="31"/>
      <c r="R2667" s="3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</row>
    <row r="2668">
      <c r="A2668" s="2"/>
      <c r="B2668" s="11"/>
      <c r="R2668" s="10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</row>
    <row r="2669">
      <c r="A2669" s="2"/>
      <c r="B2669" s="46" t="s">
        <v>15</v>
      </c>
      <c r="C2669" s="47" t="s">
        <v>16</v>
      </c>
      <c r="D2669" s="48" t="s">
        <v>17</v>
      </c>
      <c r="E2669" s="48" t="s">
        <v>18</v>
      </c>
      <c r="F2669" s="49" t="s">
        <v>19</v>
      </c>
      <c r="G2669" s="43"/>
      <c r="H2669" s="43"/>
      <c r="I2669" s="43"/>
      <c r="J2669" s="44"/>
      <c r="K2669" s="48" t="s">
        <v>20</v>
      </c>
      <c r="L2669" s="48" t="s">
        <v>21</v>
      </c>
      <c r="M2669" s="48" t="s">
        <v>22</v>
      </c>
      <c r="N2669" s="48" t="s">
        <v>23</v>
      </c>
      <c r="O2669" s="48" t="s">
        <v>24</v>
      </c>
      <c r="P2669" s="48" t="s">
        <v>25</v>
      </c>
      <c r="Q2669" s="48" t="s">
        <v>26</v>
      </c>
      <c r="R2669" s="50" t="s">
        <v>27</v>
      </c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</row>
    <row r="2670">
      <c r="A2670" s="2"/>
      <c r="B2670" s="52">
        <v>1.0</v>
      </c>
      <c r="C2670" s="53">
        <v>1.004732303E9</v>
      </c>
      <c r="D2670" s="54">
        <v>46179.0</v>
      </c>
      <c r="E2670" s="53" t="s">
        <v>106</v>
      </c>
      <c r="F2670" s="53" t="s">
        <v>107</v>
      </c>
      <c r="G2670" s="53" t="s">
        <v>108</v>
      </c>
      <c r="H2670" s="53" t="s">
        <v>109</v>
      </c>
      <c r="I2670" s="55"/>
      <c r="J2670" s="55"/>
      <c r="K2670" s="53" t="s">
        <v>80</v>
      </c>
      <c r="L2670" s="53" t="s">
        <v>110</v>
      </c>
      <c r="M2670" s="56">
        <v>2429.0</v>
      </c>
      <c r="N2670" s="56">
        <v>482.0</v>
      </c>
      <c r="O2670" s="56">
        <v>18.28</v>
      </c>
      <c r="P2670" s="63">
        <f>N2670*O2670</f>
        <v>8810.96</v>
      </c>
      <c r="Q2670" s="56">
        <v>1025.0</v>
      </c>
      <c r="R2670" s="57">
        <v>9835.96</v>
      </c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</row>
    <row r="2671">
      <c r="A2671" s="2"/>
      <c r="B2671" s="52">
        <v>2.0</v>
      </c>
      <c r="C2671" s="59"/>
      <c r="D2671" s="60"/>
      <c r="E2671" s="59"/>
      <c r="F2671" s="59"/>
      <c r="G2671" s="59"/>
      <c r="H2671" s="59"/>
      <c r="I2671" s="61"/>
      <c r="J2671" s="61"/>
      <c r="K2671" s="59"/>
      <c r="L2671" s="59"/>
      <c r="M2671" s="59"/>
      <c r="N2671" s="59"/>
      <c r="O2671" s="59"/>
      <c r="P2671" s="61"/>
      <c r="Q2671" s="61"/>
      <c r="R2671" s="6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</row>
    <row r="2672">
      <c r="A2672" s="2"/>
      <c r="B2672" s="52">
        <v>3.0</v>
      </c>
      <c r="C2672" s="59"/>
      <c r="D2672" s="60"/>
      <c r="E2672" s="59"/>
      <c r="F2672" s="59"/>
      <c r="G2672" s="59"/>
      <c r="H2672" s="61"/>
      <c r="I2672" s="61"/>
      <c r="J2672" s="61"/>
      <c r="K2672" s="59"/>
      <c r="L2672" s="59"/>
      <c r="M2672" s="59"/>
      <c r="N2672" s="59"/>
      <c r="O2672" s="59"/>
      <c r="P2672" s="61"/>
      <c r="Q2672" s="61"/>
      <c r="R2672" s="6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</row>
    <row r="2673">
      <c r="A2673" s="2"/>
      <c r="B2673" s="52">
        <v>4.0</v>
      </c>
      <c r="C2673" s="59"/>
      <c r="D2673" s="60"/>
      <c r="E2673" s="59"/>
      <c r="F2673" s="59"/>
      <c r="G2673" s="59"/>
      <c r="H2673" s="61"/>
      <c r="I2673" s="61"/>
      <c r="J2673" s="61"/>
      <c r="K2673" s="59"/>
      <c r="L2673" s="59"/>
      <c r="M2673" s="59"/>
      <c r="N2673" s="59"/>
      <c r="O2673" s="59"/>
      <c r="P2673" s="61"/>
      <c r="Q2673" s="61"/>
      <c r="R2673" s="6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</row>
    <row r="2674">
      <c r="A2674" s="2"/>
      <c r="B2674" s="52">
        <v>5.0</v>
      </c>
      <c r="C2674" s="59"/>
      <c r="D2674" s="60"/>
      <c r="E2674" s="59"/>
      <c r="F2674" s="59"/>
      <c r="G2674" s="59"/>
      <c r="H2674" s="61"/>
      <c r="I2674" s="61"/>
      <c r="J2674" s="61"/>
      <c r="K2674" s="59"/>
      <c r="L2674" s="59"/>
      <c r="M2674" s="59"/>
      <c r="N2674" s="59"/>
      <c r="O2674" s="59"/>
      <c r="P2674" s="61"/>
      <c r="Q2674" s="61"/>
      <c r="R2674" s="6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</row>
    <row r="2675">
      <c r="A2675" s="2"/>
      <c r="B2675" s="52">
        <v>6.0</v>
      </c>
      <c r="C2675" s="59"/>
      <c r="D2675" s="60"/>
      <c r="E2675" s="59"/>
      <c r="F2675" s="59"/>
      <c r="G2675" s="61"/>
      <c r="H2675" s="61"/>
      <c r="I2675" s="61"/>
      <c r="J2675" s="61"/>
      <c r="K2675" s="59"/>
      <c r="L2675" s="59"/>
      <c r="M2675" s="59"/>
      <c r="N2675" s="59"/>
      <c r="O2675" s="59"/>
      <c r="P2675" s="61"/>
      <c r="Q2675" s="61"/>
      <c r="R2675" s="6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</row>
    <row r="2676">
      <c r="A2676" s="2"/>
      <c r="B2676" s="52">
        <v>7.0</v>
      </c>
      <c r="C2676" s="59"/>
      <c r="D2676" s="60"/>
      <c r="E2676" s="59"/>
      <c r="F2676" s="59"/>
      <c r="G2676" s="59"/>
      <c r="H2676" s="59"/>
      <c r="I2676" s="61"/>
      <c r="J2676" s="61"/>
      <c r="K2676" s="59"/>
      <c r="L2676" s="59"/>
      <c r="M2676" s="59"/>
      <c r="N2676" s="59"/>
      <c r="O2676" s="59"/>
      <c r="P2676" s="61"/>
      <c r="Q2676" s="61"/>
      <c r="R2676" s="6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</row>
    <row r="2677">
      <c r="A2677" s="2"/>
      <c r="B2677" s="52">
        <v>8.0</v>
      </c>
      <c r="C2677" s="59"/>
      <c r="D2677" s="60"/>
      <c r="E2677" s="59"/>
      <c r="F2677" s="59"/>
      <c r="G2677" s="59"/>
      <c r="H2677" s="59"/>
      <c r="I2677" s="61"/>
      <c r="J2677" s="61"/>
      <c r="K2677" s="59"/>
      <c r="L2677" s="59"/>
      <c r="M2677" s="59"/>
      <c r="N2677" s="59"/>
      <c r="O2677" s="59"/>
      <c r="P2677" s="61"/>
      <c r="Q2677" s="61"/>
      <c r="R2677" s="6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</row>
    <row r="2678">
      <c r="A2678" s="2"/>
      <c r="B2678" s="52">
        <v>9.0</v>
      </c>
      <c r="C2678" s="59"/>
      <c r="D2678" s="60"/>
      <c r="E2678" s="59"/>
      <c r="F2678" s="59"/>
      <c r="G2678" s="61"/>
      <c r="H2678" s="59"/>
      <c r="I2678" s="61"/>
      <c r="J2678" s="61"/>
      <c r="K2678" s="59"/>
      <c r="L2678" s="59"/>
      <c r="M2678" s="59"/>
      <c r="N2678" s="59"/>
      <c r="O2678" s="59"/>
      <c r="P2678" s="61"/>
      <c r="Q2678" s="59"/>
      <c r="R2678" s="6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</row>
    <row r="2679">
      <c r="A2679" s="2"/>
      <c r="B2679" s="52">
        <v>10.0</v>
      </c>
      <c r="C2679" s="59"/>
      <c r="D2679" s="60"/>
      <c r="E2679" s="59"/>
      <c r="F2679" s="59"/>
      <c r="G2679" s="61"/>
      <c r="H2679" s="61"/>
      <c r="I2679" s="61"/>
      <c r="J2679" s="61"/>
      <c r="K2679" s="59"/>
      <c r="L2679" s="59"/>
      <c r="M2679" s="59"/>
      <c r="N2679" s="59"/>
      <c r="O2679" s="59"/>
      <c r="P2679" s="61"/>
      <c r="Q2679" s="59"/>
      <c r="R2679" s="6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</row>
    <row r="2680">
      <c r="A2680" s="2"/>
      <c r="B2680" s="11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66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</row>
    <row r="2681">
      <c r="A2681" s="2"/>
      <c r="B2681" s="72" t="s">
        <v>64</v>
      </c>
      <c r="C2681" s="68"/>
      <c r="D2681" s="73" t="str">
        <f>MONEYTEXT(R2681, "INR")</f>
        <v>Nine thousand eight hundred thirty-five Indian rupees and ninety-six paise</v>
      </c>
      <c r="E2681" s="68"/>
      <c r="F2681" s="68"/>
      <c r="G2681" s="68"/>
      <c r="H2681" s="68"/>
      <c r="I2681" s="68"/>
      <c r="J2681" s="68"/>
      <c r="K2681" s="68"/>
      <c r="L2681" s="68"/>
      <c r="M2681" s="68"/>
      <c r="N2681" s="241" t="s">
        <v>65</v>
      </c>
      <c r="O2681" s="4"/>
      <c r="P2681" s="242">
        <f t="shared" ref="P2681:R2681" si="221">SUM(P2670:P2679)</f>
        <v>8810.96</v>
      </c>
      <c r="Q2681" s="242">
        <f t="shared" si="221"/>
        <v>1025</v>
      </c>
      <c r="R2681" s="242">
        <f t="shared" si="221"/>
        <v>9835.96</v>
      </c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</row>
    <row r="2682">
      <c r="A2682" s="2"/>
      <c r="B2682" s="72" t="s">
        <v>66</v>
      </c>
      <c r="C2682" s="68"/>
      <c r="D2682" s="68"/>
      <c r="E2682" s="68"/>
      <c r="F2682" s="68"/>
      <c r="G2682" s="68"/>
      <c r="H2682" s="68"/>
      <c r="I2682" s="68"/>
      <c r="J2682" s="68"/>
      <c r="K2682" s="68"/>
      <c r="L2682" s="68"/>
      <c r="M2682" s="68"/>
      <c r="N2682" s="68"/>
      <c r="O2682" s="76"/>
      <c r="P2682" s="243" t="s">
        <v>141</v>
      </c>
      <c r="Q2682" s="31"/>
      <c r="R2682" s="3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</row>
    <row r="2683">
      <c r="A2683" s="2"/>
      <c r="B2683" s="81" t="s">
        <v>68</v>
      </c>
      <c r="P2683" s="29"/>
      <c r="Q2683" s="29"/>
      <c r="R2683" s="8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</row>
    <row r="2684">
      <c r="A2684" s="2"/>
      <c r="B2684" s="81" t="s">
        <v>70</v>
      </c>
      <c r="P2684" s="29"/>
      <c r="Q2684" s="29"/>
      <c r="R2684" s="8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</row>
    <row r="2685">
      <c r="A2685" s="2"/>
      <c r="B2685" s="11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66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</row>
    <row r="2686">
      <c r="A2686" s="2"/>
      <c r="B2686" s="11"/>
      <c r="C2686" s="2"/>
      <c r="D2686" s="2"/>
      <c r="E2686" s="2"/>
      <c r="F2686" s="2"/>
      <c r="G2686" s="2"/>
      <c r="H2686" s="2"/>
      <c r="I2686" s="2"/>
      <c r="J2686" s="2"/>
      <c r="K2686" s="87" t="s">
        <v>71</v>
      </c>
      <c r="L2686" s="2"/>
      <c r="M2686" s="2"/>
      <c r="N2686" s="2"/>
      <c r="O2686" s="2"/>
      <c r="P2686" s="12" t="s">
        <v>72</v>
      </c>
      <c r="R2686" s="10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</row>
    <row r="2687">
      <c r="A2687" s="2"/>
      <c r="B2687" s="90"/>
      <c r="C2687" s="36"/>
      <c r="D2687" s="36"/>
      <c r="E2687" s="36"/>
      <c r="F2687" s="36"/>
      <c r="G2687" s="36"/>
      <c r="H2687" s="36"/>
      <c r="I2687" s="36"/>
      <c r="J2687" s="36"/>
      <c r="K2687" s="36"/>
      <c r="L2687" s="36"/>
      <c r="M2687" s="36"/>
      <c r="N2687" s="36"/>
      <c r="O2687" s="36"/>
      <c r="P2687" s="36"/>
      <c r="Q2687" s="36"/>
      <c r="R2687" s="91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</row>
    <row r="2688">
      <c r="A2688" s="2"/>
      <c r="B2688" s="177"/>
      <c r="C2688" s="177"/>
      <c r="D2688" s="177"/>
      <c r="E2688" s="177"/>
      <c r="F2688" s="177"/>
      <c r="G2688" s="177"/>
      <c r="H2688" s="177"/>
      <c r="I2688" s="177"/>
      <c r="J2688" s="177"/>
      <c r="K2688" s="177"/>
      <c r="L2688" s="177"/>
      <c r="M2688" s="177"/>
      <c r="N2688" s="177"/>
      <c r="O2688" s="177"/>
      <c r="P2688" s="177"/>
      <c r="Q2688" s="177"/>
      <c r="R2688" s="177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</row>
    <row r="2689">
      <c r="A2689" s="2"/>
      <c r="B2689" s="177"/>
      <c r="C2689" s="177"/>
      <c r="D2689" s="177"/>
      <c r="E2689" s="177"/>
      <c r="F2689" s="177"/>
      <c r="G2689" s="177"/>
      <c r="H2689" s="177"/>
      <c r="I2689" s="177"/>
      <c r="J2689" s="177"/>
      <c r="K2689" s="177"/>
      <c r="L2689" s="177"/>
      <c r="M2689" s="177"/>
      <c r="N2689" s="177"/>
      <c r="O2689" s="177"/>
      <c r="P2689" s="177"/>
      <c r="Q2689" s="177"/>
      <c r="R2689" s="177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</row>
    <row r="2690">
      <c r="A2690" s="2"/>
      <c r="B2690" s="177"/>
      <c r="C2690" s="177"/>
      <c r="D2690" s="177"/>
      <c r="E2690" s="177"/>
      <c r="F2690" s="177"/>
      <c r="G2690" s="177"/>
      <c r="H2690" s="177"/>
      <c r="I2690" s="177"/>
      <c r="J2690" s="177"/>
      <c r="K2690" s="177"/>
      <c r="L2690" s="177"/>
      <c r="M2690" s="177"/>
      <c r="N2690" s="177"/>
      <c r="O2690" s="177"/>
      <c r="P2690" s="177"/>
      <c r="Q2690" s="177"/>
      <c r="R2690" s="177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</row>
    <row r="2691">
      <c r="A2691" s="2"/>
      <c r="B2691" s="177"/>
      <c r="C2691" s="177"/>
      <c r="D2691" s="177"/>
      <c r="E2691" s="177"/>
      <c r="F2691" s="177"/>
      <c r="G2691" s="177"/>
      <c r="H2691" s="177"/>
      <c r="I2691" s="177"/>
      <c r="J2691" s="177"/>
      <c r="K2691" s="177"/>
      <c r="L2691" s="177"/>
      <c r="M2691" s="177"/>
      <c r="N2691" s="177"/>
      <c r="O2691" s="177"/>
      <c r="P2691" s="177"/>
      <c r="Q2691" s="177"/>
      <c r="R2691" s="177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</row>
    <row r="2692">
      <c r="A2692" s="2"/>
      <c r="B2692" s="176" t="s">
        <v>1</v>
      </c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5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</row>
    <row r="2693">
      <c r="A2693" s="2"/>
      <c r="B2693" s="11"/>
      <c r="F2693" s="12"/>
      <c r="G2693" s="12"/>
      <c r="I2693" s="12"/>
      <c r="J2693" s="12" t="s">
        <v>2</v>
      </c>
      <c r="N2693" s="2"/>
      <c r="R2693" s="10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</row>
    <row r="2694">
      <c r="A2694" s="2"/>
      <c r="B2694" s="14"/>
      <c r="F2694" s="12"/>
      <c r="G2694" s="12"/>
      <c r="H2694" s="12"/>
      <c r="I2694" s="12"/>
      <c r="J2694" s="12" t="s">
        <v>3</v>
      </c>
      <c r="N2694" s="2"/>
      <c r="R2694" s="10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</row>
    <row r="2695">
      <c r="A2695" s="2"/>
      <c r="B2695" s="14" t="s">
        <v>4</v>
      </c>
      <c r="R2695" s="10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</row>
    <row r="2696">
      <c r="A2696" s="2"/>
      <c r="B2696" s="21" t="s">
        <v>5</v>
      </c>
      <c r="C2696" s="22" t="s">
        <v>6</v>
      </c>
      <c r="D2696" s="4"/>
      <c r="E2696" s="4"/>
      <c r="F2696" s="4"/>
      <c r="G2696" s="4"/>
      <c r="H2696" s="4"/>
      <c r="I2696" s="4"/>
      <c r="J2696" s="4"/>
      <c r="K2696" s="5"/>
      <c r="L2696" s="23" t="s">
        <v>7</v>
      </c>
      <c r="M2696" s="244">
        <v>29.0</v>
      </c>
      <c r="N2696" s="24"/>
      <c r="O2696" s="4"/>
      <c r="P2696" s="4"/>
      <c r="Q2696" s="4"/>
      <c r="R2696" s="5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</row>
    <row r="2697">
      <c r="A2697" s="2"/>
      <c r="B2697" s="28"/>
      <c r="C2697" s="29" t="s">
        <v>8</v>
      </c>
      <c r="K2697" s="10"/>
      <c r="L2697" s="23" t="s">
        <v>9</v>
      </c>
      <c r="M2697" s="2"/>
      <c r="N2697" s="2"/>
      <c r="R2697" s="10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</row>
    <row r="2698">
      <c r="A2698" s="2"/>
      <c r="B2698" s="21" t="s">
        <v>11</v>
      </c>
      <c r="C2698" s="35" t="s">
        <v>12</v>
      </c>
      <c r="D2698" s="31"/>
      <c r="E2698" s="31"/>
      <c r="F2698" s="31"/>
      <c r="G2698" s="31"/>
      <c r="H2698" s="31"/>
      <c r="I2698" s="31"/>
      <c r="J2698" s="31"/>
      <c r="K2698" s="32"/>
      <c r="L2698" s="23" t="s">
        <v>13</v>
      </c>
      <c r="M2698" s="36"/>
      <c r="N2698" s="36"/>
      <c r="O2698" s="31"/>
      <c r="P2698" s="31"/>
      <c r="Q2698" s="31"/>
      <c r="R2698" s="3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</row>
    <row r="2699">
      <c r="A2699" s="2"/>
      <c r="B2699" s="11"/>
      <c r="R2699" s="10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</row>
    <row r="2700">
      <c r="A2700" s="2"/>
      <c r="B2700" s="46" t="s">
        <v>15</v>
      </c>
      <c r="C2700" s="47" t="s">
        <v>16</v>
      </c>
      <c r="D2700" s="48" t="s">
        <v>17</v>
      </c>
      <c r="E2700" s="48" t="s">
        <v>18</v>
      </c>
      <c r="F2700" s="49" t="s">
        <v>19</v>
      </c>
      <c r="G2700" s="43"/>
      <c r="H2700" s="43"/>
      <c r="I2700" s="43"/>
      <c r="J2700" s="44"/>
      <c r="K2700" s="48" t="s">
        <v>20</v>
      </c>
      <c r="L2700" s="48" t="s">
        <v>21</v>
      </c>
      <c r="M2700" s="48" t="s">
        <v>22</v>
      </c>
      <c r="N2700" s="48" t="s">
        <v>23</v>
      </c>
      <c r="O2700" s="48" t="s">
        <v>24</v>
      </c>
      <c r="P2700" s="48" t="s">
        <v>25</v>
      </c>
      <c r="Q2700" s="48" t="s">
        <v>26</v>
      </c>
      <c r="R2700" s="50" t="s">
        <v>27</v>
      </c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</row>
    <row r="2701">
      <c r="A2701" s="2"/>
      <c r="B2701" s="52">
        <v>1.0</v>
      </c>
      <c r="C2701" s="59">
        <v>1.004748902E9</v>
      </c>
      <c r="D2701" s="59" t="s">
        <v>189</v>
      </c>
      <c r="E2701" s="59" t="s">
        <v>35</v>
      </c>
      <c r="F2701" s="59" t="s">
        <v>36</v>
      </c>
      <c r="G2701" s="59" t="s">
        <v>40</v>
      </c>
      <c r="H2701" s="59"/>
      <c r="I2701" s="61"/>
      <c r="J2701" s="61"/>
      <c r="K2701" s="59" t="s">
        <v>38</v>
      </c>
      <c r="L2701" s="59" t="s">
        <v>96</v>
      </c>
      <c r="M2701" s="59">
        <v>3460.0</v>
      </c>
      <c r="N2701" s="59">
        <v>150.0</v>
      </c>
      <c r="O2701" s="59">
        <v>19.28</v>
      </c>
      <c r="P2701" s="61">
        <f t="shared" ref="P2701:P2710" si="222">N2701*O2701</f>
        <v>2892</v>
      </c>
      <c r="Q2701" s="59"/>
      <c r="R2701" s="240">
        <v>2892.0</v>
      </c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</row>
    <row r="2702">
      <c r="A2702" s="2"/>
      <c r="B2702" s="52">
        <v>2.0</v>
      </c>
      <c r="C2702" s="59">
        <v>1.004748908E9</v>
      </c>
      <c r="D2702" s="59" t="s">
        <v>189</v>
      </c>
      <c r="E2702" s="59" t="s">
        <v>35</v>
      </c>
      <c r="F2702" s="59" t="s">
        <v>36</v>
      </c>
      <c r="G2702" s="59" t="s">
        <v>37</v>
      </c>
      <c r="H2702" s="59"/>
      <c r="I2702" s="61"/>
      <c r="J2702" s="61"/>
      <c r="K2702" s="59" t="s">
        <v>80</v>
      </c>
      <c r="L2702" s="59" t="s">
        <v>41</v>
      </c>
      <c r="M2702" s="59">
        <v>2702.0</v>
      </c>
      <c r="N2702" s="59">
        <v>200.0</v>
      </c>
      <c r="O2702" s="59">
        <v>18.28</v>
      </c>
      <c r="P2702" s="61">
        <f t="shared" si="222"/>
        <v>3656</v>
      </c>
      <c r="Q2702" s="61"/>
      <c r="R2702" s="62">
        <f t="shared" ref="R2702:R2710" si="223">P2702+Q2702</f>
        <v>3656</v>
      </c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</row>
    <row r="2703">
      <c r="A2703" s="2"/>
      <c r="B2703" s="52">
        <v>3.0</v>
      </c>
      <c r="C2703" s="59">
        <v>1.004749574E9</v>
      </c>
      <c r="D2703" s="59" t="s">
        <v>189</v>
      </c>
      <c r="E2703" s="59" t="s">
        <v>28</v>
      </c>
      <c r="F2703" s="59" t="s">
        <v>44</v>
      </c>
      <c r="G2703" s="59" t="s">
        <v>49</v>
      </c>
      <c r="H2703" s="59" t="s">
        <v>43</v>
      </c>
      <c r="I2703" s="61"/>
      <c r="J2703" s="61"/>
      <c r="K2703" s="59" t="s">
        <v>45</v>
      </c>
      <c r="L2703" s="59" t="s">
        <v>50</v>
      </c>
      <c r="M2703" s="59">
        <v>1516.0</v>
      </c>
      <c r="N2703" s="59">
        <v>299.0</v>
      </c>
      <c r="O2703" s="59">
        <v>15.53</v>
      </c>
      <c r="P2703" s="61">
        <f t="shared" si="222"/>
        <v>4643.47</v>
      </c>
      <c r="Q2703" s="61"/>
      <c r="R2703" s="62">
        <f t="shared" si="223"/>
        <v>4643.47</v>
      </c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</row>
    <row r="2704">
      <c r="A2704" s="2"/>
      <c r="B2704" s="52">
        <v>4.0</v>
      </c>
      <c r="C2704" s="59">
        <v>1.004750222E9</v>
      </c>
      <c r="D2704" s="59" t="s">
        <v>189</v>
      </c>
      <c r="E2704" s="59" t="s">
        <v>51</v>
      </c>
      <c r="F2704" s="59" t="s">
        <v>44</v>
      </c>
      <c r="G2704" s="59" t="s">
        <v>49</v>
      </c>
      <c r="H2704" s="61"/>
      <c r="I2704" s="61"/>
      <c r="J2704" s="61"/>
      <c r="K2704" s="59" t="s">
        <v>45</v>
      </c>
      <c r="L2704" s="59" t="s">
        <v>52</v>
      </c>
      <c r="M2704" s="59">
        <v>1754.0</v>
      </c>
      <c r="N2704" s="59">
        <v>230.0</v>
      </c>
      <c r="O2704" s="59">
        <v>15.53</v>
      </c>
      <c r="P2704" s="61">
        <f t="shared" si="222"/>
        <v>3571.9</v>
      </c>
      <c r="Q2704" s="61"/>
      <c r="R2704" s="62">
        <f t="shared" si="223"/>
        <v>3571.9</v>
      </c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</row>
    <row r="2705">
      <c r="A2705" s="2"/>
      <c r="B2705" s="52">
        <v>5.0</v>
      </c>
      <c r="C2705" s="59">
        <v>1.004749826E9</v>
      </c>
      <c r="D2705" s="59" t="s">
        <v>189</v>
      </c>
      <c r="E2705" s="59" t="s">
        <v>51</v>
      </c>
      <c r="F2705" s="59" t="s">
        <v>44</v>
      </c>
      <c r="G2705" s="59"/>
      <c r="H2705" s="61"/>
      <c r="I2705" s="61"/>
      <c r="J2705" s="61"/>
      <c r="K2705" s="59" t="s">
        <v>45</v>
      </c>
      <c r="L2705" s="59" t="s">
        <v>112</v>
      </c>
      <c r="M2705" s="59">
        <v>1434.0</v>
      </c>
      <c r="N2705" s="59">
        <v>230.0</v>
      </c>
      <c r="O2705" s="59">
        <v>15.53</v>
      </c>
      <c r="P2705" s="61">
        <f t="shared" si="222"/>
        <v>3571.9</v>
      </c>
      <c r="Q2705" s="61"/>
      <c r="R2705" s="62">
        <f t="shared" si="223"/>
        <v>3571.9</v>
      </c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</row>
    <row r="2706">
      <c r="A2706" s="2"/>
      <c r="B2706" s="52">
        <v>6.0</v>
      </c>
      <c r="C2706" s="59">
        <v>1.00474974E9</v>
      </c>
      <c r="D2706" s="59" t="s">
        <v>189</v>
      </c>
      <c r="E2706" s="59" t="s">
        <v>51</v>
      </c>
      <c r="F2706" s="59" t="s">
        <v>44</v>
      </c>
      <c r="G2706" s="61"/>
      <c r="H2706" s="61"/>
      <c r="I2706" s="61"/>
      <c r="J2706" s="61"/>
      <c r="K2706" s="59" t="s">
        <v>45</v>
      </c>
      <c r="L2706" s="59" t="s">
        <v>54</v>
      </c>
      <c r="M2706" s="59">
        <v>1453.0</v>
      </c>
      <c r="N2706" s="59">
        <v>230.0</v>
      </c>
      <c r="O2706" s="59">
        <v>15.53</v>
      </c>
      <c r="P2706" s="61">
        <f t="shared" si="222"/>
        <v>3571.9</v>
      </c>
      <c r="Q2706" s="61"/>
      <c r="R2706" s="62">
        <f t="shared" si="223"/>
        <v>3571.9</v>
      </c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</row>
    <row r="2707">
      <c r="A2707" s="2"/>
      <c r="B2707" s="52">
        <v>7.0</v>
      </c>
      <c r="C2707" s="59">
        <v>1.004750423E9</v>
      </c>
      <c r="D2707" s="59" t="s">
        <v>189</v>
      </c>
      <c r="E2707" s="59" t="s">
        <v>106</v>
      </c>
      <c r="F2707" s="59" t="s">
        <v>107</v>
      </c>
      <c r="G2707" s="59" t="s">
        <v>108</v>
      </c>
      <c r="H2707" s="59"/>
      <c r="I2707" s="61"/>
      <c r="J2707" s="61"/>
      <c r="K2707" s="59" t="s">
        <v>33</v>
      </c>
      <c r="L2707" s="59" t="s">
        <v>95</v>
      </c>
      <c r="M2707" s="59">
        <v>1523.0</v>
      </c>
      <c r="N2707" s="59">
        <v>410.0</v>
      </c>
      <c r="O2707" s="59">
        <v>15.53</v>
      </c>
      <c r="P2707" s="61">
        <f t="shared" si="222"/>
        <v>6367.3</v>
      </c>
      <c r="Q2707" s="61"/>
      <c r="R2707" s="62">
        <f t="shared" si="223"/>
        <v>6367.3</v>
      </c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</row>
    <row r="2708">
      <c r="A2708" s="2"/>
      <c r="B2708" s="52">
        <v>8.0</v>
      </c>
      <c r="C2708" s="59">
        <v>1.004750419E9</v>
      </c>
      <c r="D2708" s="59" t="s">
        <v>189</v>
      </c>
      <c r="E2708" s="59" t="s">
        <v>106</v>
      </c>
      <c r="F2708" s="59" t="s">
        <v>108</v>
      </c>
      <c r="G2708" s="59" t="s">
        <v>109</v>
      </c>
      <c r="H2708" s="59"/>
      <c r="I2708" s="61"/>
      <c r="J2708" s="61"/>
      <c r="K2708" s="59" t="s">
        <v>38</v>
      </c>
      <c r="L2708" s="59" t="s">
        <v>118</v>
      </c>
      <c r="M2708" s="59">
        <v>3096.0</v>
      </c>
      <c r="N2708" s="59">
        <v>482.0</v>
      </c>
      <c r="O2708" s="59">
        <v>19.28</v>
      </c>
      <c r="P2708" s="61">
        <f t="shared" si="222"/>
        <v>9292.96</v>
      </c>
      <c r="Q2708" s="59">
        <v>1125.0</v>
      </c>
      <c r="R2708" s="62">
        <f t="shared" si="223"/>
        <v>10417.96</v>
      </c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</row>
    <row r="2709">
      <c r="A2709" s="2"/>
      <c r="B2709" s="52">
        <v>9.0</v>
      </c>
      <c r="C2709" s="59">
        <v>1.00475081E9</v>
      </c>
      <c r="D2709" s="59" t="s">
        <v>189</v>
      </c>
      <c r="E2709" s="59" t="s">
        <v>82</v>
      </c>
      <c r="F2709" s="59" t="s">
        <v>83</v>
      </c>
      <c r="G2709" s="61"/>
      <c r="H2709" s="59"/>
      <c r="I2709" s="61"/>
      <c r="J2709" s="61"/>
      <c r="K2709" s="59" t="s">
        <v>33</v>
      </c>
      <c r="L2709" s="59" t="s">
        <v>63</v>
      </c>
      <c r="M2709" s="59">
        <v>1937.0</v>
      </c>
      <c r="N2709" s="59">
        <v>122.0</v>
      </c>
      <c r="O2709" s="59">
        <v>15.53</v>
      </c>
      <c r="P2709" s="61">
        <f t="shared" si="222"/>
        <v>1894.66</v>
      </c>
      <c r="Q2709" s="59"/>
      <c r="R2709" s="62">
        <f t="shared" si="223"/>
        <v>1894.66</v>
      </c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</row>
    <row r="2710">
      <c r="A2710" s="2"/>
      <c r="B2710" s="52">
        <v>10.0</v>
      </c>
      <c r="C2710" s="59">
        <v>1.004750805E9</v>
      </c>
      <c r="D2710" s="59" t="s">
        <v>189</v>
      </c>
      <c r="E2710" s="59" t="s">
        <v>82</v>
      </c>
      <c r="F2710" s="59" t="s">
        <v>86</v>
      </c>
      <c r="G2710" s="59" t="s">
        <v>87</v>
      </c>
      <c r="H2710" s="59" t="s">
        <v>88</v>
      </c>
      <c r="I2710" s="59" t="s">
        <v>84</v>
      </c>
      <c r="J2710" s="61"/>
      <c r="K2710" s="59" t="s">
        <v>38</v>
      </c>
      <c r="L2710" s="59" t="s">
        <v>101</v>
      </c>
      <c r="M2710" s="59">
        <v>3420.0</v>
      </c>
      <c r="N2710" s="59">
        <v>484.0</v>
      </c>
      <c r="O2710" s="59">
        <v>19.28</v>
      </c>
      <c r="P2710" s="61">
        <f t="shared" si="222"/>
        <v>9331.52</v>
      </c>
      <c r="Q2710" s="59"/>
      <c r="R2710" s="62">
        <f t="shared" si="223"/>
        <v>9331.52</v>
      </c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</row>
    <row r="2711">
      <c r="A2711" s="2"/>
      <c r="B2711" s="11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66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</row>
    <row r="2712">
      <c r="A2712" s="2"/>
      <c r="B2712" s="72" t="s">
        <v>64</v>
      </c>
      <c r="C2712" s="68"/>
      <c r="D2712" s="73"/>
      <c r="E2712" s="68"/>
      <c r="F2712" s="68"/>
      <c r="G2712" s="68"/>
      <c r="H2712" s="68"/>
      <c r="I2712" s="68"/>
      <c r="J2712" s="68"/>
      <c r="K2712" s="68"/>
      <c r="L2712" s="68"/>
      <c r="M2712" s="68"/>
      <c r="N2712" s="74" t="s">
        <v>65</v>
      </c>
      <c r="O2712" s="4"/>
      <c r="P2712" s="75">
        <f t="shared" ref="P2712:R2712" si="224">SUM(P2701:P2710)</f>
        <v>48793.61</v>
      </c>
      <c r="Q2712" s="75">
        <f t="shared" si="224"/>
        <v>1125</v>
      </c>
      <c r="R2712" s="75">
        <f t="shared" si="224"/>
        <v>49918.61</v>
      </c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</row>
    <row r="2713">
      <c r="A2713" s="2"/>
      <c r="B2713" s="72" t="s">
        <v>66</v>
      </c>
      <c r="C2713" s="68"/>
      <c r="D2713" s="68"/>
      <c r="E2713" s="68"/>
      <c r="F2713" s="68"/>
      <c r="G2713" s="68"/>
      <c r="H2713" s="68"/>
      <c r="I2713" s="68"/>
      <c r="J2713" s="68"/>
      <c r="K2713" s="68"/>
      <c r="L2713" s="68"/>
      <c r="M2713" s="68"/>
      <c r="N2713" s="68"/>
      <c r="O2713" s="76"/>
      <c r="P2713" s="78" t="s">
        <v>67</v>
      </c>
      <c r="Q2713" s="31"/>
      <c r="R2713" s="3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</row>
    <row r="2714">
      <c r="A2714" s="2"/>
      <c r="B2714" s="81" t="s">
        <v>68</v>
      </c>
      <c r="P2714" s="29"/>
      <c r="Q2714" s="29"/>
      <c r="R2714" s="8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</row>
    <row r="2715">
      <c r="A2715" s="2"/>
      <c r="B2715" s="81" t="s">
        <v>70</v>
      </c>
      <c r="P2715" s="29"/>
      <c r="Q2715" s="29"/>
      <c r="R2715" s="8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</row>
    <row r="2716">
      <c r="A2716" s="2"/>
      <c r="B2716" s="11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66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</row>
    <row r="2717">
      <c r="A2717" s="2"/>
      <c r="B2717" s="11"/>
      <c r="C2717" s="2"/>
      <c r="D2717" s="2"/>
      <c r="E2717" s="2"/>
      <c r="F2717" s="2"/>
      <c r="G2717" s="2"/>
      <c r="H2717" s="2"/>
      <c r="I2717" s="2"/>
      <c r="J2717" s="2"/>
      <c r="K2717" s="87" t="s">
        <v>71</v>
      </c>
      <c r="L2717" s="2"/>
      <c r="M2717" s="2"/>
      <c r="N2717" s="2"/>
      <c r="O2717" s="2"/>
      <c r="P2717" s="12" t="s">
        <v>72</v>
      </c>
      <c r="R2717" s="10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</row>
    <row r="2718">
      <c r="A2718" s="2"/>
      <c r="B2718" s="90"/>
      <c r="C2718" s="36"/>
      <c r="D2718" s="36"/>
      <c r="E2718" s="36"/>
      <c r="F2718" s="36"/>
      <c r="G2718" s="36"/>
      <c r="H2718" s="36"/>
      <c r="I2718" s="36"/>
      <c r="J2718" s="36"/>
      <c r="K2718" s="36"/>
      <c r="L2718" s="36"/>
      <c r="M2718" s="36"/>
      <c r="N2718" s="36"/>
      <c r="O2718" s="36"/>
      <c r="P2718" s="36"/>
      <c r="Q2718" s="36"/>
      <c r="R2718" s="91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</row>
    <row r="2719">
      <c r="A2719" s="2"/>
      <c r="B2719" s="177"/>
      <c r="C2719" s="177"/>
      <c r="D2719" s="177"/>
      <c r="E2719" s="177"/>
      <c r="F2719" s="177"/>
      <c r="G2719" s="177"/>
      <c r="H2719" s="177"/>
      <c r="I2719" s="177"/>
      <c r="J2719" s="177"/>
      <c r="K2719" s="177"/>
      <c r="L2719" s="177"/>
      <c r="M2719" s="177"/>
      <c r="N2719" s="177"/>
      <c r="O2719" s="177"/>
      <c r="P2719" s="177"/>
      <c r="Q2719" s="177"/>
      <c r="R2719" s="177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</row>
    <row r="2720">
      <c r="A2720" s="2"/>
      <c r="B2720" s="177"/>
      <c r="C2720" s="177"/>
      <c r="D2720" s="177"/>
      <c r="E2720" s="177"/>
      <c r="F2720" s="177"/>
      <c r="G2720" s="177"/>
      <c r="H2720" s="177"/>
      <c r="I2720" s="177"/>
      <c r="J2720" s="177"/>
      <c r="K2720" s="177"/>
      <c r="L2720" s="177"/>
      <c r="M2720" s="177"/>
      <c r="N2720" s="177"/>
      <c r="O2720" s="177"/>
      <c r="P2720" s="177"/>
      <c r="Q2720" s="177"/>
      <c r="R2720" s="177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</row>
    <row r="2721">
      <c r="A2721" s="2"/>
      <c r="B2721" s="177"/>
      <c r="C2721" s="177"/>
      <c r="D2721" s="177"/>
      <c r="E2721" s="177"/>
      <c r="F2721" s="177"/>
      <c r="G2721" s="177"/>
      <c r="H2721" s="177"/>
      <c r="I2721" s="177"/>
      <c r="J2721" s="177"/>
      <c r="K2721" s="177"/>
      <c r="L2721" s="177"/>
      <c r="M2721" s="177"/>
      <c r="N2721" s="177"/>
      <c r="O2721" s="177"/>
      <c r="P2721" s="177"/>
      <c r="Q2721" s="177"/>
      <c r="R2721" s="177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</row>
    <row r="2722">
      <c r="A2722" s="2"/>
      <c r="B2722" s="177"/>
      <c r="C2722" s="177"/>
      <c r="D2722" s="177"/>
      <c r="E2722" s="177"/>
      <c r="F2722" s="177"/>
      <c r="G2722" s="177"/>
      <c r="H2722" s="177"/>
      <c r="I2722" s="177"/>
      <c r="J2722" s="177"/>
      <c r="K2722" s="177"/>
      <c r="L2722" s="177"/>
      <c r="M2722" s="177"/>
      <c r="N2722" s="177"/>
      <c r="O2722" s="177"/>
      <c r="P2722" s="177"/>
      <c r="Q2722" s="177"/>
      <c r="R2722" s="177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</row>
    <row r="2723">
      <c r="A2723" s="2"/>
      <c r="B2723" s="176" t="s">
        <v>1</v>
      </c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5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</row>
    <row r="2724">
      <c r="A2724" s="2"/>
      <c r="B2724" s="11"/>
      <c r="F2724" s="12"/>
      <c r="G2724" s="12"/>
      <c r="I2724" s="12"/>
      <c r="J2724" s="12" t="s">
        <v>2</v>
      </c>
      <c r="N2724" s="2"/>
      <c r="R2724" s="10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</row>
    <row r="2725">
      <c r="A2725" s="2"/>
      <c r="B2725" s="14"/>
      <c r="F2725" s="12"/>
      <c r="G2725" s="12"/>
      <c r="H2725" s="12"/>
      <c r="I2725" s="12"/>
      <c r="J2725" s="12" t="s">
        <v>3</v>
      </c>
      <c r="N2725" s="2"/>
      <c r="R2725" s="10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</row>
    <row r="2726">
      <c r="A2726" s="2"/>
      <c r="B2726" s="14" t="s">
        <v>4</v>
      </c>
      <c r="R2726" s="10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</row>
    <row r="2727">
      <c r="A2727" s="2"/>
      <c r="B2727" s="21" t="s">
        <v>5</v>
      </c>
      <c r="C2727" s="22" t="s">
        <v>6</v>
      </c>
      <c r="D2727" s="4"/>
      <c r="E2727" s="4"/>
      <c r="F2727" s="4"/>
      <c r="G2727" s="4"/>
      <c r="H2727" s="4"/>
      <c r="I2727" s="4"/>
      <c r="J2727" s="4"/>
      <c r="K2727" s="5"/>
      <c r="L2727" s="23" t="s">
        <v>7</v>
      </c>
      <c r="M2727" s="87">
        <v>30.0</v>
      </c>
      <c r="N2727" s="24"/>
      <c r="O2727" s="4"/>
      <c r="P2727" s="4"/>
      <c r="Q2727" s="4"/>
      <c r="R2727" s="5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</row>
    <row r="2728">
      <c r="A2728" s="2"/>
      <c r="B2728" s="28"/>
      <c r="C2728" s="29" t="s">
        <v>8</v>
      </c>
      <c r="K2728" s="10"/>
      <c r="L2728" s="23" t="s">
        <v>9</v>
      </c>
      <c r="M2728" s="2"/>
      <c r="N2728" s="2"/>
      <c r="R2728" s="10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</row>
    <row r="2729">
      <c r="A2729" s="2"/>
      <c r="B2729" s="21" t="s">
        <v>11</v>
      </c>
      <c r="C2729" s="35" t="s">
        <v>12</v>
      </c>
      <c r="D2729" s="31"/>
      <c r="E2729" s="31"/>
      <c r="F2729" s="31"/>
      <c r="G2729" s="31"/>
      <c r="H2729" s="31"/>
      <c r="I2729" s="31"/>
      <c r="J2729" s="31"/>
      <c r="K2729" s="32"/>
      <c r="L2729" s="23" t="s">
        <v>13</v>
      </c>
      <c r="M2729" s="36"/>
      <c r="N2729" s="36"/>
      <c r="O2729" s="31"/>
      <c r="P2729" s="31"/>
      <c r="Q2729" s="31"/>
      <c r="R2729" s="3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</row>
    <row r="2730">
      <c r="A2730" s="2"/>
      <c r="B2730" s="11"/>
      <c r="R2730" s="10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</row>
    <row r="2731">
      <c r="A2731" s="2"/>
      <c r="B2731" s="46" t="s">
        <v>15</v>
      </c>
      <c r="C2731" s="47" t="s">
        <v>16</v>
      </c>
      <c r="D2731" s="48" t="s">
        <v>17</v>
      </c>
      <c r="E2731" s="48" t="s">
        <v>18</v>
      </c>
      <c r="F2731" s="49" t="s">
        <v>19</v>
      </c>
      <c r="G2731" s="43"/>
      <c r="H2731" s="43"/>
      <c r="I2731" s="43"/>
      <c r="J2731" s="44"/>
      <c r="K2731" s="48" t="s">
        <v>20</v>
      </c>
      <c r="L2731" s="48" t="s">
        <v>21</v>
      </c>
      <c r="M2731" s="48" t="s">
        <v>22</v>
      </c>
      <c r="N2731" s="48" t="s">
        <v>23</v>
      </c>
      <c r="O2731" s="48" t="s">
        <v>24</v>
      </c>
      <c r="P2731" s="48" t="s">
        <v>25</v>
      </c>
      <c r="Q2731" s="48" t="s">
        <v>26</v>
      </c>
      <c r="R2731" s="50" t="s">
        <v>27</v>
      </c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</row>
    <row r="2732">
      <c r="A2732" s="2"/>
      <c r="B2732" s="52">
        <v>1.0</v>
      </c>
      <c r="C2732" s="59">
        <v>1.004750733E9</v>
      </c>
      <c r="D2732" s="59" t="s">
        <v>189</v>
      </c>
      <c r="E2732" s="59" t="s">
        <v>90</v>
      </c>
      <c r="F2732" s="59" t="s">
        <v>91</v>
      </c>
      <c r="G2732" s="59" t="s">
        <v>92</v>
      </c>
      <c r="H2732" s="59" t="s">
        <v>93</v>
      </c>
      <c r="I2732" s="59" t="s">
        <v>94</v>
      </c>
      <c r="J2732" s="61"/>
      <c r="K2732" s="59" t="s">
        <v>38</v>
      </c>
      <c r="L2732" s="59" t="s">
        <v>102</v>
      </c>
      <c r="M2732" s="59">
        <v>3524.0</v>
      </c>
      <c r="N2732" s="59">
        <v>405.0</v>
      </c>
      <c r="O2732" s="59">
        <v>19.28</v>
      </c>
      <c r="P2732" s="61">
        <f t="shared" ref="P2732:P2741" si="225">N2732*O2732</f>
        <v>7808.4</v>
      </c>
      <c r="Q2732" s="59">
        <v>500.0</v>
      </c>
      <c r="R2732" s="240">
        <v>7808.4</v>
      </c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</row>
    <row r="2733">
      <c r="A2733" s="2"/>
      <c r="B2733" s="52">
        <v>2.0</v>
      </c>
      <c r="C2733" s="59">
        <v>1.004750655E9</v>
      </c>
      <c r="D2733" s="59" t="s">
        <v>189</v>
      </c>
      <c r="E2733" s="59" t="s">
        <v>55</v>
      </c>
      <c r="F2733" s="59" t="s">
        <v>57</v>
      </c>
      <c r="G2733" s="59" t="s">
        <v>59</v>
      </c>
      <c r="H2733" s="59"/>
      <c r="I2733" s="61"/>
      <c r="J2733" s="61"/>
      <c r="K2733" s="59" t="s">
        <v>33</v>
      </c>
      <c r="L2733" s="59" t="s">
        <v>104</v>
      </c>
      <c r="M2733" s="59">
        <v>1899.0</v>
      </c>
      <c r="N2733" s="59">
        <v>418.0</v>
      </c>
      <c r="O2733" s="59">
        <v>15.53</v>
      </c>
      <c r="P2733" s="61">
        <f t="shared" si="225"/>
        <v>6491.54</v>
      </c>
      <c r="Q2733" s="61"/>
      <c r="R2733" s="62">
        <f t="shared" ref="R2733:R2741" si="226">P2733+Q2733</f>
        <v>6491.54</v>
      </c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</row>
    <row r="2734">
      <c r="A2734" s="2"/>
      <c r="B2734" s="52">
        <v>3.0</v>
      </c>
      <c r="C2734" s="59">
        <v>1.004750641E9</v>
      </c>
      <c r="D2734" s="59" t="s">
        <v>189</v>
      </c>
      <c r="E2734" s="59" t="s">
        <v>55</v>
      </c>
      <c r="F2734" s="59" t="s">
        <v>58</v>
      </c>
      <c r="G2734" s="59" t="s">
        <v>59</v>
      </c>
      <c r="H2734" s="59" t="s">
        <v>103</v>
      </c>
      <c r="I2734" s="61"/>
      <c r="J2734" s="61"/>
      <c r="K2734" s="59" t="s">
        <v>38</v>
      </c>
      <c r="L2734" s="59" t="s">
        <v>105</v>
      </c>
      <c r="M2734" s="59">
        <v>3066.0</v>
      </c>
      <c r="N2734" s="59">
        <v>568.0</v>
      </c>
      <c r="O2734" s="59">
        <v>19.28</v>
      </c>
      <c r="P2734" s="61">
        <f t="shared" si="225"/>
        <v>10951.04</v>
      </c>
      <c r="Q2734" s="61"/>
      <c r="R2734" s="62">
        <f t="shared" si="226"/>
        <v>10951.04</v>
      </c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</row>
    <row r="2735">
      <c r="A2735" s="2"/>
      <c r="B2735" s="52">
        <v>4.0</v>
      </c>
      <c r="C2735" s="59">
        <v>1.004750634E9</v>
      </c>
      <c r="D2735" s="59" t="s">
        <v>189</v>
      </c>
      <c r="E2735" s="59" t="s">
        <v>55</v>
      </c>
      <c r="F2735" s="59" t="s">
        <v>56</v>
      </c>
      <c r="G2735" s="59" t="s">
        <v>103</v>
      </c>
      <c r="H2735" s="59" t="s">
        <v>58</v>
      </c>
      <c r="I2735" s="61"/>
      <c r="J2735" s="61"/>
      <c r="K2735" s="59" t="s">
        <v>38</v>
      </c>
      <c r="L2735" s="59" t="s">
        <v>60</v>
      </c>
      <c r="M2735" s="59">
        <v>3092.0</v>
      </c>
      <c r="N2735" s="59">
        <v>572.0</v>
      </c>
      <c r="O2735" s="59">
        <v>19.28</v>
      </c>
      <c r="P2735" s="61">
        <f t="shared" si="225"/>
        <v>11028.16</v>
      </c>
      <c r="Q2735" s="59">
        <v>330.0</v>
      </c>
      <c r="R2735" s="62">
        <f t="shared" si="226"/>
        <v>11358.16</v>
      </c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</row>
    <row r="2736">
      <c r="A2736" s="2"/>
      <c r="B2736" s="52">
        <v>5.0</v>
      </c>
      <c r="C2736" s="59">
        <v>1.004751528E9</v>
      </c>
      <c r="D2736" s="59" t="s">
        <v>178</v>
      </c>
      <c r="E2736" s="59" t="s">
        <v>28</v>
      </c>
      <c r="F2736" s="59" t="s">
        <v>29</v>
      </c>
      <c r="G2736" s="59" t="s">
        <v>30</v>
      </c>
      <c r="H2736" s="59" t="s">
        <v>31</v>
      </c>
      <c r="I2736" s="59" t="s">
        <v>32</v>
      </c>
      <c r="J2736" s="61"/>
      <c r="K2736" s="59" t="s">
        <v>38</v>
      </c>
      <c r="L2736" s="59" t="s">
        <v>34</v>
      </c>
      <c r="M2736" s="59">
        <v>3644.0</v>
      </c>
      <c r="N2736" s="59">
        <v>246.0</v>
      </c>
      <c r="O2736" s="59">
        <v>19.28</v>
      </c>
      <c r="P2736" s="61">
        <f t="shared" si="225"/>
        <v>4742.88</v>
      </c>
      <c r="Q2736" s="61"/>
      <c r="R2736" s="62">
        <f t="shared" si="226"/>
        <v>4742.88</v>
      </c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</row>
    <row r="2737">
      <c r="A2737" s="2"/>
      <c r="B2737" s="52">
        <v>6.0</v>
      </c>
      <c r="C2737" s="59">
        <v>1.004751554E9</v>
      </c>
      <c r="D2737" s="59" t="s">
        <v>178</v>
      </c>
      <c r="E2737" s="59" t="s">
        <v>35</v>
      </c>
      <c r="F2737" s="59" t="s">
        <v>36</v>
      </c>
      <c r="G2737" s="59" t="s">
        <v>40</v>
      </c>
      <c r="H2737" s="61"/>
      <c r="I2737" s="61"/>
      <c r="J2737" s="61"/>
      <c r="K2737" s="59" t="s">
        <v>38</v>
      </c>
      <c r="L2737" s="59" t="s">
        <v>96</v>
      </c>
      <c r="M2737" s="59">
        <v>3438.0</v>
      </c>
      <c r="N2737" s="59">
        <v>150.0</v>
      </c>
      <c r="O2737" s="59">
        <v>19.28</v>
      </c>
      <c r="P2737" s="61">
        <f t="shared" si="225"/>
        <v>2892</v>
      </c>
      <c r="Q2737" s="61"/>
      <c r="R2737" s="62">
        <f t="shared" si="226"/>
        <v>2892</v>
      </c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</row>
    <row r="2738">
      <c r="A2738" s="2"/>
      <c r="B2738" s="52">
        <v>7.0</v>
      </c>
      <c r="C2738" s="59">
        <v>1.004751563E9</v>
      </c>
      <c r="D2738" s="59" t="s">
        <v>178</v>
      </c>
      <c r="E2738" s="59" t="s">
        <v>35</v>
      </c>
      <c r="F2738" s="59" t="s">
        <v>36</v>
      </c>
      <c r="G2738" s="59"/>
      <c r="H2738" s="59"/>
      <c r="I2738" s="61"/>
      <c r="J2738" s="61"/>
      <c r="K2738" s="59" t="s">
        <v>33</v>
      </c>
      <c r="L2738" s="59" t="s">
        <v>41</v>
      </c>
      <c r="M2738" s="59">
        <v>1819.0</v>
      </c>
      <c r="N2738" s="59">
        <v>130.0</v>
      </c>
      <c r="O2738" s="59">
        <v>15.53</v>
      </c>
      <c r="P2738" s="61">
        <f t="shared" si="225"/>
        <v>2018.9</v>
      </c>
      <c r="Q2738" s="61"/>
      <c r="R2738" s="62">
        <f t="shared" si="226"/>
        <v>2018.9</v>
      </c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</row>
    <row r="2739">
      <c r="A2739" s="2"/>
      <c r="B2739" s="52">
        <v>8.0</v>
      </c>
      <c r="C2739" s="59">
        <v>1.004751543E9</v>
      </c>
      <c r="D2739" s="59" t="s">
        <v>178</v>
      </c>
      <c r="E2739" s="59" t="s">
        <v>35</v>
      </c>
      <c r="F2739" s="59" t="s">
        <v>37</v>
      </c>
      <c r="G2739" s="59" t="s">
        <v>36</v>
      </c>
      <c r="H2739" s="59"/>
      <c r="I2739" s="61"/>
      <c r="J2739" s="61"/>
      <c r="K2739" s="59" t="s">
        <v>38</v>
      </c>
      <c r="L2739" s="59" t="s">
        <v>97</v>
      </c>
      <c r="M2739" s="59">
        <v>3421.0</v>
      </c>
      <c r="N2739" s="59">
        <v>200.0</v>
      </c>
      <c r="O2739" s="59">
        <v>19.28</v>
      </c>
      <c r="P2739" s="61">
        <f t="shared" si="225"/>
        <v>3856</v>
      </c>
      <c r="Q2739" s="61"/>
      <c r="R2739" s="62">
        <f t="shared" si="226"/>
        <v>3856</v>
      </c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</row>
    <row r="2740">
      <c r="A2740" s="2"/>
      <c r="B2740" s="52">
        <v>9.0</v>
      </c>
      <c r="C2740" s="59">
        <v>1.004752027E9</v>
      </c>
      <c r="D2740" s="59" t="s">
        <v>178</v>
      </c>
      <c r="E2740" s="59" t="s">
        <v>42</v>
      </c>
      <c r="F2740" s="59" t="s">
        <v>43</v>
      </c>
      <c r="G2740" s="59" t="s">
        <v>44</v>
      </c>
      <c r="H2740" s="59" t="s">
        <v>49</v>
      </c>
      <c r="I2740" s="61"/>
      <c r="J2740" s="61"/>
      <c r="K2740" s="59" t="s">
        <v>45</v>
      </c>
      <c r="L2740" s="59" t="s">
        <v>98</v>
      </c>
      <c r="M2740" s="59">
        <v>1629.0</v>
      </c>
      <c r="N2740" s="59">
        <v>299.0</v>
      </c>
      <c r="O2740" s="59">
        <v>15.53</v>
      </c>
      <c r="P2740" s="61">
        <f t="shared" si="225"/>
        <v>4643.47</v>
      </c>
      <c r="Q2740" s="59"/>
      <c r="R2740" s="62">
        <f t="shared" si="226"/>
        <v>4643.47</v>
      </c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</row>
    <row r="2741">
      <c r="A2741" s="2"/>
      <c r="B2741" s="52">
        <v>10.0</v>
      </c>
      <c r="C2741" s="59">
        <v>1.004752036E9</v>
      </c>
      <c r="D2741" s="59" t="s">
        <v>178</v>
      </c>
      <c r="E2741" s="59" t="s">
        <v>47</v>
      </c>
      <c r="F2741" s="59" t="s">
        <v>44</v>
      </c>
      <c r="G2741" s="61"/>
      <c r="H2741" s="61"/>
      <c r="I2741" s="61"/>
      <c r="J2741" s="61"/>
      <c r="K2741" s="59" t="s">
        <v>45</v>
      </c>
      <c r="L2741" s="59" t="s">
        <v>50</v>
      </c>
      <c r="M2741" s="59">
        <v>1626.0</v>
      </c>
      <c r="N2741" s="59">
        <v>250.0</v>
      </c>
      <c r="O2741" s="59">
        <v>15.53</v>
      </c>
      <c r="P2741" s="61">
        <f t="shared" si="225"/>
        <v>3882.5</v>
      </c>
      <c r="Q2741" s="59"/>
      <c r="R2741" s="62">
        <f t="shared" si="226"/>
        <v>3882.5</v>
      </c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</row>
    <row r="2742">
      <c r="A2742" s="2"/>
      <c r="B2742" s="11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66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</row>
    <row r="2743">
      <c r="A2743" s="2"/>
      <c r="B2743" s="72" t="s">
        <v>64</v>
      </c>
      <c r="C2743" s="68"/>
      <c r="D2743" s="73" t="str">
        <f>MONEYTEXT(R2743, "INR")</f>
        <v>Fifty-eight thousand six hundred forty-four Indian rupees and eighty-nine paise</v>
      </c>
      <c r="E2743" s="68"/>
      <c r="F2743" s="68"/>
      <c r="G2743" s="68"/>
      <c r="H2743" s="68"/>
      <c r="I2743" s="68"/>
      <c r="J2743" s="68"/>
      <c r="K2743" s="68"/>
      <c r="L2743" s="68"/>
      <c r="M2743" s="68"/>
      <c r="N2743" s="74" t="s">
        <v>65</v>
      </c>
      <c r="O2743" s="4"/>
      <c r="P2743" s="75">
        <f t="shared" ref="P2743:R2743" si="227">SUM(P2732:P2741)</f>
        <v>58314.89</v>
      </c>
      <c r="Q2743" s="75">
        <f t="shared" si="227"/>
        <v>830</v>
      </c>
      <c r="R2743" s="75">
        <f t="shared" si="227"/>
        <v>58644.89</v>
      </c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</row>
    <row r="2744">
      <c r="A2744" s="2"/>
      <c r="B2744" s="72" t="s">
        <v>66</v>
      </c>
      <c r="C2744" s="68"/>
      <c r="D2744" s="68"/>
      <c r="E2744" s="68"/>
      <c r="F2744" s="68"/>
      <c r="G2744" s="68"/>
      <c r="H2744" s="68"/>
      <c r="I2744" s="68"/>
      <c r="J2744" s="68"/>
      <c r="K2744" s="68"/>
      <c r="L2744" s="68"/>
      <c r="M2744" s="68"/>
      <c r="N2744" s="68"/>
      <c r="O2744" s="76"/>
      <c r="P2744" s="78" t="s">
        <v>67</v>
      </c>
      <c r="Q2744" s="31"/>
      <c r="R2744" s="3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</row>
    <row r="2745">
      <c r="A2745" s="2"/>
      <c r="B2745" s="81" t="s">
        <v>68</v>
      </c>
      <c r="P2745" s="29"/>
      <c r="Q2745" s="29"/>
      <c r="R2745" s="8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</row>
    <row r="2746">
      <c r="A2746" s="2"/>
      <c r="B2746" s="81" t="s">
        <v>70</v>
      </c>
      <c r="P2746" s="29"/>
      <c r="Q2746" s="29"/>
      <c r="R2746" s="8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</row>
    <row r="2747">
      <c r="A2747" s="2"/>
      <c r="B2747" s="11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66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</row>
    <row r="2748">
      <c r="A2748" s="2"/>
      <c r="B2748" s="11"/>
      <c r="C2748" s="2"/>
      <c r="D2748" s="2"/>
      <c r="E2748" s="2"/>
      <c r="F2748" s="2"/>
      <c r="G2748" s="2"/>
      <c r="H2748" s="2"/>
      <c r="I2748" s="2"/>
      <c r="J2748" s="2"/>
      <c r="K2748" s="87" t="s">
        <v>71</v>
      </c>
      <c r="L2748" s="2"/>
      <c r="M2748" s="2"/>
      <c r="N2748" s="2"/>
      <c r="O2748" s="2"/>
      <c r="P2748" s="12" t="s">
        <v>72</v>
      </c>
      <c r="R2748" s="10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</row>
    <row r="2749">
      <c r="A2749" s="2"/>
      <c r="B2749" s="90"/>
      <c r="C2749" s="36"/>
      <c r="D2749" s="36"/>
      <c r="E2749" s="36"/>
      <c r="F2749" s="36"/>
      <c r="G2749" s="36"/>
      <c r="H2749" s="36"/>
      <c r="I2749" s="36"/>
      <c r="J2749" s="36"/>
      <c r="K2749" s="36"/>
      <c r="L2749" s="36"/>
      <c r="M2749" s="36"/>
      <c r="N2749" s="36"/>
      <c r="O2749" s="36"/>
      <c r="P2749" s="36"/>
      <c r="Q2749" s="36"/>
      <c r="R2749" s="91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</row>
    <row r="2750">
      <c r="A2750" s="2"/>
      <c r="B2750" s="177"/>
      <c r="C2750" s="177"/>
      <c r="D2750" s="177"/>
      <c r="E2750" s="177"/>
      <c r="F2750" s="177"/>
      <c r="G2750" s="177"/>
      <c r="H2750" s="177"/>
      <c r="I2750" s="177"/>
      <c r="J2750" s="177"/>
      <c r="K2750" s="177"/>
      <c r="L2750" s="177"/>
      <c r="M2750" s="177"/>
      <c r="N2750" s="177"/>
      <c r="O2750" s="177"/>
      <c r="P2750" s="177"/>
      <c r="Q2750" s="177"/>
      <c r="R2750" s="177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</row>
    <row r="2751">
      <c r="A2751" s="2"/>
      <c r="B2751" s="177"/>
      <c r="C2751" s="177"/>
      <c r="D2751" s="177"/>
      <c r="E2751" s="177"/>
      <c r="F2751" s="177"/>
      <c r="G2751" s="177"/>
      <c r="H2751" s="177"/>
      <c r="I2751" s="177"/>
      <c r="J2751" s="177"/>
      <c r="K2751" s="177"/>
      <c r="L2751" s="177"/>
      <c r="M2751" s="177"/>
      <c r="N2751" s="177"/>
      <c r="O2751" s="177"/>
      <c r="P2751" s="177"/>
      <c r="Q2751" s="177"/>
      <c r="R2751" s="177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</row>
    <row r="2752">
      <c r="A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</row>
    <row r="2753">
      <c r="A2753" s="177"/>
      <c r="B2753" s="177"/>
      <c r="C2753" s="177"/>
      <c r="D2753" s="177"/>
      <c r="E2753" s="177"/>
      <c r="F2753" s="177"/>
      <c r="G2753" s="177"/>
      <c r="H2753" s="177"/>
      <c r="I2753" s="177"/>
      <c r="J2753" s="177"/>
      <c r="K2753" s="177"/>
      <c r="L2753" s="177"/>
      <c r="M2753" s="177"/>
      <c r="N2753" s="177"/>
      <c r="O2753" s="177"/>
      <c r="P2753" s="177"/>
      <c r="Q2753" s="177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</row>
    <row r="2754">
      <c r="A2754" s="177"/>
      <c r="B2754" s="177"/>
      <c r="C2754" s="177"/>
      <c r="D2754" s="177"/>
      <c r="E2754" s="177"/>
      <c r="F2754" s="177"/>
      <c r="G2754" s="177"/>
      <c r="H2754" s="177"/>
      <c r="I2754" s="177"/>
      <c r="J2754" s="177"/>
      <c r="K2754" s="177"/>
      <c r="L2754" s="177"/>
      <c r="M2754" s="177"/>
      <c r="N2754" s="177"/>
      <c r="O2754" s="177"/>
      <c r="P2754" s="177"/>
      <c r="Q2754" s="177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</row>
    <row r="2755">
      <c r="A2755" s="176" t="s">
        <v>1</v>
      </c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5"/>
      <c r="R2755" s="66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</row>
    <row r="2756">
      <c r="A2756" s="2"/>
      <c r="B2756" s="14"/>
      <c r="F2756" s="12"/>
      <c r="G2756" s="12"/>
      <c r="H2756" s="12"/>
      <c r="I2756" s="12"/>
      <c r="J2756" s="12" t="s">
        <v>3</v>
      </c>
      <c r="N2756" s="2"/>
      <c r="R2756" s="10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</row>
    <row r="2757">
      <c r="A2757" s="2"/>
      <c r="B2757" s="14" t="s">
        <v>4</v>
      </c>
      <c r="R2757" s="10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</row>
    <row r="2758">
      <c r="A2758" s="2"/>
      <c r="B2758" s="21" t="s">
        <v>5</v>
      </c>
      <c r="C2758" s="22" t="s">
        <v>6</v>
      </c>
      <c r="D2758" s="4"/>
      <c r="E2758" s="4"/>
      <c r="F2758" s="4"/>
      <c r="G2758" s="4"/>
      <c r="H2758" s="4"/>
      <c r="I2758" s="4"/>
      <c r="J2758" s="4"/>
      <c r="K2758" s="5"/>
      <c r="L2758" s="23" t="s">
        <v>7</v>
      </c>
      <c r="M2758" s="87">
        <v>31.0</v>
      </c>
      <c r="N2758" s="24"/>
      <c r="O2758" s="4"/>
      <c r="P2758" s="4"/>
      <c r="Q2758" s="4"/>
      <c r="R2758" s="5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</row>
    <row r="2759">
      <c r="A2759" s="2"/>
      <c r="B2759" s="28"/>
      <c r="C2759" s="29" t="s">
        <v>8</v>
      </c>
      <c r="K2759" s="10"/>
      <c r="L2759" s="23" t="s">
        <v>9</v>
      </c>
      <c r="M2759" s="2"/>
      <c r="N2759" s="2"/>
      <c r="R2759" s="10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</row>
    <row r="2760">
      <c r="A2760" s="2"/>
      <c r="B2760" s="21" t="s">
        <v>11</v>
      </c>
      <c r="C2760" s="35" t="s">
        <v>12</v>
      </c>
      <c r="D2760" s="31"/>
      <c r="E2760" s="31"/>
      <c r="F2760" s="31"/>
      <c r="G2760" s="31"/>
      <c r="H2760" s="31"/>
      <c r="I2760" s="31"/>
      <c r="J2760" s="31"/>
      <c r="K2760" s="32"/>
      <c r="L2760" s="23" t="s">
        <v>13</v>
      </c>
      <c r="M2760" s="36"/>
      <c r="N2760" s="36"/>
      <c r="O2760" s="31"/>
      <c r="P2760" s="31"/>
      <c r="Q2760" s="31"/>
      <c r="R2760" s="3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</row>
    <row r="2761">
      <c r="A2761" s="2"/>
      <c r="B2761" s="11"/>
      <c r="R2761" s="10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</row>
    <row r="2762">
      <c r="A2762" s="2"/>
      <c r="B2762" s="46" t="s">
        <v>15</v>
      </c>
      <c r="C2762" s="47" t="s">
        <v>16</v>
      </c>
      <c r="D2762" s="48" t="s">
        <v>17</v>
      </c>
      <c r="E2762" s="48" t="s">
        <v>18</v>
      </c>
      <c r="F2762" s="49" t="s">
        <v>19</v>
      </c>
      <c r="G2762" s="43"/>
      <c r="H2762" s="43"/>
      <c r="I2762" s="43"/>
      <c r="J2762" s="44"/>
      <c r="K2762" s="48" t="s">
        <v>20</v>
      </c>
      <c r="L2762" s="48" t="s">
        <v>21</v>
      </c>
      <c r="M2762" s="48" t="s">
        <v>22</v>
      </c>
      <c r="N2762" s="48" t="s">
        <v>23</v>
      </c>
      <c r="O2762" s="48" t="s">
        <v>24</v>
      </c>
      <c r="P2762" s="48" t="s">
        <v>25</v>
      </c>
      <c r="Q2762" s="48" t="s">
        <v>26</v>
      </c>
      <c r="R2762" s="50" t="s">
        <v>27</v>
      </c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</row>
    <row r="2763">
      <c r="A2763" s="2"/>
      <c r="B2763" s="52">
        <v>1.0</v>
      </c>
      <c r="C2763" s="59">
        <v>1.004752778E9</v>
      </c>
      <c r="D2763" s="59" t="s">
        <v>178</v>
      </c>
      <c r="E2763" s="59" t="s">
        <v>51</v>
      </c>
      <c r="F2763" s="59" t="s">
        <v>44</v>
      </c>
      <c r="G2763" s="59" t="s">
        <v>49</v>
      </c>
      <c r="H2763" s="59"/>
      <c r="I2763" s="61"/>
      <c r="J2763" s="61"/>
      <c r="K2763" s="59" t="s">
        <v>45</v>
      </c>
      <c r="L2763" s="59" t="s">
        <v>52</v>
      </c>
      <c r="M2763" s="59">
        <v>1315.0</v>
      </c>
      <c r="N2763" s="59">
        <v>230.0</v>
      </c>
      <c r="O2763" s="59">
        <v>15.53</v>
      </c>
      <c r="P2763" s="61">
        <f t="shared" ref="P2763:P2772" si="228">N2763*O2763</f>
        <v>3571.9</v>
      </c>
      <c r="Q2763" s="59"/>
      <c r="R2763" s="240">
        <v>3571.9</v>
      </c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</row>
    <row r="2764">
      <c r="A2764" s="2"/>
      <c r="B2764" s="52">
        <v>2.0</v>
      </c>
      <c r="C2764" s="59">
        <v>1.004752251E9</v>
      </c>
      <c r="D2764" s="59" t="s">
        <v>178</v>
      </c>
      <c r="E2764" s="59" t="s">
        <v>51</v>
      </c>
      <c r="F2764" s="59" t="s">
        <v>44</v>
      </c>
      <c r="G2764" s="59"/>
      <c r="H2764" s="59"/>
      <c r="I2764" s="61"/>
      <c r="J2764" s="61"/>
      <c r="K2764" s="59" t="s">
        <v>45</v>
      </c>
      <c r="L2764" s="59" t="s">
        <v>54</v>
      </c>
      <c r="M2764" s="59">
        <v>1864.0</v>
      </c>
      <c r="N2764" s="59">
        <v>230.0</v>
      </c>
      <c r="O2764" s="59">
        <v>15.53</v>
      </c>
      <c r="P2764" s="61">
        <f t="shared" si="228"/>
        <v>3571.9</v>
      </c>
      <c r="Q2764" s="61"/>
      <c r="R2764" s="62">
        <f t="shared" ref="R2764:R2772" si="229">P2764+Q2764</f>
        <v>3571.9</v>
      </c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</row>
    <row r="2765">
      <c r="A2765" s="2"/>
      <c r="B2765" s="52">
        <v>3.0</v>
      </c>
      <c r="C2765" s="59">
        <v>1.004752921E9</v>
      </c>
      <c r="D2765" s="59" t="s">
        <v>178</v>
      </c>
      <c r="E2765" s="59" t="s">
        <v>61</v>
      </c>
      <c r="F2765" s="59" t="s">
        <v>74</v>
      </c>
      <c r="G2765" s="59" t="s">
        <v>62</v>
      </c>
      <c r="H2765" s="61"/>
      <c r="I2765" s="61"/>
      <c r="J2765" s="61"/>
      <c r="K2765" s="59" t="s">
        <v>33</v>
      </c>
      <c r="L2765" s="59" t="s">
        <v>76</v>
      </c>
      <c r="M2765" s="59">
        <v>2050.0</v>
      </c>
      <c r="N2765" s="59">
        <v>330.0</v>
      </c>
      <c r="O2765" s="59">
        <v>15.53</v>
      </c>
      <c r="P2765" s="61">
        <f t="shared" si="228"/>
        <v>5124.9</v>
      </c>
      <c r="Q2765" s="61"/>
      <c r="R2765" s="62">
        <f t="shared" si="229"/>
        <v>5124.9</v>
      </c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</row>
    <row r="2766">
      <c r="A2766" s="2"/>
      <c r="B2766" s="52">
        <v>4.0</v>
      </c>
      <c r="C2766" s="59">
        <v>1.004752917E9</v>
      </c>
      <c r="D2766" s="59" t="s">
        <v>178</v>
      </c>
      <c r="E2766" s="59" t="s">
        <v>61</v>
      </c>
      <c r="F2766" s="59" t="s">
        <v>73</v>
      </c>
      <c r="G2766" s="59" t="s">
        <v>74</v>
      </c>
      <c r="H2766" s="59" t="s">
        <v>75</v>
      </c>
      <c r="I2766" s="61"/>
      <c r="J2766" s="61"/>
      <c r="K2766" s="59" t="s">
        <v>38</v>
      </c>
      <c r="L2766" s="59" t="s">
        <v>110</v>
      </c>
      <c r="M2766" s="59">
        <v>3324.0</v>
      </c>
      <c r="N2766" s="59">
        <v>560.0</v>
      </c>
      <c r="O2766" s="59">
        <v>19.28</v>
      </c>
      <c r="P2766" s="61">
        <f t="shared" si="228"/>
        <v>10796.8</v>
      </c>
      <c r="Q2766" s="59">
        <v>1185.0</v>
      </c>
      <c r="R2766" s="62">
        <f t="shared" si="229"/>
        <v>11981.8</v>
      </c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</row>
    <row r="2767">
      <c r="A2767" s="2"/>
      <c r="B2767" s="52">
        <v>5.0</v>
      </c>
      <c r="C2767" s="59">
        <v>1.004753244E9</v>
      </c>
      <c r="D2767" s="59" t="s">
        <v>178</v>
      </c>
      <c r="E2767" s="59" t="s">
        <v>77</v>
      </c>
      <c r="F2767" s="59" t="s">
        <v>78</v>
      </c>
      <c r="G2767" s="59"/>
      <c r="H2767" s="61"/>
      <c r="I2767" s="61"/>
      <c r="J2767" s="61"/>
      <c r="K2767" s="59" t="s">
        <v>38</v>
      </c>
      <c r="L2767" s="59" t="s">
        <v>104</v>
      </c>
      <c r="M2767" s="59">
        <v>3296.0</v>
      </c>
      <c r="N2767" s="59">
        <v>266.0</v>
      </c>
      <c r="O2767" s="59">
        <v>19.28</v>
      </c>
      <c r="P2767" s="61">
        <f t="shared" si="228"/>
        <v>5128.48</v>
      </c>
      <c r="Q2767" s="61"/>
      <c r="R2767" s="62">
        <f t="shared" si="229"/>
        <v>5128.48</v>
      </c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</row>
    <row r="2768">
      <c r="A2768" s="2"/>
      <c r="B2768" s="52">
        <v>6.0</v>
      </c>
      <c r="C2768" s="59">
        <v>1.004753241E9</v>
      </c>
      <c r="D2768" s="59" t="s">
        <v>178</v>
      </c>
      <c r="E2768" s="59" t="s">
        <v>77</v>
      </c>
      <c r="F2768" s="59" t="s">
        <v>78</v>
      </c>
      <c r="G2768" s="59" t="s">
        <v>79</v>
      </c>
      <c r="H2768" s="59" t="s">
        <v>128</v>
      </c>
      <c r="I2768" s="61"/>
      <c r="J2768" s="61"/>
      <c r="K2768" s="59" t="s">
        <v>38</v>
      </c>
      <c r="L2768" s="59" t="s">
        <v>81</v>
      </c>
      <c r="M2768" s="59">
        <v>3302.0</v>
      </c>
      <c r="N2768" s="59">
        <v>462.0</v>
      </c>
      <c r="O2768" s="59">
        <v>19.28</v>
      </c>
      <c r="P2768" s="61">
        <f t="shared" si="228"/>
        <v>8907.36</v>
      </c>
      <c r="Q2768" s="59">
        <v>505.0</v>
      </c>
      <c r="R2768" s="62">
        <f t="shared" si="229"/>
        <v>9412.36</v>
      </c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</row>
    <row r="2769">
      <c r="A2769" s="2"/>
      <c r="B2769" s="52">
        <v>7.0</v>
      </c>
      <c r="C2769" s="59">
        <v>1.00475312E9</v>
      </c>
      <c r="D2769" s="59" t="s">
        <v>178</v>
      </c>
      <c r="E2769" s="59" t="s">
        <v>100</v>
      </c>
      <c r="F2769" s="59" t="s">
        <v>83</v>
      </c>
      <c r="G2769" s="59" t="s">
        <v>84</v>
      </c>
      <c r="H2769" s="59"/>
      <c r="I2769" s="61"/>
      <c r="J2769" s="61"/>
      <c r="K2769" s="59" t="s">
        <v>38</v>
      </c>
      <c r="L2769" s="59" t="s">
        <v>63</v>
      </c>
      <c r="M2769" s="59">
        <v>3536.0</v>
      </c>
      <c r="N2769" s="59">
        <v>328.0</v>
      </c>
      <c r="O2769" s="59">
        <v>19.28</v>
      </c>
      <c r="P2769" s="61">
        <f t="shared" si="228"/>
        <v>6323.84</v>
      </c>
      <c r="Q2769" s="61"/>
      <c r="R2769" s="62">
        <f t="shared" si="229"/>
        <v>6323.84</v>
      </c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</row>
    <row r="2770">
      <c r="A2770" s="2"/>
      <c r="B2770" s="52">
        <v>8.0</v>
      </c>
      <c r="C2770" s="59">
        <v>1.004753117E9</v>
      </c>
      <c r="D2770" s="59" t="s">
        <v>178</v>
      </c>
      <c r="E2770" s="59" t="s">
        <v>100</v>
      </c>
      <c r="F2770" s="59" t="s">
        <v>86</v>
      </c>
      <c r="G2770" s="59" t="s">
        <v>87</v>
      </c>
      <c r="H2770" s="59" t="s">
        <v>84</v>
      </c>
      <c r="I2770" s="61"/>
      <c r="J2770" s="61"/>
      <c r="K2770" s="59" t="s">
        <v>38</v>
      </c>
      <c r="L2770" s="59" t="s">
        <v>89</v>
      </c>
      <c r="M2770" s="59">
        <v>3533.0</v>
      </c>
      <c r="N2770" s="59">
        <v>428.0</v>
      </c>
      <c r="O2770" s="59">
        <v>19.28</v>
      </c>
      <c r="P2770" s="61">
        <f t="shared" si="228"/>
        <v>8251.84</v>
      </c>
      <c r="Q2770" s="59">
        <v>755.0</v>
      </c>
      <c r="R2770" s="62">
        <f t="shared" si="229"/>
        <v>9006.84</v>
      </c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</row>
    <row r="2771">
      <c r="A2771" s="2"/>
      <c r="B2771" s="52">
        <v>9.0</v>
      </c>
      <c r="C2771" s="59">
        <v>1.004753015E9</v>
      </c>
      <c r="D2771" s="59" t="s">
        <v>178</v>
      </c>
      <c r="E2771" s="59" t="s">
        <v>55</v>
      </c>
      <c r="F2771" s="59" t="s">
        <v>57</v>
      </c>
      <c r="G2771" s="59" t="s">
        <v>59</v>
      </c>
      <c r="H2771" s="59" t="s">
        <v>58</v>
      </c>
      <c r="I2771" s="61"/>
      <c r="J2771" s="61"/>
      <c r="K2771" s="59" t="s">
        <v>80</v>
      </c>
      <c r="L2771" s="59" t="s">
        <v>95</v>
      </c>
      <c r="M2771" s="59">
        <v>2497.0</v>
      </c>
      <c r="N2771" s="59">
        <v>518.0</v>
      </c>
      <c r="O2771" s="59">
        <v>18.28</v>
      </c>
      <c r="P2771" s="61">
        <f t="shared" si="228"/>
        <v>9469.04</v>
      </c>
      <c r="Q2771" s="59"/>
      <c r="R2771" s="62">
        <f t="shared" si="229"/>
        <v>9469.04</v>
      </c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</row>
    <row r="2772">
      <c r="A2772" s="2"/>
      <c r="B2772" s="52">
        <v>10.0</v>
      </c>
      <c r="C2772" s="59">
        <v>1.004753009E9</v>
      </c>
      <c r="D2772" s="59" t="s">
        <v>178</v>
      </c>
      <c r="E2772" s="59" t="s">
        <v>55</v>
      </c>
      <c r="F2772" s="59" t="s">
        <v>103</v>
      </c>
      <c r="G2772" s="59" t="s">
        <v>56</v>
      </c>
      <c r="H2772" s="59" t="s">
        <v>58</v>
      </c>
      <c r="I2772" s="59" t="s">
        <v>59</v>
      </c>
      <c r="J2772" s="61"/>
      <c r="K2772" s="59" t="s">
        <v>38</v>
      </c>
      <c r="L2772" s="59" t="s">
        <v>105</v>
      </c>
      <c r="M2772" s="59">
        <v>3275.0</v>
      </c>
      <c r="N2772" s="59">
        <v>572.0</v>
      </c>
      <c r="O2772" s="59">
        <v>19.28</v>
      </c>
      <c r="P2772" s="61">
        <f t="shared" si="228"/>
        <v>11028.16</v>
      </c>
      <c r="Q2772" s="59"/>
      <c r="R2772" s="62">
        <f t="shared" si="229"/>
        <v>11028.16</v>
      </c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</row>
    <row r="2773">
      <c r="A2773" s="2"/>
      <c r="B2773" s="11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66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</row>
    <row r="2774">
      <c r="A2774" s="2"/>
      <c r="B2774" s="72" t="s">
        <v>64</v>
      </c>
      <c r="C2774" s="68"/>
      <c r="D2774" s="73" t="str">
        <f>MONEYTEXT(R2774, "INR")</f>
        <v/>
      </c>
      <c r="E2774" s="68"/>
      <c r="F2774" s="68"/>
      <c r="G2774" s="68"/>
      <c r="H2774" s="68"/>
      <c r="I2774" s="68"/>
      <c r="J2774" s="68"/>
      <c r="K2774" s="68"/>
      <c r="L2774" s="68"/>
      <c r="M2774" s="68"/>
      <c r="N2774" s="74" t="s">
        <v>65</v>
      </c>
      <c r="O2774" s="4"/>
      <c r="P2774" s="75">
        <f t="shared" ref="P2774:R2774" si="230">SUM(P2763:P2772)</f>
        <v>72174.22</v>
      </c>
      <c r="Q2774" s="75">
        <f t="shared" si="230"/>
        <v>2445</v>
      </c>
      <c r="R2774" s="75">
        <f t="shared" si="230"/>
        <v>74619.22</v>
      </c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</row>
    <row r="2775">
      <c r="A2775" s="2"/>
      <c r="B2775" s="72" t="s">
        <v>66</v>
      </c>
      <c r="C2775" s="68"/>
      <c r="D2775" s="68"/>
      <c r="E2775" s="68"/>
      <c r="F2775" s="68"/>
      <c r="G2775" s="68"/>
      <c r="H2775" s="68"/>
      <c r="I2775" s="68"/>
      <c r="J2775" s="68"/>
      <c r="K2775" s="68"/>
      <c r="L2775" s="68"/>
      <c r="M2775" s="68"/>
      <c r="N2775" s="68"/>
      <c r="O2775" s="76"/>
      <c r="P2775" s="78" t="s">
        <v>67</v>
      </c>
      <c r="Q2775" s="31"/>
      <c r="R2775" s="3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</row>
    <row r="2776">
      <c r="A2776" s="2"/>
      <c r="B2776" s="81" t="s">
        <v>68</v>
      </c>
      <c r="P2776" s="29"/>
      <c r="Q2776" s="29"/>
      <c r="R2776" s="8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</row>
    <row r="2777">
      <c r="A2777" s="2"/>
      <c r="B2777" s="81" t="s">
        <v>70</v>
      </c>
      <c r="P2777" s="29"/>
      <c r="Q2777" s="29"/>
      <c r="R2777" s="8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</row>
    <row r="2778">
      <c r="A2778" s="2"/>
      <c r="B2778" s="11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66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</row>
    <row r="2779">
      <c r="A2779" s="2"/>
      <c r="B2779" s="11"/>
      <c r="C2779" s="2"/>
      <c r="D2779" s="2"/>
      <c r="E2779" s="2"/>
      <c r="F2779" s="2"/>
      <c r="G2779" s="2"/>
      <c r="H2779" s="2"/>
      <c r="I2779" s="2"/>
      <c r="J2779" s="2"/>
      <c r="K2779" s="87" t="s">
        <v>71</v>
      </c>
      <c r="L2779" s="2"/>
      <c r="M2779" s="2"/>
      <c r="N2779" s="2"/>
      <c r="O2779" s="2"/>
      <c r="P2779" s="12" t="s">
        <v>72</v>
      </c>
      <c r="R2779" s="10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</row>
    <row r="2780">
      <c r="A2780" s="2"/>
      <c r="B2780" s="90"/>
      <c r="C2780" s="36"/>
      <c r="D2780" s="36"/>
      <c r="E2780" s="36"/>
      <c r="F2780" s="36"/>
      <c r="G2780" s="36"/>
      <c r="H2780" s="36"/>
      <c r="I2780" s="36"/>
      <c r="J2780" s="36"/>
      <c r="K2780" s="36"/>
      <c r="L2780" s="36"/>
      <c r="M2780" s="36"/>
      <c r="N2780" s="36"/>
      <c r="O2780" s="36"/>
      <c r="P2780" s="36"/>
      <c r="Q2780" s="36"/>
      <c r="R2780" s="91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</row>
    <row r="2781">
      <c r="A2781" s="2"/>
      <c r="B2781" s="177"/>
      <c r="C2781" s="177"/>
      <c r="D2781" s="177"/>
      <c r="E2781" s="177"/>
      <c r="F2781" s="177"/>
      <c r="G2781" s="177"/>
      <c r="H2781" s="177"/>
      <c r="I2781" s="177"/>
      <c r="J2781" s="177"/>
      <c r="K2781" s="177"/>
      <c r="L2781" s="177"/>
      <c r="M2781" s="177"/>
      <c r="N2781" s="177"/>
      <c r="O2781" s="177"/>
      <c r="P2781" s="177"/>
      <c r="Q2781" s="177"/>
      <c r="R2781" s="177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</row>
    <row r="2782">
      <c r="A2782" s="2"/>
      <c r="B2782" s="177"/>
      <c r="C2782" s="177"/>
      <c r="D2782" s="177"/>
      <c r="E2782" s="177"/>
      <c r="F2782" s="177"/>
      <c r="G2782" s="177"/>
      <c r="H2782" s="177"/>
      <c r="I2782" s="177"/>
      <c r="J2782" s="177"/>
      <c r="K2782" s="177"/>
      <c r="L2782" s="177"/>
      <c r="M2782" s="177"/>
      <c r="N2782" s="177"/>
      <c r="O2782" s="177"/>
      <c r="P2782" s="177"/>
      <c r="Q2782" s="177"/>
      <c r="R2782" s="177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</row>
    <row r="2783">
      <c r="A2783" s="2"/>
      <c r="B2783" s="177"/>
      <c r="C2783" s="177"/>
      <c r="D2783" s="177"/>
      <c r="E2783" s="177"/>
      <c r="F2783" s="177"/>
      <c r="G2783" s="177"/>
      <c r="H2783" s="177"/>
      <c r="I2783" s="177"/>
      <c r="J2783" s="177"/>
      <c r="K2783" s="177"/>
      <c r="L2783" s="177"/>
      <c r="M2783" s="177"/>
      <c r="N2783" s="177"/>
      <c r="O2783" s="177"/>
      <c r="P2783" s="177"/>
      <c r="Q2783" s="177"/>
      <c r="R2783" s="177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</row>
    <row r="2784">
      <c r="A2784" s="2"/>
      <c r="B2784" s="177"/>
      <c r="C2784" s="177"/>
      <c r="D2784" s="177"/>
      <c r="E2784" s="177"/>
      <c r="F2784" s="177"/>
      <c r="G2784" s="177"/>
      <c r="H2784" s="177"/>
      <c r="I2784" s="177"/>
      <c r="J2784" s="177"/>
      <c r="K2784" s="177"/>
      <c r="L2784" s="177"/>
      <c r="M2784" s="177"/>
      <c r="N2784" s="177"/>
      <c r="O2784" s="177"/>
      <c r="P2784" s="177"/>
      <c r="Q2784" s="177"/>
      <c r="R2784" s="177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</row>
    <row r="2785">
      <c r="A2785" s="2"/>
      <c r="B2785" s="245" t="s">
        <v>1</v>
      </c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5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</row>
    <row r="2786">
      <c r="A2786" s="2"/>
      <c r="B2786" s="246"/>
      <c r="F2786" s="247"/>
      <c r="G2786" s="247"/>
      <c r="H2786" s="248"/>
      <c r="I2786" s="247"/>
      <c r="J2786" s="247" t="s">
        <v>2</v>
      </c>
      <c r="N2786" s="249"/>
      <c r="R2786" s="10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</row>
    <row r="2787">
      <c r="A2787" s="2"/>
      <c r="B2787" s="250"/>
      <c r="F2787" s="247"/>
      <c r="G2787" s="247"/>
      <c r="H2787" s="247"/>
      <c r="I2787" s="247"/>
      <c r="J2787" s="247" t="s">
        <v>3</v>
      </c>
      <c r="N2787" s="249"/>
      <c r="R2787" s="10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</row>
    <row r="2788">
      <c r="A2788" s="2"/>
      <c r="B2788" s="250" t="s">
        <v>4</v>
      </c>
      <c r="R2788" s="10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</row>
    <row r="2789">
      <c r="A2789" s="2"/>
      <c r="B2789" s="251" t="s">
        <v>5</v>
      </c>
      <c r="C2789" s="252" t="s">
        <v>6</v>
      </c>
      <c r="D2789" s="4"/>
      <c r="E2789" s="4"/>
      <c r="F2789" s="4"/>
      <c r="G2789" s="4"/>
      <c r="H2789" s="4"/>
      <c r="I2789" s="4"/>
      <c r="J2789" s="4"/>
      <c r="K2789" s="5"/>
      <c r="L2789" s="253" t="s">
        <v>7</v>
      </c>
      <c r="M2789" s="254">
        <v>32.0</v>
      </c>
      <c r="N2789" s="255"/>
      <c r="O2789" s="4"/>
      <c r="P2789" s="4"/>
      <c r="Q2789" s="4"/>
      <c r="R2789" s="5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</row>
    <row r="2790">
      <c r="A2790" s="2"/>
      <c r="B2790" s="256"/>
      <c r="C2790" s="257" t="s">
        <v>8</v>
      </c>
      <c r="K2790" s="10"/>
      <c r="L2790" s="253" t="s">
        <v>9</v>
      </c>
      <c r="M2790" s="247" t="s">
        <v>190</v>
      </c>
      <c r="N2790" s="249"/>
      <c r="R2790" s="10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</row>
    <row r="2791">
      <c r="A2791" s="2"/>
      <c r="B2791" s="251" t="s">
        <v>11</v>
      </c>
      <c r="C2791" s="258" t="s">
        <v>12</v>
      </c>
      <c r="D2791" s="31"/>
      <c r="E2791" s="31"/>
      <c r="F2791" s="31"/>
      <c r="G2791" s="31"/>
      <c r="H2791" s="31"/>
      <c r="I2791" s="31"/>
      <c r="J2791" s="31"/>
      <c r="K2791" s="32"/>
      <c r="L2791" s="253" t="s">
        <v>13</v>
      </c>
      <c r="M2791" s="259" t="s">
        <v>14</v>
      </c>
      <c r="N2791" s="260"/>
      <c r="O2791" s="31"/>
      <c r="P2791" s="31"/>
      <c r="Q2791" s="31"/>
      <c r="R2791" s="3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</row>
    <row r="2792">
      <c r="A2792" s="2"/>
      <c r="B2792" s="246"/>
      <c r="R2792" s="10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</row>
    <row r="2793">
      <c r="A2793" s="2"/>
      <c r="B2793" s="261" t="s">
        <v>15</v>
      </c>
      <c r="C2793" s="262" t="s">
        <v>16</v>
      </c>
      <c r="D2793" s="263" t="s">
        <v>17</v>
      </c>
      <c r="E2793" s="263" t="s">
        <v>18</v>
      </c>
      <c r="F2793" s="264" t="s">
        <v>19</v>
      </c>
      <c r="G2793" s="43"/>
      <c r="H2793" s="43"/>
      <c r="I2793" s="43"/>
      <c r="J2793" s="44"/>
      <c r="K2793" s="263" t="s">
        <v>20</v>
      </c>
      <c r="L2793" s="263" t="s">
        <v>21</v>
      </c>
      <c r="M2793" s="263" t="s">
        <v>22</v>
      </c>
      <c r="N2793" s="263" t="s">
        <v>23</v>
      </c>
      <c r="O2793" s="263" t="s">
        <v>24</v>
      </c>
      <c r="P2793" s="263" t="s">
        <v>25</v>
      </c>
      <c r="Q2793" s="263" t="s">
        <v>26</v>
      </c>
      <c r="R2793" s="265" t="s">
        <v>27</v>
      </c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</row>
    <row r="2794">
      <c r="A2794" s="2"/>
      <c r="B2794" s="266">
        <v>1.0</v>
      </c>
      <c r="C2794" s="267">
        <v>1.004754021E9</v>
      </c>
      <c r="D2794" s="267" t="s">
        <v>191</v>
      </c>
      <c r="E2794" s="267" t="s">
        <v>35</v>
      </c>
      <c r="F2794" s="267" t="s">
        <v>40</v>
      </c>
      <c r="G2794" s="267" t="s">
        <v>37</v>
      </c>
      <c r="H2794" s="267" t="s">
        <v>36</v>
      </c>
      <c r="I2794" s="268"/>
      <c r="J2794" s="268"/>
      <c r="K2794" s="267" t="s">
        <v>38</v>
      </c>
      <c r="L2794" s="267" t="s">
        <v>96</v>
      </c>
      <c r="M2794" s="269">
        <v>3119.0</v>
      </c>
      <c r="N2794" s="269">
        <v>200.0</v>
      </c>
      <c r="O2794" s="269">
        <v>19.28</v>
      </c>
      <c r="P2794" s="269">
        <v>3856.0</v>
      </c>
      <c r="Q2794" s="269"/>
      <c r="R2794" s="270">
        <v>3856.0</v>
      </c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</row>
    <row r="2795">
      <c r="A2795" s="2"/>
      <c r="B2795" s="266">
        <v>2.0</v>
      </c>
      <c r="C2795" s="267">
        <v>1.00475427E9</v>
      </c>
      <c r="D2795" s="267" t="s">
        <v>191</v>
      </c>
      <c r="E2795" s="267" t="s">
        <v>47</v>
      </c>
      <c r="F2795" s="267" t="s">
        <v>44</v>
      </c>
      <c r="G2795" s="267" t="s">
        <v>48</v>
      </c>
      <c r="H2795" s="267"/>
      <c r="I2795" s="268"/>
      <c r="J2795" s="268"/>
      <c r="K2795" s="267" t="s">
        <v>45</v>
      </c>
      <c r="L2795" s="267" t="s">
        <v>98</v>
      </c>
      <c r="M2795" s="269">
        <v>1514.0</v>
      </c>
      <c r="N2795" s="269">
        <v>250.0</v>
      </c>
      <c r="O2795" s="269">
        <v>15.53</v>
      </c>
      <c r="P2795" s="269">
        <v>3882.5</v>
      </c>
      <c r="Q2795" s="271"/>
      <c r="R2795" s="270">
        <v>3882.5</v>
      </c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</row>
    <row r="2796">
      <c r="A2796" s="2"/>
      <c r="B2796" s="266">
        <v>3.0</v>
      </c>
      <c r="C2796" s="267">
        <v>1.004754277E9</v>
      </c>
      <c r="D2796" s="267" t="s">
        <v>191</v>
      </c>
      <c r="E2796" s="267" t="s">
        <v>51</v>
      </c>
      <c r="F2796" s="267" t="s">
        <v>44</v>
      </c>
      <c r="G2796" s="267"/>
      <c r="H2796" s="268"/>
      <c r="I2796" s="268"/>
      <c r="J2796" s="268"/>
      <c r="K2796" s="267" t="s">
        <v>45</v>
      </c>
      <c r="L2796" s="267" t="s">
        <v>50</v>
      </c>
      <c r="M2796" s="269">
        <v>1676.0</v>
      </c>
      <c r="N2796" s="269">
        <v>230.0</v>
      </c>
      <c r="O2796" s="269">
        <v>15.53</v>
      </c>
      <c r="P2796" s="269">
        <v>3571.9</v>
      </c>
      <c r="Q2796" s="271"/>
      <c r="R2796" s="270">
        <v>3571.9</v>
      </c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</row>
    <row r="2797">
      <c r="A2797" s="2"/>
      <c r="B2797" s="266">
        <v>4.0</v>
      </c>
      <c r="C2797" s="267">
        <v>1.004754904E9</v>
      </c>
      <c r="D2797" s="267" t="s">
        <v>191</v>
      </c>
      <c r="E2797" s="267" t="s">
        <v>51</v>
      </c>
      <c r="F2797" s="267" t="s">
        <v>44</v>
      </c>
      <c r="G2797" s="267" t="s">
        <v>49</v>
      </c>
      <c r="H2797" s="268"/>
      <c r="I2797" s="268"/>
      <c r="J2797" s="268"/>
      <c r="K2797" s="267" t="s">
        <v>45</v>
      </c>
      <c r="L2797" s="267" t="s">
        <v>52</v>
      </c>
      <c r="M2797" s="269">
        <v>1660.0</v>
      </c>
      <c r="N2797" s="269">
        <v>230.0</v>
      </c>
      <c r="O2797" s="269">
        <v>15.53</v>
      </c>
      <c r="P2797" s="269">
        <v>3571.9</v>
      </c>
      <c r="Q2797" s="271"/>
      <c r="R2797" s="270">
        <v>3571.9</v>
      </c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</row>
    <row r="2798">
      <c r="A2798" s="2"/>
      <c r="B2798" s="266">
        <v>5.0</v>
      </c>
      <c r="C2798" s="267">
        <v>1.004754898E9</v>
      </c>
      <c r="D2798" s="267" t="s">
        <v>191</v>
      </c>
      <c r="E2798" s="267" t="s">
        <v>51</v>
      </c>
      <c r="F2798" s="267" t="s">
        <v>44</v>
      </c>
      <c r="G2798" s="267"/>
      <c r="H2798" s="268"/>
      <c r="I2798" s="268"/>
      <c r="J2798" s="268"/>
      <c r="K2798" s="267" t="s">
        <v>45</v>
      </c>
      <c r="L2798" s="267" t="s">
        <v>54</v>
      </c>
      <c r="M2798" s="269">
        <v>1679.0</v>
      </c>
      <c r="N2798" s="269">
        <v>230.0</v>
      </c>
      <c r="O2798" s="269">
        <v>15.53</v>
      </c>
      <c r="P2798" s="269">
        <v>3571.9</v>
      </c>
      <c r="Q2798" s="271"/>
      <c r="R2798" s="270">
        <v>3571.9</v>
      </c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</row>
    <row r="2799">
      <c r="A2799" s="2"/>
      <c r="B2799" s="266">
        <v>6.0</v>
      </c>
      <c r="C2799" s="267">
        <v>1.004755319E9</v>
      </c>
      <c r="D2799" s="267" t="s">
        <v>191</v>
      </c>
      <c r="E2799" s="267" t="s">
        <v>28</v>
      </c>
      <c r="F2799" s="267" t="s">
        <v>29</v>
      </c>
      <c r="G2799" s="267" t="s">
        <v>30</v>
      </c>
      <c r="H2799" s="267" t="s">
        <v>32</v>
      </c>
      <c r="I2799" s="267" t="s">
        <v>31</v>
      </c>
      <c r="J2799" s="268"/>
      <c r="K2799" s="267" t="s">
        <v>33</v>
      </c>
      <c r="L2799" s="267" t="s">
        <v>34</v>
      </c>
      <c r="M2799" s="269">
        <v>2093.0</v>
      </c>
      <c r="N2799" s="269">
        <v>246.0</v>
      </c>
      <c r="O2799" s="269">
        <v>15.53</v>
      </c>
      <c r="P2799" s="269">
        <v>3820.38</v>
      </c>
      <c r="Q2799" s="271"/>
      <c r="R2799" s="270">
        <v>3820.38</v>
      </c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</row>
    <row r="2800">
      <c r="A2800" s="2"/>
      <c r="B2800" s="266">
        <v>7.0</v>
      </c>
      <c r="C2800" s="267">
        <v>1.004755353E9</v>
      </c>
      <c r="D2800" s="267" t="s">
        <v>191</v>
      </c>
      <c r="E2800" s="267" t="s">
        <v>77</v>
      </c>
      <c r="F2800" s="267" t="s">
        <v>79</v>
      </c>
      <c r="G2800" s="267" t="s">
        <v>116</v>
      </c>
      <c r="H2800" s="267" t="s">
        <v>78</v>
      </c>
      <c r="I2800" s="268"/>
      <c r="J2800" s="268"/>
      <c r="K2800" s="267" t="s">
        <v>33</v>
      </c>
      <c r="L2800" s="267" t="s">
        <v>192</v>
      </c>
      <c r="M2800" s="269">
        <v>2081.0</v>
      </c>
      <c r="N2800" s="269">
        <v>416.0</v>
      </c>
      <c r="O2800" s="269">
        <v>15.53</v>
      </c>
      <c r="P2800" s="269">
        <v>6460.48</v>
      </c>
      <c r="Q2800" s="269">
        <v>500.0</v>
      </c>
      <c r="R2800" s="270">
        <v>6960.48</v>
      </c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</row>
    <row r="2801">
      <c r="A2801" s="2"/>
      <c r="B2801" s="266">
        <v>8.0</v>
      </c>
      <c r="C2801" s="267">
        <v>1.004755246E9</v>
      </c>
      <c r="D2801" s="267" t="s">
        <v>191</v>
      </c>
      <c r="E2801" s="267" t="s">
        <v>106</v>
      </c>
      <c r="F2801" s="267" t="s">
        <v>108</v>
      </c>
      <c r="G2801" s="267" t="s">
        <v>107</v>
      </c>
      <c r="H2801" s="267" t="s">
        <v>109</v>
      </c>
      <c r="I2801" s="268"/>
      <c r="J2801" s="268"/>
      <c r="K2801" s="267" t="s">
        <v>38</v>
      </c>
      <c r="L2801" s="267" t="s">
        <v>118</v>
      </c>
      <c r="M2801" s="269">
        <v>3043.0</v>
      </c>
      <c r="N2801" s="269">
        <v>482.0</v>
      </c>
      <c r="O2801" s="269">
        <v>19.28</v>
      </c>
      <c r="P2801" s="269">
        <v>9292.96</v>
      </c>
      <c r="Q2801" s="269">
        <v>1025.0</v>
      </c>
      <c r="R2801" s="270">
        <v>10317.96</v>
      </c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</row>
    <row r="2802">
      <c r="A2802" s="2"/>
      <c r="B2802" s="266">
        <v>9.0</v>
      </c>
      <c r="C2802" s="267">
        <v>1.004755206E9</v>
      </c>
      <c r="D2802" s="267" t="s">
        <v>191</v>
      </c>
      <c r="E2802" s="267" t="s">
        <v>90</v>
      </c>
      <c r="F2802" s="267" t="s">
        <v>92</v>
      </c>
      <c r="G2802" s="267" t="s">
        <v>93</v>
      </c>
      <c r="H2802" s="267" t="s">
        <v>91</v>
      </c>
      <c r="I2802" s="267" t="s">
        <v>94</v>
      </c>
      <c r="J2802" s="268"/>
      <c r="K2802" s="267" t="s">
        <v>38</v>
      </c>
      <c r="L2802" s="267" t="s">
        <v>102</v>
      </c>
      <c r="M2802" s="269">
        <v>3315.0</v>
      </c>
      <c r="N2802" s="269">
        <v>405.0</v>
      </c>
      <c r="O2802" s="269">
        <v>19.28</v>
      </c>
      <c r="P2802" s="269">
        <v>7808.4</v>
      </c>
      <c r="Q2802" s="269">
        <v>500.0</v>
      </c>
      <c r="R2802" s="270">
        <v>8308.4</v>
      </c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</row>
    <row r="2803">
      <c r="A2803" s="2"/>
      <c r="B2803" s="266">
        <v>10.0</v>
      </c>
      <c r="C2803" s="267">
        <v>1.00475514E9</v>
      </c>
      <c r="D2803" s="267" t="s">
        <v>191</v>
      </c>
      <c r="E2803" s="267" t="s">
        <v>82</v>
      </c>
      <c r="F2803" s="267" t="s">
        <v>83</v>
      </c>
      <c r="G2803" s="267" t="s">
        <v>86</v>
      </c>
      <c r="H2803" s="267" t="s">
        <v>87</v>
      </c>
      <c r="I2803" s="267" t="s">
        <v>88</v>
      </c>
      <c r="J2803" s="267" t="s">
        <v>84</v>
      </c>
      <c r="K2803" s="267" t="s">
        <v>38</v>
      </c>
      <c r="L2803" s="267" t="s">
        <v>101</v>
      </c>
      <c r="M2803" s="269">
        <v>3446.0</v>
      </c>
      <c r="N2803" s="269">
        <v>484.0</v>
      </c>
      <c r="O2803" s="269">
        <v>19.28</v>
      </c>
      <c r="P2803" s="269">
        <v>9331.52</v>
      </c>
      <c r="Q2803" s="269">
        <v>930.0</v>
      </c>
      <c r="R2803" s="270">
        <v>10261.52</v>
      </c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</row>
    <row r="2804">
      <c r="A2804" s="2"/>
      <c r="B2804" s="246"/>
      <c r="C2804" s="249"/>
      <c r="D2804" s="249"/>
      <c r="E2804" s="249"/>
      <c r="F2804" s="249"/>
      <c r="G2804" s="249"/>
      <c r="H2804" s="249"/>
      <c r="I2804" s="249"/>
      <c r="J2804" s="249"/>
      <c r="K2804" s="249"/>
      <c r="L2804" s="249"/>
      <c r="M2804" s="249"/>
      <c r="N2804" s="249"/>
      <c r="O2804" s="249"/>
      <c r="P2804" s="249"/>
      <c r="Q2804" s="249"/>
      <c r="R2804" s="27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</row>
    <row r="2805">
      <c r="A2805" s="2"/>
      <c r="B2805" s="273" t="s">
        <v>64</v>
      </c>
      <c r="C2805" s="68"/>
      <c r="D2805" s="274"/>
      <c r="E2805" s="68"/>
      <c r="F2805" s="68"/>
      <c r="G2805" s="68"/>
      <c r="H2805" s="68"/>
      <c r="I2805" s="68"/>
      <c r="J2805" s="68"/>
      <c r="K2805" s="68"/>
      <c r="L2805" s="68"/>
      <c r="M2805" s="68"/>
      <c r="N2805" s="275" t="s">
        <v>65</v>
      </c>
      <c r="O2805" s="4"/>
      <c r="P2805" s="276">
        <f t="shared" ref="P2805:R2805" si="231">SUM(P2794:P2803)</f>
        <v>55167.94</v>
      </c>
      <c r="Q2805" s="276">
        <f t="shared" si="231"/>
        <v>2955</v>
      </c>
      <c r="R2805" s="276">
        <f t="shared" si="231"/>
        <v>58122.94</v>
      </c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</row>
    <row r="2806">
      <c r="A2806" s="2"/>
      <c r="B2806" s="273" t="s">
        <v>66</v>
      </c>
      <c r="C2806" s="68"/>
      <c r="D2806" s="68"/>
      <c r="E2806" s="68"/>
      <c r="F2806" s="68"/>
      <c r="G2806" s="68"/>
      <c r="H2806" s="68"/>
      <c r="I2806" s="68"/>
      <c r="J2806" s="68"/>
      <c r="K2806" s="68"/>
      <c r="L2806" s="68"/>
      <c r="M2806" s="68"/>
      <c r="N2806" s="68"/>
      <c r="O2806" s="76"/>
      <c r="P2806" s="277" t="s">
        <v>67</v>
      </c>
      <c r="Q2806" s="31"/>
      <c r="R2806" s="3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</row>
    <row r="2807">
      <c r="A2807" s="2"/>
      <c r="B2807" s="278" t="s">
        <v>68</v>
      </c>
      <c r="P2807" s="257"/>
      <c r="Q2807" s="257"/>
      <c r="R2807" s="279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</row>
    <row r="2808">
      <c r="A2808" s="2"/>
      <c r="B2808" s="278" t="s">
        <v>70</v>
      </c>
      <c r="P2808" s="257"/>
      <c r="Q2808" s="257"/>
      <c r="R2808" s="279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</row>
    <row r="2809">
      <c r="A2809" s="2"/>
      <c r="B2809" s="246"/>
      <c r="C2809" s="249"/>
      <c r="D2809" s="249"/>
      <c r="E2809" s="249"/>
      <c r="F2809" s="249"/>
      <c r="G2809" s="249"/>
      <c r="H2809" s="249"/>
      <c r="I2809" s="249"/>
      <c r="J2809" s="249"/>
      <c r="K2809" s="249"/>
      <c r="L2809" s="249"/>
      <c r="M2809" s="249"/>
      <c r="N2809" s="249"/>
      <c r="O2809" s="249"/>
      <c r="P2809" s="249"/>
      <c r="Q2809" s="249"/>
      <c r="R2809" s="27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</row>
    <row r="2810">
      <c r="A2810" s="2"/>
      <c r="B2810" s="246"/>
      <c r="C2810" s="249"/>
      <c r="D2810" s="249"/>
      <c r="E2810" s="249"/>
      <c r="F2810" s="249"/>
      <c r="G2810" s="249"/>
      <c r="H2810" s="249"/>
      <c r="I2810" s="249"/>
      <c r="J2810" s="249"/>
      <c r="K2810" s="254" t="s">
        <v>71</v>
      </c>
      <c r="L2810" s="249"/>
      <c r="M2810" s="249"/>
      <c r="N2810" s="249"/>
      <c r="O2810" s="249"/>
      <c r="P2810" s="247" t="s">
        <v>72</v>
      </c>
      <c r="R2810" s="10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</row>
    <row r="2811">
      <c r="A2811" s="2"/>
      <c r="B2811" s="280"/>
      <c r="C2811" s="260"/>
      <c r="D2811" s="260"/>
      <c r="E2811" s="260"/>
      <c r="F2811" s="260"/>
      <c r="G2811" s="260"/>
      <c r="H2811" s="260"/>
      <c r="I2811" s="260"/>
      <c r="J2811" s="260"/>
      <c r="K2811" s="260"/>
      <c r="L2811" s="260"/>
      <c r="M2811" s="260"/>
      <c r="N2811" s="260"/>
      <c r="O2811" s="260"/>
      <c r="P2811" s="260"/>
      <c r="Q2811" s="260"/>
      <c r="R2811" s="281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</row>
    <row r="2812">
      <c r="A2812" s="2"/>
      <c r="B2812" s="177"/>
      <c r="C2812" s="177"/>
      <c r="D2812" s="177"/>
      <c r="E2812" s="177"/>
      <c r="F2812" s="177"/>
      <c r="G2812" s="177"/>
      <c r="H2812" s="177"/>
      <c r="I2812" s="177"/>
      <c r="J2812" s="177"/>
      <c r="K2812" s="177"/>
      <c r="L2812" s="177"/>
      <c r="M2812" s="177"/>
      <c r="N2812" s="177"/>
      <c r="O2812" s="177"/>
      <c r="P2812" s="177"/>
      <c r="Q2812" s="177"/>
      <c r="R2812" s="177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</row>
    <row r="2813">
      <c r="A2813" s="2"/>
      <c r="B2813" s="177"/>
      <c r="C2813" s="177"/>
      <c r="D2813" s="177"/>
      <c r="E2813" s="177"/>
      <c r="F2813" s="177"/>
      <c r="G2813" s="177"/>
      <c r="H2813" s="177"/>
      <c r="I2813" s="177"/>
      <c r="J2813" s="177"/>
      <c r="K2813" s="177"/>
      <c r="L2813" s="177"/>
      <c r="M2813" s="177"/>
      <c r="N2813" s="177"/>
      <c r="O2813" s="177"/>
      <c r="P2813" s="177"/>
      <c r="Q2813" s="177"/>
      <c r="R2813" s="177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</row>
    <row r="2814">
      <c r="A2814" s="2"/>
      <c r="B2814" s="177"/>
      <c r="C2814" s="177"/>
      <c r="D2814" s="177"/>
      <c r="E2814" s="177"/>
      <c r="F2814" s="177"/>
      <c r="G2814" s="177"/>
      <c r="H2814" s="177"/>
      <c r="I2814" s="177"/>
      <c r="J2814" s="177"/>
      <c r="K2814" s="177"/>
      <c r="L2814" s="177"/>
      <c r="M2814" s="177"/>
      <c r="N2814" s="177"/>
      <c r="O2814" s="177"/>
      <c r="P2814" s="177"/>
      <c r="Q2814" s="177"/>
      <c r="R2814" s="177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</row>
    <row r="2815">
      <c r="A2815" s="2"/>
      <c r="B2815" s="177"/>
      <c r="C2815" s="177"/>
      <c r="D2815" s="177"/>
      <c r="E2815" s="177"/>
      <c r="F2815" s="177"/>
      <c r="G2815" s="177"/>
      <c r="H2815" s="177"/>
      <c r="I2815" s="177"/>
      <c r="J2815" s="177"/>
      <c r="K2815" s="177"/>
      <c r="L2815" s="177"/>
      <c r="M2815" s="177"/>
      <c r="N2815" s="177"/>
      <c r="O2815" s="177"/>
      <c r="P2815" s="177"/>
      <c r="Q2815" s="177"/>
      <c r="R2815" s="177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</row>
    <row r="2816">
      <c r="A2816" s="2"/>
      <c r="B2816" s="176" t="s">
        <v>1</v>
      </c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5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</row>
    <row r="2817">
      <c r="A2817" s="2"/>
      <c r="B2817" s="11"/>
      <c r="F2817" s="12"/>
      <c r="G2817" s="12"/>
      <c r="I2817" s="12"/>
      <c r="J2817" s="12" t="s">
        <v>2</v>
      </c>
      <c r="N2817" s="2"/>
      <c r="R2817" s="10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</row>
    <row r="2818">
      <c r="A2818" s="2"/>
      <c r="B2818" s="14"/>
      <c r="F2818" s="12"/>
      <c r="G2818" s="12"/>
      <c r="H2818" s="12"/>
      <c r="I2818" s="12"/>
      <c r="J2818" s="12" t="s">
        <v>3</v>
      </c>
      <c r="N2818" s="2"/>
      <c r="R2818" s="10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</row>
    <row r="2819">
      <c r="A2819" s="2"/>
      <c r="B2819" s="14" t="s">
        <v>4</v>
      </c>
      <c r="R2819" s="10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</row>
    <row r="2820">
      <c r="A2820" s="2"/>
      <c r="B2820" s="21" t="s">
        <v>5</v>
      </c>
      <c r="C2820" s="22" t="s">
        <v>6</v>
      </c>
      <c r="D2820" s="4"/>
      <c r="E2820" s="4"/>
      <c r="F2820" s="4"/>
      <c r="G2820" s="4"/>
      <c r="H2820" s="4"/>
      <c r="I2820" s="4"/>
      <c r="J2820" s="4"/>
      <c r="K2820" s="5"/>
      <c r="L2820" s="23" t="s">
        <v>7</v>
      </c>
      <c r="M2820" s="87">
        <v>33.0</v>
      </c>
      <c r="N2820" s="24"/>
      <c r="O2820" s="4"/>
      <c r="P2820" s="4"/>
      <c r="Q2820" s="4"/>
      <c r="R2820" s="5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</row>
    <row r="2821">
      <c r="A2821" s="2"/>
      <c r="B2821" s="28"/>
      <c r="C2821" s="29" t="s">
        <v>8</v>
      </c>
      <c r="K2821" s="10"/>
      <c r="L2821" s="23" t="s">
        <v>9</v>
      </c>
      <c r="M2821" s="2"/>
      <c r="N2821" s="2"/>
      <c r="R2821" s="10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</row>
    <row r="2822">
      <c r="A2822" s="2"/>
      <c r="B2822" s="21" t="s">
        <v>11</v>
      </c>
      <c r="C2822" s="35" t="s">
        <v>12</v>
      </c>
      <c r="D2822" s="31"/>
      <c r="E2822" s="31"/>
      <c r="F2822" s="31"/>
      <c r="G2822" s="31"/>
      <c r="H2822" s="31"/>
      <c r="I2822" s="31"/>
      <c r="J2822" s="31"/>
      <c r="K2822" s="32"/>
      <c r="L2822" s="23" t="s">
        <v>13</v>
      </c>
      <c r="M2822" s="36"/>
      <c r="N2822" s="36"/>
      <c r="O2822" s="31"/>
      <c r="P2822" s="31"/>
      <c r="Q2822" s="31"/>
      <c r="R2822" s="3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</row>
    <row r="2823">
      <c r="A2823" s="2"/>
      <c r="B2823" s="11"/>
      <c r="R2823" s="10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</row>
    <row r="2824">
      <c r="A2824" s="2"/>
      <c r="B2824" s="46" t="s">
        <v>15</v>
      </c>
      <c r="C2824" s="47" t="s">
        <v>16</v>
      </c>
      <c r="D2824" s="48" t="s">
        <v>17</v>
      </c>
      <c r="E2824" s="48" t="s">
        <v>18</v>
      </c>
      <c r="F2824" s="49" t="s">
        <v>19</v>
      </c>
      <c r="G2824" s="43"/>
      <c r="H2824" s="43"/>
      <c r="I2824" s="43"/>
      <c r="J2824" s="44"/>
      <c r="K2824" s="48" t="s">
        <v>20</v>
      </c>
      <c r="L2824" s="48" t="s">
        <v>21</v>
      </c>
      <c r="M2824" s="48" t="s">
        <v>22</v>
      </c>
      <c r="N2824" s="48" t="s">
        <v>23</v>
      </c>
      <c r="O2824" s="48" t="s">
        <v>24</v>
      </c>
      <c r="P2824" s="48" t="s">
        <v>25</v>
      </c>
      <c r="Q2824" s="48" t="s">
        <v>26</v>
      </c>
      <c r="R2824" s="50" t="s">
        <v>27</v>
      </c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</row>
    <row r="2825">
      <c r="A2825" s="2"/>
      <c r="B2825" s="52">
        <v>1.0</v>
      </c>
      <c r="C2825" s="59">
        <v>1.004756363E9</v>
      </c>
      <c r="D2825" s="59" t="s">
        <v>193</v>
      </c>
      <c r="E2825" s="59" t="s">
        <v>28</v>
      </c>
      <c r="F2825" s="59" t="s">
        <v>29</v>
      </c>
      <c r="G2825" s="59" t="s">
        <v>30</v>
      </c>
      <c r="H2825" s="59" t="s">
        <v>31</v>
      </c>
      <c r="I2825" s="59" t="s">
        <v>32</v>
      </c>
      <c r="J2825" s="61"/>
      <c r="K2825" s="59" t="s">
        <v>33</v>
      </c>
      <c r="L2825" s="59" t="s">
        <v>34</v>
      </c>
      <c r="M2825" s="59">
        <v>1891.0</v>
      </c>
      <c r="N2825" s="59">
        <v>246.0</v>
      </c>
      <c r="O2825" s="59">
        <v>15.53</v>
      </c>
      <c r="P2825" s="59">
        <v>3820.38</v>
      </c>
      <c r="Q2825" s="59"/>
      <c r="R2825" s="240">
        <v>3820.38</v>
      </c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</row>
    <row r="2826">
      <c r="A2826" s="2"/>
      <c r="B2826" s="52">
        <v>2.0</v>
      </c>
      <c r="C2826" s="59">
        <v>1.004756146E9</v>
      </c>
      <c r="D2826" s="59" t="s">
        <v>193</v>
      </c>
      <c r="E2826" s="59" t="s">
        <v>35</v>
      </c>
      <c r="F2826" s="59" t="s">
        <v>40</v>
      </c>
      <c r="G2826" s="59" t="s">
        <v>36</v>
      </c>
      <c r="H2826" s="59" t="s">
        <v>37</v>
      </c>
      <c r="I2826" s="61"/>
      <c r="J2826" s="61"/>
      <c r="K2826" s="59" t="s">
        <v>38</v>
      </c>
      <c r="L2826" s="59" t="s">
        <v>97</v>
      </c>
      <c r="M2826" s="59">
        <v>3572.0</v>
      </c>
      <c r="N2826" s="59">
        <v>200.0</v>
      </c>
      <c r="O2826" s="59">
        <v>19.28</v>
      </c>
      <c r="P2826" s="59">
        <v>3856.0</v>
      </c>
      <c r="Q2826" s="61"/>
      <c r="R2826" s="240">
        <v>3856.0</v>
      </c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</row>
    <row r="2827">
      <c r="A2827" s="2"/>
      <c r="B2827" s="52">
        <v>3.0</v>
      </c>
      <c r="C2827" s="59">
        <v>1.004756224E9</v>
      </c>
      <c r="D2827" s="59" t="s">
        <v>193</v>
      </c>
      <c r="E2827" s="59" t="s">
        <v>42</v>
      </c>
      <c r="F2827" s="59" t="s">
        <v>44</v>
      </c>
      <c r="G2827" s="59" t="s">
        <v>43</v>
      </c>
      <c r="H2827" s="61"/>
      <c r="I2827" s="61"/>
      <c r="J2827" s="61"/>
      <c r="K2827" s="59" t="s">
        <v>45</v>
      </c>
      <c r="L2827" s="59" t="s">
        <v>98</v>
      </c>
      <c r="M2827" s="59">
        <v>1633.0</v>
      </c>
      <c r="N2827" s="59">
        <v>299.0</v>
      </c>
      <c r="O2827" s="59">
        <v>15.53</v>
      </c>
      <c r="P2827" s="59">
        <v>4643.47</v>
      </c>
      <c r="Q2827" s="61"/>
      <c r="R2827" s="240">
        <v>4643.47</v>
      </c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</row>
    <row r="2828">
      <c r="A2828" s="2"/>
      <c r="B2828" s="52">
        <v>4.0</v>
      </c>
      <c r="C2828" s="59">
        <v>1.004756227E9</v>
      </c>
      <c r="D2828" s="59" t="s">
        <v>193</v>
      </c>
      <c r="E2828" s="59" t="s">
        <v>51</v>
      </c>
      <c r="F2828" s="59" t="s">
        <v>49</v>
      </c>
      <c r="G2828" s="59" t="s">
        <v>44</v>
      </c>
      <c r="H2828" s="61"/>
      <c r="I2828" s="61"/>
      <c r="J2828" s="61"/>
      <c r="K2828" s="59" t="s">
        <v>45</v>
      </c>
      <c r="L2828" s="59" t="s">
        <v>50</v>
      </c>
      <c r="M2828" s="59">
        <v>1507.0</v>
      </c>
      <c r="N2828" s="59">
        <v>230.0</v>
      </c>
      <c r="O2828" s="59">
        <v>15.53</v>
      </c>
      <c r="P2828" s="59">
        <v>3571.9</v>
      </c>
      <c r="Q2828" s="61"/>
      <c r="R2828" s="240">
        <v>3571.9</v>
      </c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</row>
    <row r="2829">
      <c r="A2829" s="2"/>
      <c r="B2829" s="52">
        <v>5.0</v>
      </c>
      <c r="C2829" s="59">
        <v>1.004756581E9</v>
      </c>
      <c r="D2829" s="59" t="s">
        <v>193</v>
      </c>
      <c r="E2829" s="59" t="s">
        <v>51</v>
      </c>
      <c r="F2829" s="59" t="s">
        <v>44</v>
      </c>
      <c r="G2829" s="59"/>
      <c r="H2829" s="61"/>
      <c r="I2829" s="61"/>
      <c r="J2829" s="61"/>
      <c r="K2829" s="59" t="s">
        <v>45</v>
      </c>
      <c r="L2829" s="59" t="s">
        <v>52</v>
      </c>
      <c r="M2829" s="59">
        <v>1539.0</v>
      </c>
      <c r="N2829" s="59">
        <v>230.0</v>
      </c>
      <c r="O2829" s="59">
        <v>15.53</v>
      </c>
      <c r="P2829" s="59">
        <v>3571.9</v>
      </c>
      <c r="Q2829" s="61"/>
      <c r="R2829" s="240">
        <v>3571.9</v>
      </c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</row>
    <row r="2830">
      <c r="A2830" s="2"/>
      <c r="B2830" s="52">
        <v>6.0</v>
      </c>
      <c r="C2830" s="59">
        <v>1.004756589E9</v>
      </c>
      <c r="D2830" s="59" t="s">
        <v>193</v>
      </c>
      <c r="E2830" s="59" t="s">
        <v>51</v>
      </c>
      <c r="F2830" s="59" t="s">
        <v>44</v>
      </c>
      <c r="G2830" s="59" t="s">
        <v>49</v>
      </c>
      <c r="H2830" s="61"/>
      <c r="I2830" s="61"/>
      <c r="J2830" s="61"/>
      <c r="K2830" s="59" t="s">
        <v>45</v>
      </c>
      <c r="L2830" s="59" t="s">
        <v>99</v>
      </c>
      <c r="M2830" s="59">
        <v>1513.0</v>
      </c>
      <c r="N2830" s="59">
        <v>230.0</v>
      </c>
      <c r="O2830" s="59">
        <v>15.53</v>
      </c>
      <c r="P2830" s="59">
        <v>3571.9</v>
      </c>
      <c r="Q2830" s="61"/>
      <c r="R2830" s="240">
        <v>3571.9</v>
      </c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</row>
    <row r="2831">
      <c r="A2831" s="2"/>
      <c r="B2831" s="52">
        <v>7.0</v>
      </c>
      <c r="C2831" s="59">
        <v>1.0047566E9</v>
      </c>
      <c r="D2831" s="59" t="s">
        <v>193</v>
      </c>
      <c r="E2831" s="59" t="s">
        <v>51</v>
      </c>
      <c r="F2831" s="59" t="s">
        <v>49</v>
      </c>
      <c r="G2831" s="59" t="s">
        <v>44</v>
      </c>
      <c r="H2831" s="59"/>
      <c r="I2831" s="61"/>
      <c r="J2831" s="61"/>
      <c r="K2831" s="59" t="s">
        <v>45</v>
      </c>
      <c r="L2831" s="59" t="s">
        <v>53</v>
      </c>
      <c r="M2831" s="59">
        <v>1685.0</v>
      </c>
      <c r="N2831" s="59">
        <v>230.0</v>
      </c>
      <c r="O2831" s="59">
        <v>15.53</v>
      </c>
      <c r="P2831" s="59">
        <v>3571.9</v>
      </c>
      <c r="Q2831" s="61"/>
      <c r="R2831" s="240">
        <v>3571.9</v>
      </c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</row>
    <row r="2832">
      <c r="A2832" s="2"/>
      <c r="B2832" s="52">
        <v>8.0</v>
      </c>
      <c r="C2832" s="59">
        <v>1.004756596E9</v>
      </c>
      <c r="D2832" s="59" t="s">
        <v>193</v>
      </c>
      <c r="E2832" s="59" t="s">
        <v>51</v>
      </c>
      <c r="F2832" s="59" t="s">
        <v>44</v>
      </c>
      <c r="G2832" s="59"/>
      <c r="H2832" s="59"/>
      <c r="I2832" s="61"/>
      <c r="J2832" s="61"/>
      <c r="K2832" s="59" t="s">
        <v>45</v>
      </c>
      <c r="L2832" s="59" t="s">
        <v>54</v>
      </c>
      <c r="M2832" s="59">
        <v>1731.0</v>
      </c>
      <c r="N2832" s="59">
        <v>230.0</v>
      </c>
      <c r="O2832" s="59">
        <v>15.53</v>
      </c>
      <c r="P2832" s="59">
        <v>3571.9</v>
      </c>
      <c r="Q2832" s="59"/>
      <c r="R2832" s="240">
        <v>3571.9</v>
      </c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</row>
    <row r="2833">
      <c r="A2833" s="2"/>
      <c r="B2833" s="52">
        <v>9.0</v>
      </c>
      <c r="C2833" s="59">
        <v>1.004757293E9</v>
      </c>
      <c r="D2833" s="59" t="s">
        <v>193</v>
      </c>
      <c r="E2833" s="59" t="s">
        <v>55</v>
      </c>
      <c r="F2833" s="59" t="s">
        <v>57</v>
      </c>
      <c r="G2833" s="59" t="s">
        <v>56</v>
      </c>
      <c r="H2833" s="59" t="s">
        <v>103</v>
      </c>
      <c r="I2833" s="59" t="s">
        <v>58</v>
      </c>
      <c r="J2833" s="59" t="s">
        <v>59</v>
      </c>
      <c r="K2833" s="59" t="s">
        <v>33</v>
      </c>
      <c r="L2833" s="59" t="s">
        <v>60</v>
      </c>
      <c r="M2833" s="59">
        <v>2032.0</v>
      </c>
      <c r="N2833" s="59">
        <v>572.0</v>
      </c>
      <c r="O2833" s="59">
        <v>15.53</v>
      </c>
      <c r="P2833" s="59">
        <v>8883.16</v>
      </c>
      <c r="Q2833" s="59">
        <v>330.0</v>
      </c>
      <c r="R2833" s="240">
        <v>9213.16</v>
      </c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</row>
    <row r="2834">
      <c r="A2834" s="2"/>
      <c r="B2834" s="52">
        <v>10.0</v>
      </c>
      <c r="C2834" s="59">
        <v>1.004757194E9</v>
      </c>
      <c r="D2834" s="59" t="s">
        <v>193</v>
      </c>
      <c r="E2834" s="59" t="s">
        <v>61</v>
      </c>
      <c r="F2834" s="59" t="s">
        <v>74</v>
      </c>
      <c r="G2834" s="59" t="s">
        <v>62</v>
      </c>
      <c r="H2834" s="59" t="s">
        <v>73</v>
      </c>
      <c r="I2834" s="59" t="s">
        <v>75</v>
      </c>
      <c r="J2834" s="61"/>
      <c r="K2834" s="59" t="s">
        <v>38</v>
      </c>
      <c r="L2834" s="59" t="s">
        <v>194</v>
      </c>
      <c r="M2834" s="59">
        <v>3750.0</v>
      </c>
      <c r="N2834" s="59">
        <v>560.0</v>
      </c>
      <c r="O2834" s="59">
        <v>19.28</v>
      </c>
      <c r="P2834" s="59">
        <v>10796.8</v>
      </c>
      <c r="Q2834" s="59">
        <v>1085.0</v>
      </c>
      <c r="R2834" s="240">
        <v>11888.8</v>
      </c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</row>
    <row r="2835">
      <c r="A2835" s="2"/>
      <c r="B2835" s="11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66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</row>
    <row r="2836">
      <c r="A2836" s="2"/>
      <c r="B2836" s="72" t="s">
        <v>64</v>
      </c>
      <c r="C2836" s="68"/>
      <c r="D2836" s="73"/>
      <c r="E2836" s="68"/>
      <c r="F2836" s="68"/>
      <c r="G2836" s="68"/>
      <c r="H2836" s="68"/>
      <c r="I2836" s="68"/>
      <c r="J2836" s="68"/>
      <c r="K2836" s="68"/>
      <c r="L2836" s="68"/>
      <c r="M2836" s="68"/>
      <c r="N2836" s="74" t="s">
        <v>65</v>
      </c>
      <c r="O2836" s="4"/>
      <c r="P2836" s="75">
        <f t="shared" ref="P2836:R2836" si="232">SUM(P2825:P2834)</f>
        <v>49859.31</v>
      </c>
      <c r="Q2836" s="75">
        <f t="shared" si="232"/>
        <v>1415</v>
      </c>
      <c r="R2836" s="75">
        <f t="shared" si="232"/>
        <v>51281.31</v>
      </c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</row>
    <row r="2837">
      <c r="A2837" s="2"/>
      <c r="B2837" s="72" t="s">
        <v>66</v>
      </c>
      <c r="C2837" s="68"/>
      <c r="D2837" s="68"/>
      <c r="E2837" s="68"/>
      <c r="F2837" s="68"/>
      <c r="G2837" s="68"/>
      <c r="H2837" s="68"/>
      <c r="I2837" s="68"/>
      <c r="J2837" s="68"/>
      <c r="K2837" s="68"/>
      <c r="L2837" s="68"/>
      <c r="M2837" s="68"/>
      <c r="N2837" s="68"/>
      <c r="O2837" s="76"/>
      <c r="P2837" s="78" t="s">
        <v>67</v>
      </c>
      <c r="Q2837" s="31"/>
      <c r="R2837" s="3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</row>
    <row r="2838">
      <c r="A2838" s="2"/>
      <c r="B2838" s="81" t="s">
        <v>68</v>
      </c>
      <c r="P2838" s="29"/>
      <c r="Q2838" s="29"/>
      <c r="R2838" s="8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</row>
    <row r="2839">
      <c r="A2839" s="2"/>
      <c r="B2839" s="81" t="s">
        <v>70</v>
      </c>
      <c r="P2839" s="29"/>
      <c r="Q2839" s="29"/>
      <c r="R2839" s="8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</row>
    <row r="2840">
      <c r="A2840" s="2"/>
      <c r="B2840" s="11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66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</row>
    <row r="2841">
      <c r="A2841" s="2"/>
      <c r="B2841" s="11"/>
      <c r="C2841" s="2"/>
      <c r="D2841" s="2"/>
      <c r="E2841" s="2"/>
      <c r="F2841" s="2"/>
      <c r="G2841" s="2"/>
      <c r="H2841" s="2"/>
      <c r="I2841" s="2"/>
      <c r="J2841" s="2"/>
      <c r="K2841" s="87" t="s">
        <v>71</v>
      </c>
      <c r="L2841" s="2"/>
      <c r="M2841" s="2"/>
      <c r="N2841" s="2"/>
      <c r="O2841" s="2"/>
      <c r="P2841" s="12" t="s">
        <v>72</v>
      </c>
      <c r="R2841" s="10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</row>
    <row r="2842">
      <c r="A2842" s="2"/>
      <c r="B2842" s="90"/>
      <c r="C2842" s="36"/>
      <c r="D2842" s="36"/>
      <c r="E2842" s="36"/>
      <c r="F2842" s="36"/>
      <c r="G2842" s="36"/>
      <c r="H2842" s="36"/>
      <c r="I2842" s="36"/>
      <c r="J2842" s="36"/>
      <c r="K2842" s="36"/>
      <c r="L2842" s="36"/>
      <c r="M2842" s="36"/>
      <c r="N2842" s="36"/>
      <c r="O2842" s="36"/>
      <c r="P2842" s="36"/>
      <c r="Q2842" s="36"/>
      <c r="R2842" s="91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</row>
    <row r="2843">
      <c r="A2843" s="2"/>
      <c r="B2843" s="177"/>
      <c r="C2843" s="177"/>
      <c r="D2843" s="177"/>
      <c r="E2843" s="177"/>
      <c r="F2843" s="177"/>
      <c r="G2843" s="177"/>
      <c r="H2843" s="177"/>
      <c r="I2843" s="177"/>
      <c r="J2843" s="177"/>
      <c r="K2843" s="177"/>
      <c r="L2843" s="177"/>
      <c r="M2843" s="177"/>
      <c r="N2843" s="177"/>
      <c r="O2843" s="177"/>
      <c r="P2843" s="177"/>
      <c r="Q2843" s="177"/>
      <c r="R2843" s="177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</row>
    <row r="2844">
      <c r="A2844" s="2"/>
      <c r="B2844" s="177"/>
      <c r="C2844" s="177"/>
      <c r="D2844" s="177"/>
      <c r="E2844" s="177"/>
      <c r="F2844" s="177"/>
      <c r="G2844" s="177"/>
      <c r="H2844" s="177"/>
      <c r="I2844" s="177"/>
      <c r="J2844" s="177"/>
      <c r="K2844" s="177"/>
      <c r="L2844" s="177"/>
      <c r="M2844" s="177"/>
      <c r="N2844" s="177"/>
      <c r="O2844" s="177"/>
      <c r="P2844" s="177"/>
      <c r="Q2844" s="177"/>
      <c r="R2844" s="177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</row>
    <row r="2845">
      <c r="A2845" s="2"/>
      <c r="B2845" s="177"/>
      <c r="C2845" s="177"/>
      <c r="D2845" s="177"/>
      <c r="E2845" s="177"/>
      <c r="F2845" s="177"/>
      <c r="G2845" s="177"/>
      <c r="H2845" s="177"/>
      <c r="I2845" s="177"/>
      <c r="J2845" s="177"/>
      <c r="K2845" s="177"/>
      <c r="L2845" s="177"/>
      <c r="M2845" s="177"/>
      <c r="N2845" s="177"/>
      <c r="O2845" s="177"/>
      <c r="P2845" s="177"/>
      <c r="Q2845" s="177"/>
      <c r="R2845" s="177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</row>
    <row r="2846">
      <c r="A2846" s="2"/>
      <c r="B2846" s="177"/>
      <c r="C2846" s="177"/>
      <c r="D2846" s="177"/>
      <c r="E2846" s="177"/>
      <c r="F2846" s="177"/>
      <c r="G2846" s="177"/>
      <c r="H2846" s="177"/>
      <c r="I2846" s="177"/>
      <c r="J2846" s="177"/>
      <c r="K2846" s="177"/>
      <c r="L2846" s="177"/>
      <c r="M2846" s="177"/>
      <c r="N2846" s="177"/>
      <c r="O2846" s="177"/>
      <c r="P2846" s="177"/>
      <c r="Q2846" s="177"/>
      <c r="R2846" s="177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</row>
    <row r="2847">
      <c r="A2847" s="2"/>
      <c r="B2847" s="176" t="s">
        <v>1</v>
      </c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5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</row>
    <row r="2848">
      <c r="A2848" s="2"/>
      <c r="B2848" s="11"/>
      <c r="F2848" s="12"/>
      <c r="G2848" s="12"/>
      <c r="I2848" s="12"/>
      <c r="J2848" s="12" t="s">
        <v>2</v>
      </c>
      <c r="N2848" s="2"/>
      <c r="R2848" s="10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</row>
    <row r="2849">
      <c r="A2849" s="2"/>
      <c r="B2849" s="14"/>
      <c r="F2849" s="12"/>
      <c r="G2849" s="12"/>
      <c r="H2849" s="12"/>
      <c r="I2849" s="12"/>
      <c r="J2849" s="12" t="s">
        <v>3</v>
      </c>
      <c r="N2849" s="2"/>
      <c r="R2849" s="10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</row>
    <row r="2850">
      <c r="A2850" s="2"/>
      <c r="B2850" s="14" t="s">
        <v>4</v>
      </c>
      <c r="R2850" s="10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</row>
    <row r="2851">
      <c r="A2851" s="2"/>
      <c r="B2851" s="21" t="s">
        <v>5</v>
      </c>
      <c r="C2851" s="22" t="s">
        <v>6</v>
      </c>
      <c r="D2851" s="4"/>
      <c r="E2851" s="4"/>
      <c r="F2851" s="4"/>
      <c r="G2851" s="4"/>
      <c r="H2851" s="4"/>
      <c r="I2851" s="4"/>
      <c r="J2851" s="4"/>
      <c r="K2851" s="5"/>
      <c r="L2851" s="23" t="s">
        <v>7</v>
      </c>
      <c r="M2851" s="87">
        <v>34.0</v>
      </c>
      <c r="N2851" s="24"/>
      <c r="O2851" s="4"/>
      <c r="P2851" s="4"/>
      <c r="Q2851" s="4"/>
      <c r="R2851" s="5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</row>
    <row r="2852">
      <c r="A2852" s="2"/>
      <c r="B2852" s="28"/>
      <c r="C2852" s="29" t="s">
        <v>8</v>
      </c>
      <c r="K2852" s="10"/>
      <c r="L2852" s="23" t="s">
        <v>9</v>
      </c>
      <c r="M2852" s="2"/>
      <c r="N2852" s="2"/>
      <c r="R2852" s="10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</row>
    <row r="2853">
      <c r="A2853" s="2"/>
      <c r="B2853" s="21" t="s">
        <v>11</v>
      </c>
      <c r="C2853" s="35" t="s">
        <v>12</v>
      </c>
      <c r="D2853" s="31"/>
      <c r="E2853" s="31"/>
      <c r="F2853" s="31"/>
      <c r="G2853" s="31"/>
      <c r="H2853" s="31"/>
      <c r="I2853" s="31"/>
      <c r="J2853" s="31"/>
      <c r="K2853" s="32"/>
      <c r="L2853" s="23" t="s">
        <v>13</v>
      </c>
      <c r="M2853" s="36"/>
      <c r="N2853" s="36"/>
      <c r="O2853" s="31"/>
      <c r="P2853" s="31"/>
      <c r="Q2853" s="31"/>
      <c r="R2853" s="3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</row>
    <row r="2854">
      <c r="A2854" s="2"/>
      <c r="B2854" s="11"/>
      <c r="R2854" s="10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</row>
    <row r="2855">
      <c r="A2855" s="2"/>
      <c r="B2855" s="46" t="s">
        <v>15</v>
      </c>
      <c r="C2855" s="47" t="s">
        <v>16</v>
      </c>
      <c r="D2855" s="48" t="s">
        <v>17</v>
      </c>
      <c r="E2855" s="48" t="s">
        <v>18</v>
      </c>
      <c r="F2855" s="49" t="s">
        <v>19</v>
      </c>
      <c r="G2855" s="43"/>
      <c r="H2855" s="43"/>
      <c r="I2855" s="43"/>
      <c r="J2855" s="44"/>
      <c r="K2855" s="48" t="s">
        <v>20</v>
      </c>
      <c r="L2855" s="48" t="s">
        <v>21</v>
      </c>
      <c r="M2855" s="48" t="s">
        <v>22</v>
      </c>
      <c r="N2855" s="48" t="s">
        <v>23</v>
      </c>
      <c r="O2855" s="48" t="s">
        <v>24</v>
      </c>
      <c r="P2855" s="48" t="s">
        <v>25</v>
      </c>
      <c r="Q2855" s="48" t="s">
        <v>26</v>
      </c>
      <c r="R2855" s="50" t="s">
        <v>27</v>
      </c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</row>
    <row r="2856">
      <c r="A2856" s="2"/>
      <c r="B2856" s="52">
        <v>1.0</v>
      </c>
      <c r="C2856" s="59">
        <v>1.004758199E9</v>
      </c>
      <c r="D2856" s="59" t="s">
        <v>195</v>
      </c>
      <c r="E2856" s="59" t="s">
        <v>28</v>
      </c>
      <c r="F2856" s="59" t="s">
        <v>30</v>
      </c>
      <c r="G2856" s="59" t="s">
        <v>31</v>
      </c>
      <c r="H2856" s="59" t="s">
        <v>29</v>
      </c>
      <c r="I2856" s="59" t="s">
        <v>32</v>
      </c>
      <c r="J2856" s="61"/>
      <c r="K2856" s="59" t="s">
        <v>33</v>
      </c>
      <c r="L2856" s="59" t="s">
        <v>34</v>
      </c>
      <c r="M2856" s="59">
        <v>2069.0</v>
      </c>
      <c r="N2856" s="59">
        <v>246.0</v>
      </c>
      <c r="O2856" s="59">
        <v>15.53</v>
      </c>
      <c r="P2856" s="61">
        <f t="shared" ref="P2856:P2859" si="233">N2856*O2856</f>
        <v>3820.38</v>
      </c>
      <c r="Q2856" s="59"/>
      <c r="R2856" s="240">
        <v>3820.38</v>
      </c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</row>
    <row r="2857">
      <c r="A2857" s="2"/>
      <c r="B2857" s="52">
        <v>2.0</v>
      </c>
      <c r="C2857" s="59">
        <v>1.00475854E9</v>
      </c>
      <c r="D2857" s="59" t="s">
        <v>195</v>
      </c>
      <c r="E2857" s="59" t="s">
        <v>35</v>
      </c>
      <c r="F2857" s="59" t="s">
        <v>36</v>
      </c>
      <c r="G2857" s="59" t="s">
        <v>40</v>
      </c>
      <c r="H2857" s="59"/>
      <c r="I2857" s="61"/>
      <c r="J2857" s="61"/>
      <c r="K2857" s="59" t="s">
        <v>33</v>
      </c>
      <c r="L2857" s="59" t="s">
        <v>41</v>
      </c>
      <c r="M2857" s="59">
        <v>2053.0</v>
      </c>
      <c r="N2857" s="59">
        <v>150.0</v>
      </c>
      <c r="O2857" s="59">
        <v>15.53</v>
      </c>
      <c r="P2857" s="61">
        <f t="shared" si="233"/>
        <v>2329.5</v>
      </c>
      <c r="Q2857" s="61"/>
      <c r="R2857" s="240">
        <v>2329.5</v>
      </c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</row>
    <row r="2858">
      <c r="A2858" s="2"/>
      <c r="B2858" s="52">
        <v>3.0</v>
      </c>
      <c r="C2858" s="59">
        <v>1.004758063E9</v>
      </c>
      <c r="D2858" s="59" t="s">
        <v>195</v>
      </c>
      <c r="E2858" s="59" t="s">
        <v>35</v>
      </c>
      <c r="F2858" s="59" t="s">
        <v>36</v>
      </c>
      <c r="G2858" s="59" t="s">
        <v>40</v>
      </c>
      <c r="H2858" s="59" t="s">
        <v>37</v>
      </c>
      <c r="I2858" s="61"/>
      <c r="J2858" s="61"/>
      <c r="K2858" s="59" t="s">
        <v>38</v>
      </c>
      <c r="L2858" s="59" t="s">
        <v>96</v>
      </c>
      <c r="M2858" s="59">
        <v>3463.0</v>
      </c>
      <c r="N2858" s="59">
        <v>200.0</v>
      </c>
      <c r="O2858" s="59">
        <v>19.28</v>
      </c>
      <c r="P2858" s="61">
        <f t="shared" si="233"/>
        <v>3856</v>
      </c>
      <c r="Q2858" s="61"/>
      <c r="R2858" s="240">
        <v>3856.0</v>
      </c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</row>
    <row r="2859">
      <c r="A2859" s="2"/>
      <c r="B2859" s="52">
        <v>4.0</v>
      </c>
      <c r="C2859" s="59">
        <v>1.004758387E9</v>
      </c>
      <c r="D2859" s="59" t="s">
        <v>195</v>
      </c>
      <c r="E2859" s="59" t="s">
        <v>47</v>
      </c>
      <c r="F2859" s="59" t="s">
        <v>44</v>
      </c>
      <c r="G2859" s="59" t="s">
        <v>48</v>
      </c>
      <c r="H2859" s="59"/>
      <c r="I2859" s="61"/>
      <c r="J2859" s="61"/>
      <c r="K2859" s="59" t="s">
        <v>45</v>
      </c>
      <c r="L2859" s="59" t="s">
        <v>98</v>
      </c>
      <c r="M2859" s="59">
        <v>1778.0</v>
      </c>
      <c r="N2859" s="59">
        <v>250.0</v>
      </c>
      <c r="O2859" s="59">
        <v>15.53</v>
      </c>
      <c r="P2859" s="61">
        <f t="shared" si="233"/>
        <v>3882.5</v>
      </c>
      <c r="Q2859" s="61"/>
      <c r="R2859" s="240">
        <v>3882.5</v>
      </c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</row>
    <row r="2860">
      <c r="A2860" s="2"/>
      <c r="B2860" s="52">
        <v>5.0</v>
      </c>
      <c r="C2860" s="59">
        <v>1.004758368E9</v>
      </c>
      <c r="D2860" s="59" t="s">
        <v>195</v>
      </c>
      <c r="E2860" s="59" t="s">
        <v>51</v>
      </c>
      <c r="F2860" s="59" t="s">
        <v>44</v>
      </c>
      <c r="G2860" s="59"/>
      <c r="H2860" s="61"/>
      <c r="I2860" s="61"/>
      <c r="J2860" s="61"/>
      <c r="K2860" s="59" t="s">
        <v>45</v>
      </c>
      <c r="L2860" s="59" t="s">
        <v>50</v>
      </c>
      <c r="M2860" s="59">
        <v>1595.0</v>
      </c>
      <c r="N2860" s="59">
        <v>230.0</v>
      </c>
      <c r="O2860" s="59" t="s">
        <v>196</v>
      </c>
      <c r="P2860" s="61">
        <f>SUM(P2859)</f>
        <v>3882.5</v>
      </c>
      <c r="Q2860" s="61"/>
      <c r="R2860" s="240">
        <v>3882.5</v>
      </c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</row>
    <row r="2861">
      <c r="A2861" s="2"/>
      <c r="B2861" s="52">
        <v>6.0</v>
      </c>
      <c r="C2861" s="59">
        <v>1.004758632E9</v>
      </c>
      <c r="D2861" s="59" t="s">
        <v>195</v>
      </c>
      <c r="E2861" s="59" t="s">
        <v>51</v>
      </c>
      <c r="F2861" s="59" t="s">
        <v>44</v>
      </c>
      <c r="G2861" s="59" t="s">
        <v>49</v>
      </c>
      <c r="H2861" s="61"/>
      <c r="I2861" s="61"/>
      <c r="J2861" s="61"/>
      <c r="K2861" s="59" t="s">
        <v>45</v>
      </c>
      <c r="L2861" s="59" t="s">
        <v>52</v>
      </c>
      <c r="M2861" s="59">
        <v>1432.0</v>
      </c>
      <c r="N2861" s="59">
        <v>230.0</v>
      </c>
      <c r="O2861" s="59">
        <v>15.53</v>
      </c>
      <c r="P2861" s="61">
        <f t="shared" ref="P2861:P2865" si="234">N2861*O2861</f>
        <v>3571.9</v>
      </c>
      <c r="Q2861" s="61"/>
      <c r="R2861" s="240">
        <v>3571.9</v>
      </c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</row>
    <row r="2862">
      <c r="A2862" s="2"/>
      <c r="B2862" s="52">
        <v>7.0</v>
      </c>
      <c r="C2862" s="59">
        <v>1.004759103E9</v>
      </c>
      <c r="D2862" s="59" t="s">
        <v>195</v>
      </c>
      <c r="E2862" s="59" t="s">
        <v>51</v>
      </c>
      <c r="F2862" s="59" t="s">
        <v>44</v>
      </c>
      <c r="G2862" s="59" t="s">
        <v>49</v>
      </c>
      <c r="H2862" s="59"/>
      <c r="I2862" s="61"/>
      <c r="J2862" s="61"/>
      <c r="K2862" s="59" t="s">
        <v>45</v>
      </c>
      <c r="L2862" s="59" t="s">
        <v>53</v>
      </c>
      <c r="M2862" s="59">
        <v>1838.0</v>
      </c>
      <c r="N2862" s="59">
        <v>230.0</v>
      </c>
      <c r="O2862" s="59">
        <v>15.53</v>
      </c>
      <c r="P2862" s="61">
        <f t="shared" si="234"/>
        <v>3571.9</v>
      </c>
      <c r="Q2862" s="61"/>
      <c r="R2862" s="240">
        <v>3571.9</v>
      </c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</row>
    <row r="2863">
      <c r="A2863" s="2"/>
      <c r="B2863" s="52">
        <v>8.0</v>
      </c>
      <c r="C2863" s="59">
        <v>1.004759098E9</v>
      </c>
      <c r="D2863" s="59" t="s">
        <v>195</v>
      </c>
      <c r="E2863" s="59" t="s">
        <v>51</v>
      </c>
      <c r="F2863" s="59" t="s">
        <v>44</v>
      </c>
      <c r="G2863" s="59"/>
      <c r="H2863" s="59"/>
      <c r="I2863" s="61"/>
      <c r="J2863" s="61"/>
      <c r="K2863" s="59" t="s">
        <v>45</v>
      </c>
      <c r="L2863" s="59" t="s">
        <v>112</v>
      </c>
      <c r="M2863" s="59">
        <v>1564.0</v>
      </c>
      <c r="N2863" s="59">
        <v>230.0</v>
      </c>
      <c r="O2863" s="59">
        <v>15.53</v>
      </c>
      <c r="P2863" s="61">
        <f t="shared" si="234"/>
        <v>3571.9</v>
      </c>
      <c r="Q2863" s="59"/>
      <c r="R2863" s="240">
        <v>3571.9</v>
      </c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</row>
    <row r="2864">
      <c r="A2864" s="2"/>
      <c r="B2864" s="52">
        <v>9.0</v>
      </c>
      <c r="C2864" s="59">
        <v>1.004758637E9</v>
      </c>
      <c r="D2864" s="59" t="s">
        <v>195</v>
      </c>
      <c r="E2864" s="59" t="s">
        <v>51</v>
      </c>
      <c r="F2864" s="59" t="s">
        <v>44</v>
      </c>
      <c r="G2864" s="61"/>
      <c r="H2864" s="59"/>
      <c r="I2864" s="61"/>
      <c r="J2864" s="61"/>
      <c r="K2864" s="59" t="s">
        <v>45</v>
      </c>
      <c r="L2864" s="59" t="s">
        <v>54</v>
      </c>
      <c r="M2864" s="59">
        <v>1592.0</v>
      </c>
      <c r="N2864" s="59">
        <v>230.0</v>
      </c>
      <c r="O2864" s="59">
        <v>15.53</v>
      </c>
      <c r="P2864" s="61">
        <f t="shared" si="234"/>
        <v>3571.9</v>
      </c>
      <c r="Q2864" s="59"/>
      <c r="R2864" s="240">
        <v>3571.9</v>
      </c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</row>
    <row r="2865">
      <c r="A2865" s="2"/>
      <c r="B2865" s="52">
        <v>10.0</v>
      </c>
      <c r="C2865" s="59">
        <v>1.004759595E9</v>
      </c>
      <c r="D2865" s="59" t="s">
        <v>195</v>
      </c>
      <c r="E2865" s="59" t="s">
        <v>77</v>
      </c>
      <c r="F2865" s="59" t="s">
        <v>116</v>
      </c>
      <c r="G2865" s="59" t="s">
        <v>78</v>
      </c>
      <c r="H2865" s="59"/>
      <c r="I2865" s="59"/>
      <c r="J2865" s="61"/>
      <c r="K2865" s="59" t="s">
        <v>33</v>
      </c>
      <c r="L2865" s="59" t="s">
        <v>104</v>
      </c>
      <c r="M2865" s="59">
        <v>1994.0</v>
      </c>
      <c r="N2865" s="59">
        <v>266.0</v>
      </c>
      <c r="O2865" s="59">
        <v>15.53</v>
      </c>
      <c r="P2865" s="61">
        <f t="shared" si="234"/>
        <v>4130.98</v>
      </c>
      <c r="Q2865" s="59">
        <v>200.0</v>
      </c>
      <c r="R2865" s="240">
        <v>41330.98</v>
      </c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</row>
    <row r="2866">
      <c r="A2866" s="2"/>
      <c r="B2866" s="11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66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</row>
    <row r="2867">
      <c r="A2867" s="2"/>
      <c r="B2867" s="72" t="s">
        <v>64</v>
      </c>
      <c r="C2867" s="68"/>
      <c r="D2867" s="73"/>
      <c r="E2867" s="68"/>
      <c r="F2867" s="68"/>
      <c r="G2867" s="68"/>
      <c r="H2867" s="68"/>
      <c r="I2867" s="68"/>
      <c r="J2867" s="68"/>
      <c r="K2867" s="68"/>
      <c r="L2867" s="68"/>
      <c r="M2867" s="68"/>
      <c r="N2867" s="74" t="s">
        <v>65</v>
      </c>
      <c r="O2867" s="4"/>
      <c r="P2867" s="75">
        <f t="shared" ref="P2867:R2867" si="235">SUM(P2856:P2865)</f>
        <v>36189.46</v>
      </c>
      <c r="Q2867" s="75">
        <f t="shared" si="235"/>
        <v>200</v>
      </c>
      <c r="R2867" s="75">
        <f t="shared" si="235"/>
        <v>73389.46</v>
      </c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</row>
    <row r="2868">
      <c r="A2868" s="2"/>
      <c r="B2868" s="72" t="s">
        <v>66</v>
      </c>
      <c r="C2868" s="68"/>
      <c r="D2868" s="68"/>
      <c r="E2868" s="68"/>
      <c r="F2868" s="68"/>
      <c r="G2868" s="68"/>
      <c r="H2868" s="68"/>
      <c r="I2868" s="68"/>
      <c r="J2868" s="68"/>
      <c r="K2868" s="68"/>
      <c r="L2868" s="68"/>
      <c r="M2868" s="68"/>
      <c r="N2868" s="68"/>
      <c r="O2868" s="76"/>
      <c r="P2868" s="78" t="s">
        <v>67</v>
      </c>
      <c r="Q2868" s="31"/>
      <c r="R2868" s="3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</row>
    <row r="2869">
      <c r="A2869" s="2"/>
      <c r="B2869" s="81" t="s">
        <v>68</v>
      </c>
      <c r="P2869" s="29"/>
      <c r="Q2869" s="29"/>
      <c r="R2869" s="8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</row>
    <row r="2870">
      <c r="A2870" s="2"/>
      <c r="B2870" s="81" t="s">
        <v>70</v>
      </c>
      <c r="P2870" s="29"/>
      <c r="Q2870" s="29"/>
      <c r="R2870" s="8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</row>
    <row r="2871">
      <c r="A2871" s="2"/>
      <c r="B2871" s="11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66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</row>
    <row r="2872">
      <c r="A2872" s="2"/>
      <c r="B2872" s="11"/>
      <c r="C2872" s="2"/>
      <c r="D2872" s="2"/>
      <c r="E2872" s="2"/>
      <c r="F2872" s="2"/>
      <c r="G2872" s="2"/>
      <c r="H2872" s="2"/>
      <c r="I2872" s="2"/>
      <c r="J2872" s="2"/>
      <c r="K2872" s="87" t="s">
        <v>71</v>
      </c>
      <c r="L2872" s="2"/>
      <c r="M2872" s="2"/>
      <c r="N2872" s="2"/>
      <c r="O2872" s="2"/>
      <c r="P2872" s="12" t="s">
        <v>72</v>
      </c>
      <c r="R2872" s="10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</row>
    <row r="2873">
      <c r="A2873" s="2"/>
      <c r="B2873" s="90"/>
      <c r="C2873" s="36"/>
      <c r="D2873" s="36"/>
      <c r="E2873" s="36"/>
      <c r="F2873" s="36"/>
      <c r="G2873" s="36"/>
      <c r="H2873" s="36"/>
      <c r="I2873" s="36"/>
      <c r="J2873" s="36"/>
      <c r="K2873" s="36"/>
      <c r="L2873" s="36"/>
      <c r="M2873" s="36"/>
      <c r="N2873" s="36"/>
      <c r="O2873" s="36"/>
      <c r="P2873" s="36"/>
      <c r="Q2873" s="36"/>
      <c r="R2873" s="91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</row>
    <row r="2874">
      <c r="A2874" s="2"/>
      <c r="B2874" s="177"/>
      <c r="C2874" s="177"/>
      <c r="D2874" s="177"/>
      <c r="E2874" s="177"/>
      <c r="F2874" s="177"/>
      <c r="G2874" s="177"/>
      <c r="H2874" s="177"/>
      <c r="I2874" s="177"/>
      <c r="J2874" s="177"/>
      <c r="K2874" s="177"/>
      <c r="L2874" s="177"/>
      <c r="M2874" s="177"/>
      <c r="N2874" s="177"/>
      <c r="O2874" s="177"/>
      <c r="P2874" s="177"/>
      <c r="Q2874" s="177"/>
      <c r="R2874" s="177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</row>
    <row r="2875">
      <c r="A2875" s="2"/>
      <c r="B2875" s="177"/>
      <c r="C2875" s="177"/>
      <c r="D2875" s="177"/>
      <c r="E2875" s="177"/>
      <c r="F2875" s="177"/>
      <c r="G2875" s="177"/>
      <c r="H2875" s="177"/>
      <c r="I2875" s="177"/>
      <c r="J2875" s="177"/>
      <c r="K2875" s="177"/>
      <c r="L2875" s="177"/>
      <c r="M2875" s="177"/>
      <c r="N2875" s="177"/>
      <c r="O2875" s="177"/>
      <c r="P2875" s="177"/>
      <c r="Q2875" s="177"/>
      <c r="R2875" s="177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</row>
    <row r="2876">
      <c r="A2876" s="2"/>
      <c r="B2876" s="177"/>
      <c r="C2876" s="177"/>
      <c r="D2876" s="177"/>
      <c r="E2876" s="177"/>
      <c r="F2876" s="177"/>
      <c r="G2876" s="177"/>
      <c r="H2876" s="177"/>
      <c r="I2876" s="177"/>
      <c r="J2876" s="177"/>
      <c r="K2876" s="177"/>
      <c r="L2876" s="177"/>
      <c r="M2876" s="177"/>
      <c r="N2876" s="177"/>
      <c r="O2876" s="177"/>
      <c r="P2876" s="177"/>
      <c r="Q2876" s="177"/>
      <c r="R2876" s="177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</row>
    <row r="2877">
      <c r="A2877" s="2"/>
      <c r="B2877" s="176" t="s">
        <v>1</v>
      </c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5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</row>
    <row r="2878">
      <c r="A2878" s="2"/>
      <c r="B2878" s="11"/>
      <c r="F2878" s="12"/>
      <c r="G2878" s="12"/>
      <c r="I2878" s="12"/>
      <c r="J2878" s="12" t="s">
        <v>2</v>
      </c>
      <c r="N2878" s="2"/>
      <c r="R2878" s="10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</row>
    <row r="2879">
      <c r="A2879" s="2"/>
      <c r="B2879" s="14"/>
      <c r="F2879" s="12"/>
      <c r="G2879" s="12"/>
      <c r="H2879" s="12"/>
      <c r="I2879" s="12"/>
      <c r="J2879" s="12" t="s">
        <v>3</v>
      </c>
      <c r="N2879" s="2"/>
      <c r="R2879" s="10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</row>
    <row r="2880">
      <c r="A2880" s="2"/>
      <c r="B2880" s="14" t="s">
        <v>4</v>
      </c>
      <c r="R2880" s="10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</row>
    <row r="2881">
      <c r="A2881" s="2"/>
      <c r="B2881" s="21" t="s">
        <v>5</v>
      </c>
      <c r="C2881" s="22" t="s">
        <v>6</v>
      </c>
      <c r="D2881" s="4"/>
      <c r="E2881" s="4"/>
      <c r="F2881" s="4"/>
      <c r="G2881" s="4"/>
      <c r="H2881" s="4"/>
      <c r="I2881" s="4"/>
      <c r="J2881" s="4"/>
      <c r="K2881" s="5"/>
      <c r="L2881" s="23" t="s">
        <v>7</v>
      </c>
      <c r="M2881" s="87">
        <v>35.0</v>
      </c>
      <c r="N2881" s="24"/>
      <c r="O2881" s="4"/>
      <c r="P2881" s="4"/>
      <c r="Q2881" s="4"/>
      <c r="R2881" s="5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</row>
    <row r="2882">
      <c r="A2882" s="2"/>
      <c r="B2882" s="28"/>
      <c r="C2882" s="29" t="s">
        <v>8</v>
      </c>
      <c r="K2882" s="10"/>
      <c r="L2882" s="23" t="s">
        <v>9</v>
      </c>
      <c r="M2882" s="2"/>
      <c r="N2882" s="2"/>
      <c r="R2882" s="10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</row>
    <row r="2883">
      <c r="A2883" s="2"/>
      <c r="B2883" s="21" t="s">
        <v>11</v>
      </c>
      <c r="C2883" s="35" t="s">
        <v>12</v>
      </c>
      <c r="D2883" s="31"/>
      <c r="E2883" s="31"/>
      <c r="F2883" s="31"/>
      <c r="G2883" s="31"/>
      <c r="H2883" s="31"/>
      <c r="I2883" s="31"/>
      <c r="J2883" s="31"/>
      <c r="K2883" s="32"/>
      <c r="L2883" s="23" t="s">
        <v>13</v>
      </c>
      <c r="M2883" s="36"/>
      <c r="N2883" s="36"/>
      <c r="O2883" s="31"/>
      <c r="P2883" s="31"/>
      <c r="Q2883" s="31"/>
      <c r="R2883" s="3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</row>
    <row r="2884">
      <c r="A2884" s="2"/>
      <c r="B2884" s="11"/>
      <c r="R2884" s="10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</row>
    <row r="2885">
      <c r="A2885" s="2"/>
      <c r="B2885" s="46" t="s">
        <v>15</v>
      </c>
      <c r="C2885" s="47" t="s">
        <v>16</v>
      </c>
      <c r="D2885" s="48" t="s">
        <v>17</v>
      </c>
      <c r="E2885" s="48" t="s">
        <v>18</v>
      </c>
      <c r="F2885" s="49" t="s">
        <v>19</v>
      </c>
      <c r="G2885" s="43"/>
      <c r="H2885" s="43"/>
      <c r="I2885" s="43"/>
      <c r="J2885" s="44"/>
      <c r="K2885" s="48" t="s">
        <v>20</v>
      </c>
      <c r="L2885" s="48" t="s">
        <v>21</v>
      </c>
      <c r="M2885" s="48" t="s">
        <v>22</v>
      </c>
      <c r="N2885" s="48" t="s">
        <v>23</v>
      </c>
      <c r="O2885" s="48" t="s">
        <v>24</v>
      </c>
      <c r="P2885" s="48" t="s">
        <v>25</v>
      </c>
      <c r="Q2885" s="48" t="s">
        <v>26</v>
      </c>
      <c r="R2885" s="50" t="s">
        <v>27</v>
      </c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</row>
    <row r="2886">
      <c r="A2886" s="2"/>
      <c r="B2886" s="52">
        <v>1.0</v>
      </c>
      <c r="C2886" s="59">
        <v>1.004759526E9</v>
      </c>
      <c r="D2886" s="59" t="s">
        <v>195</v>
      </c>
      <c r="E2886" s="59" t="s">
        <v>90</v>
      </c>
      <c r="F2886" s="59" t="s">
        <v>83</v>
      </c>
      <c r="G2886" s="59" t="s">
        <v>91</v>
      </c>
      <c r="H2886" s="59"/>
      <c r="I2886" s="61"/>
      <c r="J2886" s="61"/>
      <c r="K2886" s="59" t="s">
        <v>33</v>
      </c>
      <c r="L2886" s="59" t="s">
        <v>95</v>
      </c>
      <c r="M2886" s="59">
        <v>1938.0</v>
      </c>
      <c r="N2886" s="59">
        <v>216.0</v>
      </c>
      <c r="O2886" s="59">
        <v>15.53</v>
      </c>
      <c r="P2886" s="61">
        <f t="shared" ref="P2886:P2895" si="236">N2886*O2886</f>
        <v>3354.48</v>
      </c>
      <c r="Q2886" s="59"/>
      <c r="R2886" s="240">
        <v>3354.48</v>
      </c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</row>
    <row r="2887">
      <c r="A2887" s="2"/>
      <c r="B2887" s="52">
        <v>2.0</v>
      </c>
      <c r="C2887" s="59">
        <v>1.004759522E9</v>
      </c>
      <c r="D2887" s="59" t="s">
        <v>195</v>
      </c>
      <c r="E2887" s="59" t="s">
        <v>90</v>
      </c>
      <c r="F2887" s="59" t="s">
        <v>91</v>
      </c>
      <c r="G2887" s="59" t="s">
        <v>92</v>
      </c>
      <c r="H2887" s="59" t="s">
        <v>93</v>
      </c>
      <c r="I2887" s="59" t="s">
        <v>94</v>
      </c>
      <c r="J2887" s="61"/>
      <c r="K2887" s="59" t="s">
        <v>38</v>
      </c>
      <c r="L2887" s="59" t="s">
        <v>102</v>
      </c>
      <c r="M2887" s="59">
        <v>3282.0</v>
      </c>
      <c r="N2887" s="59">
        <v>405.0</v>
      </c>
      <c r="O2887" s="59">
        <v>19.28</v>
      </c>
      <c r="P2887" s="61">
        <f t="shared" si="236"/>
        <v>7808.4</v>
      </c>
      <c r="Q2887" s="59">
        <v>500.0</v>
      </c>
      <c r="R2887" s="240">
        <v>8308.4</v>
      </c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</row>
    <row r="2888">
      <c r="A2888" s="2"/>
      <c r="B2888" s="52">
        <v>3.0</v>
      </c>
      <c r="C2888" s="59">
        <v>1.004759514E9</v>
      </c>
      <c r="D2888" s="59" t="s">
        <v>195</v>
      </c>
      <c r="E2888" s="59" t="s">
        <v>82</v>
      </c>
      <c r="F2888" s="59" t="s">
        <v>86</v>
      </c>
      <c r="G2888" s="59" t="s">
        <v>87</v>
      </c>
      <c r="H2888" s="59" t="s">
        <v>88</v>
      </c>
      <c r="I2888" s="59" t="s">
        <v>83</v>
      </c>
      <c r="J2888" s="59" t="s">
        <v>84</v>
      </c>
      <c r="K2888" s="59" t="s">
        <v>38</v>
      </c>
      <c r="L2888" s="59" t="s">
        <v>89</v>
      </c>
      <c r="M2888" s="59">
        <v>3262.0</v>
      </c>
      <c r="N2888" s="59">
        <v>484.0</v>
      </c>
      <c r="O2888" s="59">
        <v>19.28</v>
      </c>
      <c r="P2888" s="61">
        <f t="shared" si="236"/>
        <v>9331.52</v>
      </c>
      <c r="Q2888" s="59">
        <v>930.0</v>
      </c>
      <c r="R2888" s="240">
        <v>10261.52</v>
      </c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</row>
    <row r="2889">
      <c r="A2889" s="2"/>
      <c r="B2889" s="52">
        <v>4.0</v>
      </c>
      <c r="C2889" s="59">
        <v>1.004759425E9</v>
      </c>
      <c r="D2889" s="59" t="s">
        <v>195</v>
      </c>
      <c r="E2889" s="59" t="s">
        <v>106</v>
      </c>
      <c r="F2889" s="59" t="s">
        <v>107</v>
      </c>
      <c r="G2889" s="59" t="s">
        <v>108</v>
      </c>
      <c r="H2889" s="59" t="s">
        <v>109</v>
      </c>
      <c r="I2889" s="61"/>
      <c r="J2889" s="61"/>
      <c r="K2889" s="59" t="s">
        <v>33</v>
      </c>
      <c r="L2889" s="59" t="s">
        <v>118</v>
      </c>
      <c r="M2889" s="59">
        <v>2131.0</v>
      </c>
      <c r="N2889" s="59">
        <v>482.0</v>
      </c>
      <c r="O2889" s="59">
        <v>15.53</v>
      </c>
      <c r="P2889" s="61">
        <f t="shared" si="236"/>
        <v>7485.46</v>
      </c>
      <c r="Q2889" s="59">
        <v>1025.0</v>
      </c>
      <c r="R2889" s="240">
        <v>8510.46</v>
      </c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</row>
    <row r="2890">
      <c r="A2890" s="2"/>
      <c r="B2890" s="52">
        <v>5.0</v>
      </c>
      <c r="C2890" s="59">
        <v>1.004760319E9</v>
      </c>
      <c r="D2890" s="59" t="s">
        <v>197</v>
      </c>
      <c r="E2890" s="59" t="s">
        <v>35</v>
      </c>
      <c r="F2890" s="59" t="s">
        <v>36</v>
      </c>
      <c r="G2890" s="59"/>
      <c r="H2890" s="61"/>
      <c r="I2890" s="61"/>
      <c r="J2890" s="61"/>
      <c r="K2890" s="59" t="s">
        <v>80</v>
      </c>
      <c r="L2890" s="59" t="s">
        <v>96</v>
      </c>
      <c r="M2890" s="59">
        <v>2547.0</v>
      </c>
      <c r="N2890" s="59">
        <v>130.0</v>
      </c>
      <c r="O2890" s="59">
        <v>18.28</v>
      </c>
      <c r="P2890" s="61">
        <f t="shared" si="236"/>
        <v>2376.4</v>
      </c>
      <c r="Q2890" s="61"/>
      <c r="R2890" s="240">
        <v>2376.4</v>
      </c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</row>
    <row r="2891">
      <c r="A2891" s="2"/>
      <c r="B2891" s="52">
        <v>6.0</v>
      </c>
      <c r="C2891" s="59">
        <v>1.004760194E9</v>
      </c>
      <c r="D2891" s="59" t="s">
        <v>197</v>
      </c>
      <c r="E2891" s="59" t="s">
        <v>42</v>
      </c>
      <c r="F2891" s="59" t="s">
        <v>44</v>
      </c>
      <c r="G2891" s="59" t="s">
        <v>43</v>
      </c>
      <c r="H2891" s="61"/>
      <c r="I2891" s="61"/>
      <c r="J2891" s="61"/>
      <c r="K2891" s="59" t="s">
        <v>45</v>
      </c>
      <c r="L2891" s="59" t="s">
        <v>98</v>
      </c>
      <c r="M2891" s="59">
        <v>1584.0</v>
      </c>
      <c r="N2891" s="59">
        <v>299.0</v>
      </c>
      <c r="O2891" s="59">
        <v>15.53</v>
      </c>
      <c r="P2891" s="61">
        <f t="shared" si="236"/>
        <v>4643.47</v>
      </c>
      <c r="Q2891" s="61"/>
      <c r="R2891" s="59">
        <v>4643.47</v>
      </c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</row>
    <row r="2892">
      <c r="A2892" s="2"/>
      <c r="B2892" s="52">
        <v>7.0</v>
      </c>
      <c r="C2892" s="59">
        <v>1.004760779E9</v>
      </c>
      <c r="D2892" s="59" t="s">
        <v>197</v>
      </c>
      <c r="E2892" s="59" t="s">
        <v>51</v>
      </c>
      <c r="F2892" s="59" t="s">
        <v>44</v>
      </c>
      <c r="G2892" s="59" t="s">
        <v>49</v>
      </c>
      <c r="H2892" s="59"/>
      <c r="I2892" s="61"/>
      <c r="J2892" s="61"/>
      <c r="K2892" s="59" t="s">
        <v>45</v>
      </c>
      <c r="L2892" s="59" t="s">
        <v>50</v>
      </c>
      <c r="M2892" s="59">
        <v>1561.0</v>
      </c>
      <c r="N2892" s="59">
        <v>230.0</v>
      </c>
      <c r="O2892" s="59">
        <v>15.53</v>
      </c>
      <c r="P2892" s="61">
        <f t="shared" si="236"/>
        <v>3571.9</v>
      </c>
      <c r="Q2892" s="61"/>
      <c r="R2892" s="240">
        <v>3571.9</v>
      </c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</row>
    <row r="2893">
      <c r="A2893" s="2"/>
      <c r="B2893" s="52">
        <v>8.0</v>
      </c>
      <c r="C2893" s="59">
        <v>1.004761258E9</v>
      </c>
      <c r="D2893" s="59" t="s">
        <v>197</v>
      </c>
      <c r="E2893" s="59" t="s">
        <v>51</v>
      </c>
      <c r="F2893" s="59" t="s">
        <v>44</v>
      </c>
      <c r="G2893" s="59"/>
      <c r="H2893" s="59"/>
      <c r="I2893" s="61"/>
      <c r="J2893" s="61"/>
      <c r="K2893" s="59" t="s">
        <v>45</v>
      </c>
      <c r="L2893" s="59" t="s">
        <v>52</v>
      </c>
      <c r="M2893" s="59">
        <v>1545.0</v>
      </c>
      <c r="N2893" s="59">
        <v>230.0</v>
      </c>
      <c r="O2893" s="59">
        <v>15.53</v>
      </c>
      <c r="P2893" s="61">
        <f t="shared" si="236"/>
        <v>3571.9</v>
      </c>
      <c r="Q2893" s="59"/>
      <c r="R2893" s="240">
        <v>3571.9</v>
      </c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</row>
    <row r="2894">
      <c r="A2894" s="2"/>
      <c r="B2894" s="52">
        <v>9.0</v>
      </c>
      <c r="C2894" s="59">
        <v>1.004761265E9</v>
      </c>
      <c r="D2894" s="59" t="s">
        <v>197</v>
      </c>
      <c r="E2894" s="59" t="s">
        <v>51</v>
      </c>
      <c r="F2894" s="59" t="s">
        <v>44</v>
      </c>
      <c r="G2894" s="59" t="s">
        <v>49</v>
      </c>
      <c r="H2894" s="59"/>
      <c r="I2894" s="61"/>
      <c r="J2894" s="61"/>
      <c r="K2894" s="59" t="s">
        <v>45</v>
      </c>
      <c r="L2894" s="59" t="s">
        <v>53</v>
      </c>
      <c r="M2894" s="59">
        <v>1618.0</v>
      </c>
      <c r="N2894" s="59">
        <v>230.0</v>
      </c>
      <c r="O2894" s="59">
        <v>15.53</v>
      </c>
      <c r="P2894" s="61">
        <f t="shared" si="236"/>
        <v>3571.9</v>
      </c>
      <c r="Q2894" s="59"/>
      <c r="R2894" s="240">
        <v>3571.9</v>
      </c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</row>
    <row r="2895">
      <c r="A2895" s="2"/>
      <c r="B2895" s="52">
        <v>10.0</v>
      </c>
      <c r="C2895" s="59">
        <v>1.004761235E9</v>
      </c>
      <c r="D2895" s="59" t="s">
        <v>197</v>
      </c>
      <c r="E2895" s="59" t="s">
        <v>51</v>
      </c>
      <c r="F2895" s="59" t="s">
        <v>44</v>
      </c>
      <c r="G2895" s="59"/>
      <c r="H2895" s="59"/>
      <c r="I2895" s="59"/>
      <c r="J2895" s="61"/>
      <c r="K2895" s="59" t="s">
        <v>45</v>
      </c>
      <c r="L2895" s="59" t="s">
        <v>112</v>
      </c>
      <c r="M2895" s="59">
        <v>1458.0</v>
      </c>
      <c r="N2895" s="59">
        <v>230.0</v>
      </c>
      <c r="O2895" s="59">
        <v>15.53</v>
      </c>
      <c r="P2895" s="61">
        <f t="shared" si="236"/>
        <v>3571.9</v>
      </c>
      <c r="Q2895" s="59"/>
      <c r="R2895" s="240">
        <v>3571.9</v>
      </c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</row>
    <row r="2896">
      <c r="A2896" s="2"/>
      <c r="B2896" s="11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66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</row>
    <row r="2897">
      <c r="A2897" s="2"/>
      <c r="B2897" s="72" t="s">
        <v>64</v>
      </c>
      <c r="C2897" s="68"/>
      <c r="D2897" s="73"/>
      <c r="E2897" s="68"/>
      <c r="F2897" s="68"/>
      <c r="G2897" s="68"/>
      <c r="H2897" s="68"/>
      <c r="I2897" s="68"/>
      <c r="J2897" s="68"/>
      <c r="K2897" s="68"/>
      <c r="L2897" s="68"/>
      <c r="M2897" s="68"/>
      <c r="N2897" s="74" t="s">
        <v>65</v>
      </c>
      <c r="O2897" s="4"/>
      <c r="P2897" s="75">
        <f t="shared" ref="P2897:R2897" si="237">SUM(P2886:P2895)</f>
        <v>49287.33</v>
      </c>
      <c r="Q2897" s="75">
        <f t="shared" si="237"/>
        <v>2455</v>
      </c>
      <c r="R2897" s="75">
        <f t="shared" si="237"/>
        <v>51742.33</v>
      </c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</row>
    <row r="2898">
      <c r="A2898" s="2"/>
      <c r="B2898" s="72" t="s">
        <v>66</v>
      </c>
      <c r="C2898" s="68"/>
      <c r="D2898" s="68"/>
      <c r="E2898" s="68"/>
      <c r="F2898" s="68"/>
      <c r="G2898" s="68"/>
      <c r="H2898" s="68"/>
      <c r="I2898" s="68"/>
      <c r="J2898" s="68"/>
      <c r="K2898" s="68"/>
      <c r="L2898" s="68"/>
      <c r="M2898" s="68"/>
      <c r="N2898" s="68"/>
      <c r="O2898" s="76"/>
      <c r="P2898" s="78" t="s">
        <v>67</v>
      </c>
      <c r="Q2898" s="31"/>
      <c r="R2898" s="3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</row>
    <row r="2899">
      <c r="A2899" s="2"/>
      <c r="B2899" s="81" t="s">
        <v>68</v>
      </c>
      <c r="P2899" s="29"/>
      <c r="Q2899" s="29"/>
      <c r="R2899" s="8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</row>
    <row r="2900">
      <c r="A2900" s="2"/>
      <c r="B2900" s="81" t="s">
        <v>70</v>
      </c>
      <c r="P2900" s="29"/>
      <c r="Q2900" s="29"/>
      <c r="R2900" s="8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</row>
    <row r="2901">
      <c r="A2901" s="2"/>
      <c r="B2901" s="11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66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</row>
    <row r="2902">
      <c r="A2902" s="2"/>
      <c r="B2902" s="11"/>
      <c r="C2902" s="2"/>
      <c r="D2902" s="2"/>
      <c r="E2902" s="2"/>
      <c r="F2902" s="2"/>
      <c r="G2902" s="2"/>
      <c r="H2902" s="2"/>
      <c r="I2902" s="2"/>
      <c r="J2902" s="2"/>
      <c r="K2902" s="87" t="s">
        <v>71</v>
      </c>
      <c r="L2902" s="2"/>
      <c r="M2902" s="2"/>
      <c r="N2902" s="2"/>
      <c r="O2902" s="2"/>
      <c r="P2902" s="12" t="s">
        <v>72</v>
      </c>
      <c r="R2902" s="10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</row>
    <row r="2903">
      <c r="A2903" s="2"/>
      <c r="B2903" s="90"/>
      <c r="C2903" s="36"/>
      <c r="D2903" s="36"/>
      <c r="E2903" s="36"/>
      <c r="F2903" s="36"/>
      <c r="G2903" s="36"/>
      <c r="H2903" s="36"/>
      <c r="I2903" s="36"/>
      <c r="J2903" s="36"/>
      <c r="K2903" s="36"/>
      <c r="L2903" s="36"/>
      <c r="M2903" s="36"/>
      <c r="N2903" s="36"/>
      <c r="O2903" s="36"/>
      <c r="P2903" s="36"/>
      <c r="Q2903" s="36"/>
      <c r="R2903" s="91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</row>
    <row r="2904">
      <c r="A2904" s="2"/>
      <c r="B2904" s="177"/>
      <c r="C2904" s="177"/>
      <c r="D2904" s="177"/>
      <c r="E2904" s="177"/>
      <c r="F2904" s="177"/>
      <c r="G2904" s="177"/>
      <c r="H2904" s="177"/>
      <c r="I2904" s="177"/>
      <c r="J2904" s="177"/>
      <c r="K2904" s="177"/>
      <c r="L2904" s="177"/>
      <c r="M2904" s="177"/>
      <c r="N2904" s="177"/>
      <c r="O2904" s="177"/>
      <c r="P2904" s="177"/>
      <c r="Q2904" s="177"/>
      <c r="R2904" s="177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</row>
    <row r="2905">
      <c r="A2905" s="2"/>
      <c r="B2905" s="177"/>
      <c r="C2905" s="177"/>
      <c r="D2905" s="177"/>
      <c r="E2905" s="177"/>
      <c r="F2905" s="177"/>
      <c r="G2905" s="177"/>
      <c r="H2905" s="177"/>
      <c r="I2905" s="177"/>
      <c r="J2905" s="177"/>
      <c r="K2905" s="177"/>
      <c r="L2905" s="177"/>
      <c r="M2905" s="177"/>
      <c r="N2905" s="177"/>
      <c r="O2905" s="177"/>
      <c r="P2905" s="177"/>
      <c r="Q2905" s="177"/>
      <c r="R2905" s="177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</row>
    <row r="2906">
      <c r="A2906" s="2"/>
      <c r="B2906" s="177"/>
      <c r="C2906" s="177"/>
      <c r="D2906" s="177"/>
      <c r="E2906" s="177"/>
      <c r="F2906" s="177"/>
      <c r="G2906" s="177"/>
      <c r="H2906" s="177"/>
      <c r="I2906" s="177"/>
      <c r="J2906" s="177"/>
      <c r="K2906" s="177"/>
      <c r="L2906" s="177"/>
      <c r="M2906" s="177"/>
      <c r="N2906" s="177"/>
      <c r="O2906" s="177"/>
      <c r="P2906" s="177"/>
      <c r="Q2906" s="177"/>
      <c r="R2906" s="177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</row>
    <row r="2907">
      <c r="A2907" s="2"/>
      <c r="B2907" s="177"/>
      <c r="C2907" s="177"/>
      <c r="D2907" s="177"/>
      <c r="E2907" s="177"/>
      <c r="F2907" s="177"/>
      <c r="G2907" s="177"/>
      <c r="H2907" s="177"/>
      <c r="I2907" s="177"/>
      <c r="J2907" s="177"/>
      <c r="K2907" s="177"/>
      <c r="L2907" s="177"/>
      <c r="M2907" s="177"/>
      <c r="N2907" s="177"/>
      <c r="O2907" s="177"/>
      <c r="P2907" s="177"/>
      <c r="Q2907" s="177"/>
      <c r="R2907" s="177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</row>
    <row r="2908">
      <c r="A2908" s="2"/>
      <c r="B2908" s="176" t="s">
        <v>1</v>
      </c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5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</row>
    <row r="2909">
      <c r="A2909" s="2"/>
      <c r="B2909" s="11"/>
      <c r="F2909" s="12"/>
      <c r="G2909" s="12"/>
      <c r="I2909" s="12"/>
      <c r="J2909" s="12" t="s">
        <v>2</v>
      </c>
      <c r="N2909" s="2"/>
      <c r="R2909" s="10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</row>
    <row r="2910">
      <c r="A2910" s="2"/>
      <c r="B2910" s="14"/>
      <c r="F2910" s="12"/>
      <c r="G2910" s="12"/>
      <c r="H2910" s="12"/>
      <c r="I2910" s="12"/>
      <c r="J2910" s="12" t="s">
        <v>3</v>
      </c>
      <c r="N2910" s="2"/>
      <c r="R2910" s="10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</row>
    <row r="2911">
      <c r="A2911" s="2"/>
      <c r="B2911" s="14" t="s">
        <v>4</v>
      </c>
      <c r="R2911" s="10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</row>
    <row r="2912">
      <c r="A2912" s="2"/>
      <c r="B2912" s="21" t="s">
        <v>5</v>
      </c>
      <c r="C2912" s="22" t="s">
        <v>6</v>
      </c>
      <c r="D2912" s="4"/>
      <c r="E2912" s="4"/>
      <c r="F2912" s="4"/>
      <c r="G2912" s="4"/>
      <c r="H2912" s="4"/>
      <c r="I2912" s="4"/>
      <c r="J2912" s="4"/>
      <c r="K2912" s="5"/>
      <c r="L2912" s="23" t="s">
        <v>7</v>
      </c>
      <c r="M2912" s="87">
        <v>36.0</v>
      </c>
      <c r="N2912" s="24"/>
      <c r="O2912" s="4"/>
      <c r="P2912" s="4"/>
      <c r="Q2912" s="4"/>
      <c r="R2912" s="5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</row>
    <row r="2913">
      <c r="A2913" s="2"/>
      <c r="B2913" s="28"/>
      <c r="C2913" s="29" t="s">
        <v>8</v>
      </c>
      <c r="K2913" s="10"/>
      <c r="L2913" s="23" t="s">
        <v>9</v>
      </c>
      <c r="M2913" s="2"/>
      <c r="N2913" s="2"/>
      <c r="R2913" s="10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</row>
    <row r="2914">
      <c r="A2914" s="2"/>
      <c r="B2914" s="21" t="s">
        <v>11</v>
      </c>
      <c r="C2914" s="35" t="s">
        <v>12</v>
      </c>
      <c r="D2914" s="31"/>
      <c r="E2914" s="31"/>
      <c r="F2914" s="31"/>
      <c r="G2914" s="31"/>
      <c r="H2914" s="31"/>
      <c r="I2914" s="31"/>
      <c r="J2914" s="31"/>
      <c r="K2914" s="32"/>
      <c r="L2914" s="23" t="s">
        <v>13</v>
      </c>
      <c r="M2914" s="36"/>
      <c r="N2914" s="36"/>
      <c r="O2914" s="31"/>
      <c r="P2914" s="31"/>
      <c r="Q2914" s="31"/>
      <c r="R2914" s="3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</row>
    <row r="2915">
      <c r="A2915" s="2"/>
      <c r="B2915" s="11"/>
      <c r="R2915" s="10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</row>
    <row r="2916">
      <c r="A2916" s="2"/>
      <c r="B2916" s="46" t="s">
        <v>15</v>
      </c>
      <c r="C2916" s="47" t="s">
        <v>16</v>
      </c>
      <c r="D2916" s="48" t="s">
        <v>17</v>
      </c>
      <c r="E2916" s="48" t="s">
        <v>18</v>
      </c>
      <c r="F2916" s="49" t="s">
        <v>19</v>
      </c>
      <c r="G2916" s="43"/>
      <c r="H2916" s="43"/>
      <c r="I2916" s="43"/>
      <c r="J2916" s="44"/>
      <c r="K2916" s="48" t="s">
        <v>20</v>
      </c>
      <c r="L2916" s="48" t="s">
        <v>21</v>
      </c>
      <c r="M2916" s="48" t="s">
        <v>22</v>
      </c>
      <c r="N2916" s="48" t="s">
        <v>23</v>
      </c>
      <c r="O2916" s="48" t="s">
        <v>24</v>
      </c>
      <c r="P2916" s="48" t="s">
        <v>25</v>
      </c>
      <c r="Q2916" s="48" t="s">
        <v>26</v>
      </c>
      <c r="R2916" s="50" t="s">
        <v>27</v>
      </c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</row>
    <row r="2917">
      <c r="A2917" s="2"/>
      <c r="B2917" s="52">
        <v>1.0</v>
      </c>
      <c r="C2917" s="59">
        <v>1.004760339E9</v>
      </c>
      <c r="D2917" s="59" t="s">
        <v>197</v>
      </c>
      <c r="E2917" s="59" t="s">
        <v>51</v>
      </c>
      <c r="F2917" s="59" t="s">
        <v>44</v>
      </c>
      <c r="G2917" s="59"/>
      <c r="H2917" s="59"/>
      <c r="I2917" s="61"/>
      <c r="J2917" s="61"/>
      <c r="K2917" s="59" t="s">
        <v>45</v>
      </c>
      <c r="L2917" s="59" t="s">
        <v>54</v>
      </c>
      <c r="M2917" s="59">
        <v>1435.0</v>
      </c>
      <c r="N2917" s="59">
        <v>230.0</v>
      </c>
      <c r="O2917" s="59">
        <v>15.53</v>
      </c>
      <c r="P2917" s="61">
        <f t="shared" ref="P2917:P2926" si="238">N2917*O2917</f>
        <v>3571.9</v>
      </c>
      <c r="Q2917" s="59"/>
      <c r="R2917" s="240">
        <v>3571.9</v>
      </c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</row>
    <row r="2918">
      <c r="A2918" s="2"/>
      <c r="B2918" s="52">
        <v>2.0</v>
      </c>
      <c r="C2918" s="59">
        <v>1.004761539E9</v>
      </c>
      <c r="D2918" s="59" t="s">
        <v>197</v>
      </c>
      <c r="E2918" s="59" t="s">
        <v>61</v>
      </c>
      <c r="F2918" s="59" t="s">
        <v>74</v>
      </c>
      <c r="G2918" s="59" t="s">
        <v>62</v>
      </c>
      <c r="H2918" s="59"/>
      <c r="I2918" s="61"/>
      <c r="J2918" s="61"/>
      <c r="K2918" s="59" t="s">
        <v>33</v>
      </c>
      <c r="L2918" s="59" t="s">
        <v>76</v>
      </c>
      <c r="M2918" s="59">
        <v>1769.0</v>
      </c>
      <c r="N2918" s="59">
        <v>330.0</v>
      </c>
      <c r="O2918" s="59">
        <v>15.53</v>
      </c>
      <c r="P2918" s="61">
        <f t="shared" si="238"/>
        <v>5124.9</v>
      </c>
      <c r="Q2918" s="59">
        <v>820.0</v>
      </c>
      <c r="R2918" s="240">
        <v>5944.9</v>
      </c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</row>
    <row r="2919">
      <c r="A2919" s="2"/>
      <c r="B2919" s="52">
        <v>3.0</v>
      </c>
      <c r="C2919" s="59">
        <v>1.004761536E9</v>
      </c>
      <c r="D2919" s="59" t="s">
        <v>197</v>
      </c>
      <c r="E2919" s="59" t="s">
        <v>61</v>
      </c>
      <c r="F2919" s="59" t="s">
        <v>74</v>
      </c>
      <c r="G2919" s="59" t="s">
        <v>73</v>
      </c>
      <c r="H2919" s="59" t="s">
        <v>75</v>
      </c>
      <c r="I2919" s="61"/>
      <c r="J2919" s="61"/>
      <c r="K2919" s="59" t="s">
        <v>38</v>
      </c>
      <c r="L2919" s="59" t="s">
        <v>110</v>
      </c>
      <c r="M2919" s="59">
        <v>3188.0</v>
      </c>
      <c r="N2919" s="59">
        <v>560.0</v>
      </c>
      <c r="O2919" s="59">
        <v>19.28</v>
      </c>
      <c r="P2919" s="61">
        <f t="shared" si="238"/>
        <v>10796.8</v>
      </c>
      <c r="Q2919" s="59">
        <v>1085.0</v>
      </c>
      <c r="R2919" s="240">
        <v>11881.8</v>
      </c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</row>
    <row r="2920">
      <c r="A2920" s="2"/>
      <c r="B2920" s="52">
        <v>4.0</v>
      </c>
      <c r="C2920" s="59">
        <v>1.004761652E9</v>
      </c>
      <c r="D2920" s="59" t="s">
        <v>197</v>
      </c>
      <c r="E2920" s="59" t="s">
        <v>55</v>
      </c>
      <c r="F2920" s="59" t="s">
        <v>57</v>
      </c>
      <c r="G2920" s="59" t="s">
        <v>58</v>
      </c>
      <c r="H2920" s="59" t="s">
        <v>59</v>
      </c>
      <c r="I2920" s="61"/>
      <c r="J2920" s="61"/>
      <c r="K2920" s="59" t="s">
        <v>33</v>
      </c>
      <c r="L2920" s="59" t="s">
        <v>105</v>
      </c>
      <c r="M2920" s="59">
        <v>2050.0</v>
      </c>
      <c r="N2920" s="59">
        <v>518.0</v>
      </c>
      <c r="O2920" s="59">
        <v>15.53</v>
      </c>
      <c r="P2920" s="61">
        <f t="shared" si="238"/>
        <v>8044.54</v>
      </c>
      <c r="Q2920" s="61"/>
      <c r="R2920" s="240">
        <v>8044.54</v>
      </c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</row>
    <row r="2921">
      <c r="A2921" s="2"/>
      <c r="B2921" s="52">
        <v>5.0</v>
      </c>
      <c r="C2921" s="59">
        <v>1.00476165E9</v>
      </c>
      <c r="D2921" s="59" t="s">
        <v>197</v>
      </c>
      <c r="E2921" s="59" t="s">
        <v>55</v>
      </c>
      <c r="F2921" s="59" t="s">
        <v>56</v>
      </c>
      <c r="G2921" s="59" t="s">
        <v>103</v>
      </c>
      <c r="H2921" s="59" t="s">
        <v>58</v>
      </c>
      <c r="I2921" s="61"/>
      <c r="J2921" s="61"/>
      <c r="K2921" s="59" t="s">
        <v>38</v>
      </c>
      <c r="L2921" s="59" t="s">
        <v>60</v>
      </c>
      <c r="M2921" s="59">
        <v>3388.0</v>
      </c>
      <c r="N2921" s="59">
        <v>572.0</v>
      </c>
      <c r="O2921" s="59">
        <v>19.28</v>
      </c>
      <c r="P2921" s="61">
        <f t="shared" si="238"/>
        <v>11028.16</v>
      </c>
      <c r="Q2921" s="59">
        <v>330.0</v>
      </c>
      <c r="R2921" s="240">
        <v>11358.16</v>
      </c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</row>
    <row r="2922">
      <c r="A2922" s="2"/>
      <c r="B2922" s="52">
        <v>6.0</v>
      </c>
      <c r="C2922" s="59">
        <v>1.004761812E9</v>
      </c>
      <c r="D2922" s="59" t="s">
        <v>197</v>
      </c>
      <c r="E2922" s="59" t="s">
        <v>82</v>
      </c>
      <c r="F2922" s="59" t="s">
        <v>87</v>
      </c>
      <c r="G2922" s="59" t="s">
        <v>83</v>
      </c>
      <c r="H2922" s="59" t="s">
        <v>88</v>
      </c>
      <c r="I2922" s="59" t="s">
        <v>84</v>
      </c>
      <c r="J2922" s="61"/>
      <c r="K2922" s="59" t="s">
        <v>38</v>
      </c>
      <c r="L2922" s="59" t="s">
        <v>101</v>
      </c>
      <c r="M2922" s="59">
        <v>3562.0</v>
      </c>
      <c r="N2922" s="59">
        <v>484.0</v>
      </c>
      <c r="O2922" s="59">
        <v>19.28</v>
      </c>
      <c r="P2922" s="61">
        <f t="shared" si="238"/>
        <v>9331.52</v>
      </c>
      <c r="Q2922" s="59">
        <v>930.0</v>
      </c>
      <c r="R2922" s="240">
        <v>10261.52</v>
      </c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</row>
    <row r="2923">
      <c r="A2923" s="2"/>
      <c r="B2923" s="52">
        <v>7.0</v>
      </c>
      <c r="C2923" s="59">
        <v>1.004761829E9</v>
      </c>
      <c r="D2923" s="59" t="s">
        <v>197</v>
      </c>
      <c r="E2923" s="59" t="s">
        <v>77</v>
      </c>
      <c r="F2923" s="59" t="s">
        <v>116</v>
      </c>
      <c r="G2923" s="59" t="s">
        <v>78</v>
      </c>
      <c r="H2923" s="59" t="s">
        <v>79</v>
      </c>
      <c r="I2923" s="61"/>
      <c r="J2923" s="61"/>
      <c r="K2923" s="59" t="s">
        <v>38</v>
      </c>
      <c r="L2923" s="59" t="s">
        <v>81</v>
      </c>
      <c r="M2923" s="59">
        <v>3659.0</v>
      </c>
      <c r="N2923" s="59">
        <v>416.0</v>
      </c>
      <c r="O2923" s="59">
        <v>19.28</v>
      </c>
      <c r="P2923" s="61">
        <f t="shared" si="238"/>
        <v>8020.48</v>
      </c>
      <c r="Q2923" s="59">
        <v>505.0</v>
      </c>
      <c r="R2923" s="240">
        <v>8525.48</v>
      </c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</row>
    <row r="2924">
      <c r="A2924" s="2"/>
      <c r="B2924" s="52">
        <v>8.0</v>
      </c>
      <c r="C2924" s="59">
        <v>1.004762506E9</v>
      </c>
      <c r="D2924" s="59" t="s">
        <v>198</v>
      </c>
      <c r="E2924" s="59" t="s">
        <v>28</v>
      </c>
      <c r="F2924" s="59" t="s">
        <v>29</v>
      </c>
      <c r="G2924" s="59" t="s">
        <v>30</v>
      </c>
      <c r="H2924" s="59" t="s">
        <v>32</v>
      </c>
      <c r="I2924" s="59" t="s">
        <v>31</v>
      </c>
      <c r="J2924" s="61"/>
      <c r="K2924" s="59" t="s">
        <v>38</v>
      </c>
      <c r="L2924" s="59" t="s">
        <v>34</v>
      </c>
      <c r="M2924" s="59">
        <v>3399.0</v>
      </c>
      <c r="N2924" s="59">
        <v>246.0</v>
      </c>
      <c r="O2924" s="59">
        <v>19.28</v>
      </c>
      <c r="P2924" s="61">
        <f t="shared" si="238"/>
        <v>4742.88</v>
      </c>
      <c r="Q2924" s="59"/>
      <c r="R2924" s="240">
        <v>4742.88</v>
      </c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</row>
    <row r="2925">
      <c r="A2925" s="2"/>
      <c r="B2925" s="52">
        <v>9.0</v>
      </c>
      <c r="C2925" s="59">
        <v>1.004762671E9</v>
      </c>
      <c r="D2925" s="59" t="s">
        <v>198</v>
      </c>
      <c r="E2925" s="59" t="s">
        <v>35</v>
      </c>
      <c r="F2925" s="59" t="s">
        <v>36</v>
      </c>
      <c r="G2925" s="59" t="s">
        <v>40</v>
      </c>
      <c r="H2925" s="59"/>
      <c r="I2925" s="61"/>
      <c r="J2925" s="61"/>
      <c r="K2925" s="59" t="s">
        <v>38</v>
      </c>
      <c r="L2925" s="59" t="s">
        <v>96</v>
      </c>
      <c r="M2925" s="59">
        <v>3561.0</v>
      </c>
      <c r="N2925" s="59">
        <v>150.0</v>
      </c>
      <c r="O2925" s="59">
        <v>19.28</v>
      </c>
      <c r="P2925" s="61">
        <f t="shared" si="238"/>
        <v>2892</v>
      </c>
      <c r="Q2925" s="59">
        <v>270.0</v>
      </c>
      <c r="R2925" s="240">
        <v>3162.0</v>
      </c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</row>
    <row r="2926">
      <c r="A2926" s="2"/>
      <c r="B2926" s="52">
        <v>10.0</v>
      </c>
      <c r="C2926" s="59">
        <v>1.004762682E9</v>
      </c>
      <c r="D2926" s="59" t="s">
        <v>198</v>
      </c>
      <c r="E2926" s="59" t="s">
        <v>35</v>
      </c>
      <c r="F2926" s="59" t="s">
        <v>37</v>
      </c>
      <c r="G2926" s="59" t="s">
        <v>36</v>
      </c>
      <c r="H2926" s="59"/>
      <c r="I2926" s="59"/>
      <c r="J2926" s="61"/>
      <c r="K2926" s="59" t="s">
        <v>33</v>
      </c>
      <c r="L2926" s="59" t="s">
        <v>41</v>
      </c>
      <c r="M2926" s="59">
        <v>2098.0</v>
      </c>
      <c r="N2926" s="59">
        <v>200.0</v>
      </c>
      <c r="O2926" s="59">
        <v>15.53</v>
      </c>
      <c r="P2926" s="61">
        <f t="shared" si="238"/>
        <v>3106</v>
      </c>
      <c r="Q2926" s="59"/>
      <c r="R2926" s="240">
        <v>3106.0</v>
      </c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</row>
    <row r="2927">
      <c r="A2927" s="2"/>
      <c r="B2927" s="11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66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</row>
    <row r="2928">
      <c r="A2928" s="2"/>
      <c r="B2928" s="72" t="s">
        <v>64</v>
      </c>
      <c r="C2928" s="68"/>
      <c r="D2928" s="73"/>
      <c r="E2928" s="68"/>
      <c r="F2928" s="68"/>
      <c r="G2928" s="68"/>
      <c r="H2928" s="68"/>
      <c r="I2928" s="68"/>
      <c r="J2928" s="68"/>
      <c r="K2928" s="68"/>
      <c r="L2928" s="68"/>
      <c r="M2928" s="68"/>
      <c r="N2928" s="74" t="s">
        <v>65</v>
      </c>
      <c r="O2928" s="4"/>
      <c r="P2928" s="75">
        <f t="shared" ref="P2928:R2928" si="239">SUM(P2917:P2926)</f>
        <v>66659.18</v>
      </c>
      <c r="Q2928" s="75">
        <f t="shared" si="239"/>
        <v>3940</v>
      </c>
      <c r="R2928" s="75">
        <f t="shared" si="239"/>
        <v>70599.18</v>
      </c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</row>
    <row r="2929">
      <c r="A2929" s="2"/>
      <c r="B2929" s="72" t="s">
        <v>66</v>
      </c>
      <c r="C2929" s="68"/>
      <c r="D2929" s="68"/>
      <c r="E2929" s="68"/>
      <c r="F2929" s="68"/>
      <c r="G2929" s="68"/>
      <c r="H2929" s="68"/>
      <c r="I2929" s="68"/>
      <c r="J2929" s="68"/>
      <c r="K2929" s="68"/>
      <c r="L2929" s="68"/>
      <c r="M2929" s="68"/>
      <c r="N2929" s="68"/>
      <c r="O2929" s="76"/>
      <c r="P2929" s="78" t="s">
        <v>67</v>
      </c>
      <c r="Q2929" s="31"/>
      <c r="R2929" s="3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</row>
    <row r="2930">
      <c r="A2930" s="2"/>
      <c r="B2930" s="81" t="s">
        <v>68</v>
      </c>
      <c r="P2930" s="29"/>
      <c r="Q2930" s="29"/>
      <c r="R2930" s="8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</row>
    <row r="2931">
      <c r="A2931" s="2"/>
      <c r="B2931" s="81" t="s">
        <v>70</v>
      </c>
      <c r="P2931" s="29"/>
      <c r="Q2931" s="29"/>
      <c r="R2931" s="8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</row>
    <row r="2932">
      <c r="A2932" s="2"/>
      <c r="B2932" s="11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66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</row>
    <row r="2933">
      <c r="A2933" s="2"/>
      <c r="B2933" s="11"/>
      <c r="C2933" s="2"/>
      <c r="D2933" s="2"/>
      <c r="E2933" s="2"/>
      <c r="F2933" s="2"/>
      <c r="G2933" s="2"/>
      <c r="H2933" s="2"/>
      <c r="I2933" s="2"/>
      <c r="J2933" s="2"/>
      <c r="K2933" s="87" t="s">
        <v>71</v>
      </c>
      <c r="L2933" s="2"/>
      <c r="M2933" s="2"/>
      <c r="N2933" s="2"/>
      <c r="O2933" s="2"/>
      <c r="P2933" s="12" t="s">
        <v>72</v>
      </c>
      <c r="R2933" s="10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</row>
    <row r="2934">
      <c r="A2934" s="2"/>
      <c r="B2934" s="90"/>
      <c r="C2934" s="36"/>
      <c r="D2934" s="36"/>
      <c r="E2934" s="36"/>
      <c r="F2934" s="36"/>
      <c r="G2934" s="36"/>
      <c r="H2934" s="36"/>
      <c r="I2934" s="36"/>
      <c r="J2934" s="36"/>
      <c r="K2934" s="36"/>
      <c r="L2934" s="36"/>
      <c r="M2934" s="36"/>
      <c r="N2934" s="36"/>
      <c r="O2934" s="36"/>
      <c r="P2934" s="36"/>
      <c r="Q2934" s="36"/>
      <c r="R2934" s="91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</row>
    <row r="2935">
      <c r="A2935" s="2"/>
      <c r="B2935" s="177"/>
      <c r="C2935" s="177"/>
      <c r="D2935" s="177"/>
      <c r="E2935" s="177"/>
      <c r="F2935" s="177"/>
      <c r="G2935" s="177"/>
      <c r="H2935" s="177"/>
      <c r="I2935" s="177"/>
      <c r="J2935" s="177"/>
      <c r="K2935" s="177"/>
      <c r="L2935" s="177"/>
      <c r="M2935" s="177"/>
      <c r="N2935" s="177"/>
      <c r="O2935" s="177"/>
      <c r="P2935" s="177"/>
      <c r="Q2935" s="177"/>
      <c r="R2935" s="177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</row>
    <row r="2936">
      <c r="A2936" s="2"/>
      <c r="B2936" s="177"/>
      <c r="C2936" s="177"/>
      <c r="D2936" s="177"/>
      <c r="E2936" s="177"/>
      <c r="F2936" s="177"/>
      <c r="G2936" s="177"/>
      <c r="H2936" s="177"/>
      <c r="I2936" s="177"/>
      <c r="J2936" s="177"/>
      <c r="K2936" s="177"/>
      <c r="L2936" s="177"/>
      <c r="M2936" s="177"/>
      <c r="N2936" s="177"/>
      <c r="O2936" s="177"/>
      <c r="P2936" s="177"/>
      <c r="Q2936" s="177"/>
      <c r="R2936" s="177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</row>
    <row r="2937">
      <c r="A2937" s="2"/>
      <c r="B2937" s="177"/>
      <c r="C2937" s="177"/>
      <c r="D2937" s="177"/>
      <c r="E2937" s="177"/>
      <c r="F2937" s="177"/>
      <c r="G2937" s="177"/>
      <c r="H2937" s="177"/>
      <c r="I2937" s="177"/>
      <c r="J2937" s="177"/>
      <c r="K2937" s="177"/>
      <c r="L2937" s="177"/>
      <c r="M2937" s="177"/>
      <c r="N2937" s="177"/>
      <c r="O2937" s="177"/>
      <c r="P2937" s="177"/>
      <c r="Q2937" s="177"/>
      <c r="R2937" s="177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</row>
    <row r="2938">
      <c r="A2938" s="2"/>
      <c r="B2938" s="177"/>
      <c r="C2938" s="177"/>
      <c r="D2938" s="177"/>
      <c r="E2938" s="177"/>
      <c r="F2938" s="177"/>
      <c r="G2938" s="177"/>
      <c r="H2938" s="177"/>
      <c r="I2938" s="177"/>
      <c r="J2938" s="177"/>
      <c r="K2938" s="177"/>
      <c r="L2938" s="177"/>
      <c r="M2938" s="177"/>
      <c r="N2938" s="177"/>
      <c r="O2938" s="177"/>
      <c r="P2938" s="177"/>
      <c r="Q2938" s="177"/>
      <c r="R2938" s="177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</row>
    <row r="2939">
      <c r="A2939" s="2"/>
      <c r="B2939" s="176" t="s">
        <v>1</v>
      </c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5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</row>
    <row r="2940">
      <c r="A2940" s="2"/>
      <c r="B2940" s="11"/>
      <c r="F2940" s="12"/>
      <c r="G2940" s="12"/>
      <c r="I2940" s="12"/>
      <c r="J2940" s="12" t="s">
        <v>2</v>
      </c>
      <c r="N2940" s="2"/>
      <c r="R2940" s="10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</row>
    <row r="2941">
      <c r="A2941" s="2"/>
      <c r="B2941" s="14"/>
      <c r="F2941" s="12"/>
      <c r="G2941" s="12"/>
      <c r="H2941" s="12"/>
      <c r="I2941" s="12"/>
      <c r="J2941" s="12" t="s">
        <v>3</v>
      </c>
      <c r="N2941" s="2"/>
      <c r="R2941" s="10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</row>
    <row r="2942">
      <c r="A2942" s="2"/>
      <c r="B2942" s="14" t="s">
        <v>4</v>
      </c>
      <c r="R2942" s="10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</row>
    <row r="2943">
      <c r="A2943" s="2"/>
      <c r="B2943" s="21" t="s">
        <v>5</v>
      </c>
      <c r="C2943" s="22" t="s">
        <v>6</v>
      </c>
      <c r="D2943" s="4"/>
      <c r="E2943" s="4"/>
      <c r="F2943" s="4"/>
      <c r="G2943" s="4"/>
      <c r="H2943" s="4"/>
      <c r="I2943" s="4"/>
      <c r="J2943" s="4"/>
      <c r="K2943" s="5"/>
      <c r="L2943" s="23" t="s">
        <v>7</v>
      </c>
      <c r="M2943" s="87">
        <v>37.0</v>
      </c>
      <c r="N2943" s="24"/>
      <c r="O2943" s="4"/>
      <c r="P2943" s="4"/>
      <c r="Q2943" s="4"/>
      <c r="R2943" s="5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</row>
    <row r="2944">
      <c r="A2944" s="2"/>
      <c r="B2944" s="28"/>
      <c r="C2944" s="29" t="s">
        <v>8</v>
      </c>
      <c r="K2944" s="10"/>
      <c r="L2944" s="23" t="s">
        <v>9</v>
      </c>
      <c r="M2944" s="2"/>
      <c r="N2944" s="2"/>
      <c r="R2944" s="10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</row>
    <row r="2945">
      <c r="A2945" s="2"/>
      <c r="B2945" s="21" t="s">
        <v>11</v>
      </c>
      <c r="C2945" s="35" t="s">
        <v>12</v>
      </c>
      <c r="D2945" s="31"/>
      <c r="E2945" s="31"/>
      <c r="F2945" s="31"/>
      <c r="G2945" s="31"/>
      <c r="H2945" s="31"/>
      <c r="I2945" s="31"/>
      <c r="J2945" s="31"/>
      <c r="K2945" s="32"/>
      <c r="L2945" s="23" t="s">
        <v>13</v>
      </c>
      <c r="M2945" s="36"/>
      <c r="N2945" s="36"/>
      <c r="O2945" s="31"/>
      <c r="P2945" s="31"/>
      <c r="Q2945" s="31"/>
      <c r="R2945" s="3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</row>
    <row r="2946">
      <c r="A2946" s="2"/>
      <c r="B2946" s="11"/>
      <c r="R2946" s="10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</row>
    <row r="2947">
      <c r="A2947" s="2"/>
      <c r="B2947" s="46" t="s">
        <v>15</v>
      </c>
      <c r="C2947" s="47" t="s">
        <v>16</v>
      </c>
      <c r="D2947" s="48" t="s">
        <v>17</v>
      </c>
      <c r="E2947" s="48" t="s">
        <v>18</v>
      </c>
      <c r="F2947" s="49" t="s">
        <v>19</v>
      </c>
      <c r="G2947" s="43"/>
      <c r="H2947" s="43"/>
      <c r="I2947" s="43"/>
      <c r="J2947" s="44"/>
      <c r="K2947" s="48" t="s">
        <v>20</v>
      </c>
      <c r="L2947" s="48" t="s">
        <v>21</v>
      </c>
      <c r="M2947" s="48" t="s">
        <v>22</v>
      </c>
      <c r="N2947" s="48" t="s">
        <v>23</v>
      </c>
      <c r="O2947" s="48" t="s">
        <v>24</v>
      </c>
      <c r="P2947" s="48" t="s">
        <v>25</v>
      </c>
      <c r="Q2947" s="48" t="s">
        <v>26</v>
      </c>
      <c r="R2947" s="50" t="s">
        <v>27</v>
      </c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</row>
    <row r="2948">
      <c r="A2948" s="2"/>
      <c r="B2948" s="52">
        <v>1.0</v>
      </c>
      <c r="C2948" s="59">
        <v>1.004762786E9</v>
      </c>
      <c r="D2948" s="59" t="s">
        <v>198</v>
      </c>
      <c r="E2948" s="59" t="s">
        <v>47</v>
      </c>
      <c r="F2948" s="59" t="s">
        <v>44</v>
      </c>
      <c r="G2948" s="59" t="s">
        <v>48</v>
      </c>
      <c r="H2948" s="59" t="s">
        <v>49</v>
      </c>
      <c r="I2948" s="61"/>
      <c r="J2948" s="61"/>
      <c r="K2948" s="59" t="s">
        <v>45</v>
      </c>
      <c r="L2948" s="59" t="s">
        <v>98</v>
      </c>
      <c r="M2948" s="59">
        <v>1647.0</v>
      </c>
      <c r="N2948" s="59">
        <v>230.0</v>
      </c>
      <c r="O2948" s="59">
        <v>15.53</v>
      </c>
      <c r="P2948" s="61">
        <f t="shared" ref="P2948:P2957" si="240">N2948*O2948</f>
        <v>3571.9</v>
      </c>
      <c r="Q2948" s="59"/>
      <c r="R2948" s="240">
        <v>3571.9</v>
      </c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</row>
    <row r="2949">
      <c r="A2949" s="2"/>
      <c r="B2949" s="52">
        <v>2.0</v>
      </c>
      <c r="C2949" s="59">
        <v>1.004763136E9</v>
      </c>
      <c r="D2949" s="59" t="s">
        <v>198</v>
      </c>
      <c r="E2949" s="59" t="s">
        <v>51</v>
      </c>
      <c r="F2949" s="59" t="s">
        <v>44</v>
      </c>
      <c r="G2949" s="59"/>
      <c r="H2949" s="59"/>
      <c r="I2949" s="61"/>
      <c r="J2949" s="61"/>
      <c r="K2949" s="59" t="s">
        <v>45</v>
      </c>
      <c r="L2949" s="59" t="s">
        <v>50</v>
      </c>
      <c r="M2949" s="59">
        <v>1574.0</v>
      </c>
      <c r="N2949" s="59">
        <v>230.0</v>
      </c>
      <c r="O2949" s="59">
        <v>15.53</v>
      </c>
      <c r="P2949" s="59">
        <f t="shared" si="240"/>
        <v>3571.9</v>
      </c>
      <c r="Q2949" s="61"/>
      <c r="R2949" s="240">
        <v>3571.9</v>
      </c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</row>
    <row r="2950">
      <c r="A2950" s="2"/>
      <c r="B2950" s="52">
        <v>3.0</v>
      </c>
      <c r="C2950" s="59">
        <v>1.004763344E9</v>
      </c>
      <c r="D2950" s="59" t="s">
        <v>198</v>
      </c>
      <c r="E2950" s="59" t="s">
        <v>51</v>
      </c>
      <c r="F2950" s="59" t="s">
        <v>44</v>
      </c>
      <c r="G2950" s="59" t="s">
        <v>49</v>
      </c>
      <c r="H2950" s="61"/>
      <c r="I2950" s="61"/>
      <c r="J2950" s="61"/>
      <c r="K2950" s="59" t="s">
        <v>45</v>
      </c>
      <c r="L2950" s="59" t="s">
        <v>52</v>
      </c>
      <c r="M2950" s="59">
        <v>1518.0</v>
      </c>
      <c r="N2950" s="59">
        <v>230.0</v>
      </c>
      <c r="O2950" s="59">
        <v>15.53</v>
      </c>
      <c r="P2950" s="61">
        <f t="shared" si="240"/>
        <v>3571.9</v>
      </c>
      <c r="Q2950" s="61"/>
      <c r="R2950" s="240">
        <v>3571.9</v>
      </c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</row>
    <row r="2951">
      <c r="A2951" s="2"/>
      <c r="B2951" s="52">
        <v>4.0</v>
      </c>
      <c r="C2951" s="59">
        <v>1.004763654E9</v>
      </c>
      <c r="D2951" s="59" t="s">
        <v>198</v>
      </c>
      <c r="E2951" s="59" t="s">
        <v>51</v>
      </c>
      <c r="F2951" s="59" t="s">
        <v>44</v>
      </c>
      <c r="G2951" s="59"/>
      <c r="H2951" s="61"/>
      <c r="I2951" s="61"/>
      <c r="J2951" s="61"/>
      <c r="K2951" s="59" t="s">
        <v>45</v>
      </c>
      <c r="L2951" s="59" t="s">
        <v>99</v>
      </c>
      <c r="M2951" s="59">
        <v>1581.0</v>
      </c>
      <c r="N2951" s="59">
        <v>230.0</v>
      </c>
      <c r="O2951" s="59">
        <v>15.53</v>
      </c>
      <c r="P2951" s="61">
        <f t="shared" si="240"/>
        <v>3571.9</v>
      </c>
      <c r="Q2951" s="61"/>
      <c r="R2951" s="240">
        <v>3571.9</v>
      </c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</row>
    <row r="2952">
      <c r="A2952" s="2"/>
      <c r="B2952" s="52">
        <v>5.0</v>
      </c>
      <c r="C2952" s="59">
        <v>1.004763861E9</v>
      </c>
      <c r="D2952" s="59" t="s">
        <v>198</v>
      </c>
      <c r="E2952" s="59" t="s">
        <v>51</v>
      </c>
      <c r="F2952" s="59" t="s">
        <v>44</v>
      </c>
      <c r="G2952" s="59"/>
      <c r="H2952" s="61"/>
      <c r="I2952" s="61"/>
      <c r="J2952" s="61"/>
      <c r="K2952" s="59" t="s">
        <v>45</v>
      </c>
      <c r="L2952" s="59" t="s">
        <v>120</v>
      </c>
      <c r="M2952" s="59">
        <v>1594.0</v>
      </c>
      <c r="N2952" s="59">
        <v>230.0</v>
      </c>
      <c r="O2952" s="59">
        <v>15.53</v>
      </c>
      <c r="P2952" s="61">
        <f t="shared" si="240"/>
        <v>3571.9</v>
      </c>
      <c r="Q2952" s="61"/>
      <c r="R2952" s="240">
        <v>3571.9</v>
      </c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</row>
    <row r="2953">
      <c r="A2953" s="2"/>
      <c r="B2953" s="52">
        <v>6.0</v>
      </c>
      <c r="C2953" s="59">
        <v>1.004763339E9</v>
      </c>
      <c r="D2953" s="59" t="s">
        <v>198</v>
      </c>
      <c r="E2953" s="59" t="s">
        <v>51</v>
      </c>
      <c r="F2953" s="59" t="s">
        <v>44</v>
      </c>
      <c r="G2953" s="61"/>
      <c r="H2953" s="61"/>
      <c r="I2953" s="61"/>
      <c r="J2953" s="61"/>
      <c r="K2953" s="59" t="s">
        <v>45</v>
      </c>
      <c r="L2953" s="59" t="s">
        <v>54</v>
      </c>
      <c r="M2953" s="59">
        <v>1634.0</v>
      </c>
      <c r="N2953" s="59">
        <v>230.0</v>
      </c>
      <c r="O2953" s="59">
        <v>15.53</v>
      </c>
      <c r="P2953" s="61">
        <f t="shared" si="240"/>
        <v>3571.9</v>
      </c>
      <c r="Q2953" s="61"/>
      <c r="R2953" s="240">
        <v>3571.9</v>
      </c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</row>
    <row r="2954">
      <c r="A2954" s="2"/>
      <c r="B2954" s="52">
        <v>7.0</v>
      </c>
      <c r="C2954" s="59">
        <v>1.004763726E9</v>
      </c>
      <c r="D2954" s="59" t="s">
        <v>198</v>
      </c>
      <c r="E2954" s="59" t="s">
        <v>106</v>
      </c>
      <c r="F2954" s="59" t="s">
        <v>107</v>
      </c>
      <c r="G2954" s="59" t="s">
        <v>108</v>
      </c>
      <c r="H2954" s="59" t="s">
        <v>109</v>
      </c>
      <c r="I2954" s="61"/>
      <c r="J2954" s="61"/>
      <c r="K2954" s="59" t="s">
        <v>38</v>
      </c>
      <c r="L2954" s="59" t="s">
        <v>118</v>
      </c>
      <c r="M2954" s="59">
        <v>3502.0</v>
      </c>
      <c r="N2954" s="59">
        <v>482.0</v>
      </c>
      <c r="O2954" s="59">
        <v>19.28</v>
      </c>
      <c r="P2954" s="61">
        <f t="shared" si="240"/>
        <v>9292.96</v>
      </c>
      <c r="Q2954" s="59">
        <v>1025.0</v>
      </c>
      <c r="R2954" s="240">
        <v>10317.96</v>
      </c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</row>
    <row r="2955">
      <c r="A2955" s="2"/>
      <c r="B2955" s="52">
        <v>8.0</v>
      </c>
      <c r="C2955" s="59">
        <v>1.004763969E9</v>
      </c>
      <c r="D2955" s="59" t="s">
        <v>198</v>
      </c>
      <c r="E2955" s="59" t="s">
        <v>90</v>
      </c>
      <c r="F2955" s="59" t="s">
        <v>91</v>
      </c>
      <c r="G2955" s="59" t="s">
        <v>92</v>
      </c>
      <c r="H2955" s="59" t="s">
        <v>93</v>
      </c>
      <c r="I2955" s="59" t="s">
        <v>94</v>
      </c>
      <c r="J2955" s="61"/>
      <c r="K2955" s="59" t="s">
        <v>38</v>
      </c>
      <c r="L2955" s="59" t="s">
        <v>102</v>
      </c>
      <c r="M2955" s="59">
        <v>3235.0</v>
      </c>
      <c r="N2955" s="59">
        <v>405.0</v>
      </c>
      <c r="O2955" s="59">
        <v>19.28</v>
      </c>
      <c r="P2955" s="61">
        <f t="shared" si="240"/>
        <v>7808.4</v>
      </c>
      <c r="Q2955" s="59">
        <v>500.0</v>
      </c>
      <c r="R2955" s="240">
        <v>8308.4</v>
      </c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</row>
    <row r="2956">
      <c r="A2956" s="2"/>
      <c r="B2956" s="52">
        <v>9.0</v>
      </c>
      <c r="C2956" s="59">
        <v>1.00476413E9</v>
      </c>
      <c r="D2956" s="59" t="s">
        <v>198</v>
      </c>
      <c r="E2956" s="59" t="s">
        <v>100</v>
      </c>
      <c r="F2956" s="59" t="s">
        <v>86</v>
      </c>
      <c r="G2956" s="59" t="s">
        <v>83</v>
      </c>
      <c r="H2956" s="59"/>
      <c r="I2956" s="61"/>
      <c r="J2956" s="61"/>
      <c r="K2956" s="59" t="s">
        <v>33</v>
      </c>
      <c r="L2956" s="59" t="s">
        <v>104</v>
      </c>
      <c r="M2956" s="59">
        <v>1874.0</v>
      </c>
      <c r="N2956" s="59">
        <v>384.0</v>
      </c>
      <c r="O2956" s="59">
        <v>15.53</v>
      </c>
      <c r="P2956" s="61">
        <f t="shared" si="240"/>
        <v>5963.52</v>
      </c>
      <c r="Q2956" s="59"/>
      <c r="R2956" s="240">
        <v>5963.52</v>
      </c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</row>
    <row r="2957">
      <c r="A2957" s="2"/>
      <c r="B2957" s="52">
        <v>10.0</v>
      </c>
      <c r="C2957" s="59">
        <v>1.004763935E9</v>
      </c>
      <c r="D2957" s="59" t="s">
        <v>198</v>
      </c>
      <c r="E2957" s="59" t="s">
        <v>82</v>
      </c>
      <c r="F2957" s="59" t="s">
        <v>88</v>
      </c>
      <c r="G2957" s="59" t="s">
        <v>87</v>
      </c>
      <c r="H2957" s="59"/>
      <c r="I2957" s="59"/>
      <c r="J2957" s="61"/>
      <c r="K2957" s="59" t="s">
        <v>38</v>
      </c>
      <c r="L2957" s="59" t="s">
        <v>89</v>
      </c>
      <c r="M2957" s="59">
        <v>3531.0</v>
      </c>
      <c r="N2957" s="59">
        <v>484.0</v>
      </c>
      <c r="O2957" s="59">
        <v>19.28</v>
      </c>
      <c r="P2957" s="61">
        <f t="shared" si="240"/>
        <v>9331.52</v>
      </c>
      <c r="Q2957" s="59">
        <v>930.0</v>
      </c>
      <c r="R2957" s="240">
        <v>10261.52</v>
      </c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</row>
    <row r="2958">
      <c r="A2958" s="2"/>
      <c r="B2958" s="11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66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</row>
    <row r="2959">
      <c r="A2959" s="2"/>
      <c r="B2959" s="72" t="s">
        <v>64</v>
      </c>
      <c r="C2959" s="68"/>
      <c r="D2959" s="73"/>
      <c r="E2959" s="68"/>
      <c r="F2959" s="68"/>
      <c r="G2959" s="68"/>
      <c r="H2959" s="68"/>
      <c r="I2959" s="68"/>
      <c r="J2959" s="68"/>
      <c r="K2959" s="68"/>
      <c r="L2959" s="68"/>
      <c r="M2959" s="68"/>
      <c r="N2959" s="74" t="s">
        <v>65</v>
      </c>
      <c r="O2959" s="4"/>
      <c r="P2959" s="75">
        <f t="shared" ref="P2959:R2959" si="241">SUM(P2948:P2957)</f>
        <v>53827.8</v>
      </c>
      <c r="Q2959" s="75">
        <f t="shared" si="241"/>
        <v>2455</v>
      </c>
      <c r="R2959" s="75">
        <f t="shared" si="241"/>
        <v>56282.8</v>
      </c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</row>
    <row r="2960">
      <c r="A2960" s="2"/>
      <c r="B2960" s="72" t="s">
        <v>66</v>
      </c>
      <c r="C2960" s="68"/>
      <c r="D2960" s="68"/>
      <c r="E2960" s="68"/>
      <c r="F2960" s="68"/>
      <c r="G2960" s="68"/>
      <c r="H2960" s="68"/>
      <c r="I2960" s="68"/>
      <c r="J2960" s="68"/>
      <c r="K2960" s="68"/>
      <c r="L2960" s="68"/>
      <c r="M2960" s="68"/>
      <c r="N2960" s="68"/>
      <c r="O2960" s="76"/>
      <c r="P2960" s="78" t="s">
        <v>67</v>
      </c>
      <c r="Q2960" s="31"/>
      <c r="R2960" s="3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</row>
    <row r="2961">
      <c r="A2961" s="2"/>
      <c r="B2961" s="81" t="s">
        <v>68</v>
      </c>
      <c r="P2961" s="29"/>
      <c r="Q2961" s="29"/>
      <c r="R2961" s="8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</row>
    <row r="2962">
      <c r="A2962" s="2"/>
      <c r="B2962" s="81" t="s">
        <v>70</v>
      </c>
      <c r="P2962" s="29"/>
      <c r="Q2962" s="29"/>
      <c r="R2962" s="8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</row>
    <row r="2963">
      <c r="A2963" s="2"/>
      <c r="B2963" s="11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66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</row>
    <row r="2964">
      <c r="A2964" s="2"/>
      <c r="B2964" s="11"/>
      <c r="C2964" s="2"/>
      <c r="D2964" s="2"/>
      <c r="E2964" s="2"/>
      <c r="F2964" s="2"/>
      <c r="G2964" s="2"/>
      <c r="H2964" s="2"/>
      <c r="I2964" s="2"/>
      <c r="J2964" s="2"/>
      <c r="K2964" s="87" t="s">
        <v>71</v>
      </c>
      <c r="L2964" s="2"/>
      <c r="M2964" s="2"/>
      <c r="N2964" s="2"/>
      <c r="O2964" s="2"/>
      <c r="P2964" s="12" t="s">
        <v>72</v>
      </c>
      <c r="R2964" s="10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</row>
    <row r="2965">
      <c r="A2965" s="2"/>
      <c r="B2965" s="90"/>
      <c r="C2965" s="36"/>
      <c r="D2965" s="36"/>
      <c r="E2965" s="36"/>
      <c r="F2965" s="36"/>
      <c r="G2965" s="36"/>
      <c r="H2965" s="36"/>
      <c r="I2965" s="36"/>
      <c r="J2965" s="36"/>
      <c r="K2965" s="36"/>
      <c r="L2965" s="36"/>
      <c r="M2965" s="36"/>
      <c r="N2965" s="36"/>
      <c r="O2965" s="36"/>
      <c r="P2965" s="36"/>
      <c r="Q2965" s="36"/>
      <c r="R2965" s="91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</row>
    <row r="2966">
      <c r="A2966" s="2"/>
      <c r="B2966" s="177"/>
      <c r="C2966" s="177"/>
      <c r="D2966" s="177"/>
      <c r="E2966" s="177"/>
      <c r="F2966" s="177"/>
      <c r="G2966" s="177"/>
      <c r="H2966" s="177"/>
      <c r="I2966" s="177"/>
      <c r="J2966" s="177"/>
      <c r="K2966" s="177"/>
      <c r="L2966" s="177"/>
      <c r="M2966" s="177"/>
      <c r="N2966" s="177"/>
      <c r="O2966" s="177"/>
      <c r="P2966" s="177"/>
      <c r="Q2966" s="177"/>
      <c r="R2966" s="177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</row>
    <row r="2967">
      <c r="A2967" s="2"/>
      <c r="B2967" s="177"/>
      <c r="C2967" s="177"/>
      <c r="D2967" s="177"/>
      <c r="E2967" s="177"/>
      <c r="F2967" s="177"/>
      <c r="G2967" s="177"/>
      <c r="H2967" s="177"/>
      <c r="I2967" s="177"/>
      <c r="J2967" s="177"/>
      <c r="K2967" s="177"/>
      <c r="L2967" s="177"/>
      <c r="M2967" s="177"/>
      <c r="N2967" s="177"/>
      <c r="O2967" s="177"/>
      <c r="P2967" s="177"/>
      <c r="Q2967" s="177"/>
      <c r="R2967" s="177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</row>
    <row r="2968">
      <c r="A2968" s="2"/>
      <c r="B2968" s="177"/>
      <c r="C2968" s="177"/>
      <c r="D2968" s="177"/>
      <c r="E2968" s="177"/>
      <c r="F2968" s="177"/>
      <c r="G2968" s="177"/>
      <c r="H2968" s="177"/>
      <c r="I2968" s="177"/>
      <c r="J2968" s="177"/>
      <c r="K2968" s="177"/>
      <c r="L2968" s="177"/>
      <c r="M2968" s="177"/>
      <c r="N2968" s="177"/>
      <c r="O2968" s="177"/>
      <c r="P2968" s="177"/>
      <c r="Q2968" s="177"/>
      <c r="R2968" s="177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</row>
    <row r="2969">
      <c r="A2969" s="2"/>
      <c r="B2969" s="177"/>
      <c r="C2969" s="177"/>
      <c r="D2969" s="177"/>
      <c r="E2969" s="177"/>
      <c r="F2969" s="177"/>
      <c r="G2969" s="177"/>
      <c r="H2969" s="177"/>
      <c r="I2969" s="177"/>
      <c r="J2969" s="177"/>
      <c r="K2969" s="177"/>
      <c r="L2969" s="177"/>
      <c r="M2969" s="177"/>
      <c r="N2969" s="177"/>
      <c r="O2969" s="177"/>
      <c r="P2969" s="177"/>
      <c r="Q2969" s="177"/>
      <c r="R2969" s="177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</row>
    <row r="2970">
      <c r="A2970" s="2"/>
      <c r="B2970" s="176" t="s">
        <v>1</v>
      </c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5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</row>
    <row r="2971">
      <c r="A2971" s="2"/>
      <c r="B2971" s="11"/>
      <c r="F2971" s="12"/>
      <c r="G2971" s="12"/>
      <c r="I2971" s="12"/>
      <c r="J2971" s="12" t="s">
        <v>2</v>
      </c>
      <c r="N2971" s="2"/>
      <c r="R2971" s="10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</row>
    <row r="2972">
      <c r="A2972" s="2"/>
      <c r="B2972" s="14"/>
      <c r="F2972" s="12"/>
      <c r="G2972" s="12"/>
      <c r="H2972" s="12"/>
      <c r="I2972" s="12"/>
      <c r="J2972" s="12" t="s">
        <v>3</v>
      </c>
      <c r="N2972" s="2"/>
      <c r="R2972" s="10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</row>
    <row r="2973">
      <c r="A2973" s="2"/>
      <c r="B2973" s="14" t="s">
        <v>4</v>
      </c>
      <c r="R2973" s="10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</row>
    <row r="2974">
      <c r="A2974" s="2"/>
      <c r="B2974" s="21" t="s">
        <v>5</v>
      </c>
      <c r="C2974" s="22" t="s">
        <v>6</v>
      </c>
      <c r="D2974" s="4"/>
      <c r="E2974" s="4"/>
      <c r="F2974" s="4"/>
      <c r="G2974" s="4"/>
      <c r="H2974" s="4"/>
      <c r="I2974" s="4"/>
      <c r="J2974" s="4"/>
      <c r="K2974" s="5"/>
      <c r="L2974" s="23" t="s">
        <v>7</v>
      </c>
      <c r="M2974" s="87">
        <v>38.0</v>
      </c>
      <c r="N2974" s="24"/>
      <c r="O2974" s="4"/>
      <c r="P2974" s="4"/>
      <c r="Q2974" s="4"/>
      <c r="R2974" s="5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</row>
    <row r="2975">
      <c r="A2975" s="2"/>
      <c r="B2975" s="28"/>
      <c r="C2975" s="29" t="s">
        <v>8</v>
      </c>
      <c r="K2975" s="10"/>
      <c r="L2975" s="23" t="s">
        <v>9</v>
      </c>
      <c r="M2975" s="2"/>
      <c r="N2975" s="2"/>
      <c r="R2975" s="10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</row>
    <row r="2976">
      <c r="A2976" s="2"/>
      <c r="B2976" s="21" t="s">
        <v>11</v>
      </c>
      <c r="C2976" s="35" t="s">
        <v>12</v>
      </c>
      <c r="D2976" s="31"/>
      <c r="E2976" s="31"/>
      <c r="F2976" s="31"/>
      <c r="G2976" s="31"/>
      <c r="H2976" s="31"/>
      <c r="I2976" s="31"/>
      <c r="J2976" s="31"/>
      <c r="K2976" s="32"/>
      <c r="L2976" s="23" t="s">
        <v>13</v>
      </c>
      <c r="M2976" s="36"/>
      <c r="N2976" s="36"/>
      <c r="O2976" s="31"/>
      <c r="P2976" s="31"/>
      <c r="Q2976" s="31"/>
      <c r="R2976" s="3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</row>
    <row r="2977">
      <c r="A2977" s="2"/>
      <c r="B2977" s="11"/>
      <c r="R2977" s="10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</row>
    <row r="2978">
      <c r="A2978" s="2"/>
      <c r="B2978" s="46" t="s">
        <v>15</v>
      </c>
      <c r="C2978" s="47" t="s">
        <v>16</v>
      </c>
      <c r="D2978" s="48" t="s">
        <v>17</v>
      </c>
      <c r="E2978" s="48" t="s">
        <v>18</v>
      </c>
      <c r="F2978" s="49" t="s">
        <v>19</v>
      </c>
      <c r="G2978" s="43"/>
      <c r="H2978" s="43"/>
      <c r="I2978" s="43"/>
      <c r="J2978" s="44"/>
      <c r="K2978" s="48" t="s">
        <v>20</v>
      </c>
      <c r="L2978" s="48" t="s">
        <v>21</v>
      </c>
      <c r="M2978" s="48" t="s">
        <v>22</v>
      </c>
      <c r="N2978" s="48" t="s">
        <v>23</v>
      </c>
      <c r="O2978" s="48" t="s">
        <v>24</v>
      </c>
      <c r="P2978" s="48" t="s">
        <v>25</v>
      </c>
      <c r="Q2978" s="48" t="s">
        <v>26</v>
      </c>
      <c r="R2978" s="50" t="s">
        <v>27</v>
      </c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</row>
    <row r="2979">
      <c r="A2979" s="2"/>
      <c r="B2979" s="52">
        <v>1.0</v>
      </c>
      <c r="C2979" s="59">
        <v>1.004764848E9</v>
      </c>
      <c r="D2979" s="59" t="s">
        <v>199</v>
      </c>
      <c r="E2979" s="59" t="s">
        <v>28</v>
      </c>
      <c r="F2979" s="59" t="s">
        <v>29</v>
      </c>
      <c r="G2979" s="59" t="s">
        <v>31</v>
      </c>
      <c r="H2979" s="59"/>
      <c r="I2979" s="59"/>
      <c r="J2979" s="59"/>
      <c r="K2979" s="59" t="s">
        <v>33</v>
      </c>
      <c r="L2979" s="59" t="s">
        <v>34</v>
      </c>
      <c r="M2979" s="59">
        <v>2349.0</v>
      </c>
      <c r="N2979" s="59">
        <v>180.0</v>
      </c>
      <c r="O2979" s="59">
        <v>15.53</v>
      </c>
      <c r="P2979" s="59">
        <v>2795.4</v>
      </c>
      <c r="Q2979" s="59"/>
      <c r="R2979" s="240">
        <v>2795.4</v>
      </c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</row>
    <row r="2980">
      <c r="A2980" s="2"/>
      <c r="B2980" s="52">
        <v>2.0</v>
      </c>
      <c r="C2980" s="59">
        <v>1.004764687E9</v>
      </c>
      <c r="D2980" s="59" t="s">
        <v>199</v>
      </c>
      <c r="E2980" s="59" t="s">
        <v>35</v>
      </c>
      <c r="F2980" s="59" t="s">
        <v>40</v>
      </c>
      <c r="G2980" s="59" t="s">
        <v>36</v>
      </c>
      <c r="H2980" s="59"/>
      <c r="I2980" s="61"/>
      <c r="J2980" s="61"/>
      <c r="K2980" s="59" t="s">
        <v>38</v>
      </c>
      <c r="L2980" s="59" t="s">
        <v>96</v>
      </c>
      <c r="M2980" s="59">
        <v>3241.0</v>
      </c>
      <c r="N2980" s="59">
        <v>150.0</v>
      </c>
      <c r="O2980" s="59">
        <v>19.28</v>
      </c>
      <c r="P2980" s="59">
        <v>2892.0</v>
      </c>
      <c r="Q2980" s="61"/>
      <c r="R2980" s="240">
        <v>2892.0</v>
      </c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</row>
    <row r="2981">
      <c r="A2981" s="2"/>
      <c r="B2981" s="52">
        <v>3.0</v>
      </c>
      <c r="C2981" s="59">
        <v>1.004764699E9</v>
      </c>
      <c r="D2981" s="59" t="s">
        <v>199</v>
      </c>
      <c r="E2981" s="59" t="s">
        <v>35</v>
      </c>
      <c r="F2981" s="59" t="s">
        <v>37</v>
      </c>
      <c r="G2981" s="59" t="s">
        <v>36</v>
      </c>
      <c r="H2981" s="61"/>
      <c r="I2981" s="61"/>
      <c r="J2981" s="61"/>
      <c r="K2981" s="59" t="s">
        <v>38</v>
      </c>
      <c r="L2981" s="59" t="s">
        <v>97</v>
      </c>
      <c r="M2981" s="59">
        <v>3204.0</v>
      </c>
      <c r="N2981" s="59">
        <v>200.0</v>
      </c>
      <c r="O2981" s="59">
        <v>19.28</v>
      </c>
      <c r="P2981" s="59">
        <v>3856.0</v>
      </c>
      <c r="Q2981" s="61"/>
      <c r="R2981" s="240">
        <v>3856.0</v>
      </c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</row>
    <row r="2982">
      <c r="A2982" s="2"/>
      <c r="B2982" s="52">
        <v>4.0</v>
      </c>
      <c r="C2982" s="59">
        <v>1.004764702E9</v>
      </c>
      <c r="D2982" s="59" t="s">
        <v>199</v>
      </c>
      <c r="E2982" s="59" t="s">
        <v>35</v>
      </c>
      <c r="F2982" s="59" t="s">
        <v>36</v>
      </c>
      <c r="G2982" s="59"/>
      <c r="H2982" s="61"/>
      <c r="I2982" s="61"/>
      <c r="J2982" s="61"/>
      <c r="K2982" s="59" t="s">
        <v>38</v>
      </c>
      <c r="L2982" s="59" t="s">
        <v>41</v>
      </c>
      <c r="M2982" s="59">
        <v>3503.0</v>
      </c>
      <c r="N2982" s="59">
        <v>130.0</v>
      </c>
      <c r="O2982" s="59">
        <v>19.28</v>
      </c>
      <c r="P2982" s="59">
        <v>2506.4</v>
      </c>
      <c r="Q2982" s="61"/>
      <c r="R2982" s="240">
        <v>2506.4</v>
      </c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</row>
    <row r="2983">
      <c r="A2983" s="2"/>
      <c r="B2983" s="52">
        <v>5.0</v>
      </c>
      <c r="C2983" s="59">
        <v>1.004764818E9</v>
      </c>
      <c r="D2983" s="59" t="s">
        <v>199</v>
      </c>
      <c r="E2983" s="59" t="s">
        <v>42</v>
      </c>
      <c r="F2983" s="59" t="s">
        <v>49</v>
      </c>
      <c r="G2983" s="59" t="s">
        <v>44</v>
      </c>
      <c r="H2983" s="59" t="s">
        <v>43</v>
      </c>
      <c r="I2983" s="61"/>
      <c r="J2983" s="61"/>
      <c r="K2983" s="59" t="s">
        <v>45</v>
      </c>
      <c r="L2983" s="59" t="s">
        <v>98</v>
      </c>
      <c r="M2983" s="59">
        <v>1604.0</v>
      </c>
      <c r="N2983" s="59">
        <v>299.0</v>
      </c>
      <c r="O2983" s="59">
        <v>15.53</v>
      </c>
      <c r="P2983" s="59">
        <v>4643.47</v>
      </c>
      <c r="Q2983" s="61"/>
      <c r="R2983" s="240">
        <v>4643.47</v>
      </c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</row>
    <row r="2984">
      <c r="A2984" s="2"/>
      <c r="B2984" s="52">
        <v>6.0</v>
      </c>
      <c r="C2984" s="59">
        <v>1.004764833E9</v>
      </c>
      <c r="D2984" s="59" t="s">
        <v>199</v>
      </c>
      <c r="E2984" s="59" t="s">
        <v>51</v>
      </c>
      <c r="F2984" s="59" t="s">
        <v>44</v>
      </c>
      <c r="G2984" s="61"/>
      <c r="H2984" s="61"/>
      <c r="I2984" s="61"/>
      <c r="J2984" s="61"/>
      <c r="K2984" s="59" t="s">
        <v>45</v>
      </c>
      <c r="L2984" s="59" t="s">
        <v>50</v>
      </c>
      <c r="M2984" s="59">
        <v>1534.0</v>
      </c>
      <c r="N2984" s="59">
        <v>230.0</v>
      </c>
      <c r="O2984" s="59">
        <v>15.53</v>
      </c>
      <c r="P2984" s="59">
        <v>3571.9</v>
      </c>
      <c r="Q2984" s="61"/>
      <c r="R2984" s="240">
        <v>3571.9</v>
      </c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</row>
    <row r="2985">
      <c r="A2985" s="2"/>
      <c r="B2985" s="52">
        <v>7.0</v>
      </c>
      <c r="C2985" s="59">
        <v>1.004766093E9</v>
      </c>
      <c r="D2985" s="59" t="s">
        <v>199</v>
      </c>
      <c r="E2985" s="59" t="s">
        <v>51</v>
      </c>
      <c r="F2985" s="59" t="s">
        <v>44</v>
      </c>
      <c r="G2985" s="59" t="s">
        <v>49</v>
      </c>
      <c r="H2985" s="59"/>
      <c r="I2985" s="61"/>
      <c r="J2985" s="61"/>
      <c r="K2985" s="59" t="s">
        <v>45</v>
      </c>
      <c r="L2985" s="59" t="s">
        <v>52</v>
      </c>
      <c r="M2985" s="59">
        <v>1655.0</v>
      </c>
      <c r="N2985" s="59">
        <v>230.0</v>
      </c>
      <c r="O2985" s="59">
        <v>15.53</v>
      </c>
      <c r="P2985" s="59">
        <v>3571.9</v>
      </c>
      <c r="Q2985" s="61"/>
      <c r="R2985" s="240">
        <v>3571.9</v>
      </c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</row>
    <row r="2986">
      <c r="A2986" s="2"/>
      <c r="B2986" s="52">
        <v>8.0</v>
      </c>
      <c r="C2986" s="59">
        <v>1.004766231E9</v>
      </c>
      <c r="D2986" s="59" t="s">
        <v>199</v>
      </c>
      <c r="E2986" s="59" t="s">
        <v>51</v>
      </c>
      <c r="F2986" s="59" t="s">
        <v>44</v>
      </c>
      <c r="G2986" s="59"/>
      <c r="H2986" s="59"/>
      <c r="I2986" s="61"/>
      <c r="J2986" s="61"/>
      <c r="K2986" s="59" t="s">
        <v>45</v>
      </c>
      <c r="L2986" s="59" t="s">
        <v>123</v>
      </c>
      <c r="M2986" s="59">
        <v>1395.0</v>
      </c>
      <c r="N2986" s="59">
        <v>230.0</v>
      </c>
      <c r="O2986" s="59">
        <v>15.53</v>
      </c>
      <c r="P2986" s="59">
        <v>3571.9</v>
      </c>
      <c r="Q2986" s="59"/>
      <c r="R2986" s="240">
        <v>3571.9</v>
      </c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</row>
    <row r="2987">
      <c r="A2987" s="2"/>
      <c r="B2987" s="52">
        <v>9.0</v>
      </c>
      <c r="C2987" s="59">
        <v>1.004764837E9</v>
      </c>
      <c r="D2987" s="59" t="s">
        <v>199</v>
      </c>
      <c r="E2987" s="59" t="s">
        <v>51</v>
      </c>
      <c r="F2987" s="59" t="s">
        <v>44</v>
      </c>
      <c r="G2987" s="59" t="s">
        <v>49</v>
      </c>
      <c r="H2987" s="59"/>
      <c r="I2987" s="61"/>
      <c r="J2987" s="61"/>
      <c r="K2987" s="59" t="s">
        <v>45</v>
      </c>
      <c r="L2987" s="59" t="s">
        <v>54</v>
      </c>
      <c r="M2987" s="59">
        <v>1507.0</v>
      </c>
      <c r="N2987" s="59">
        <v>230.0</v>
      </c>
      <c r="O2987" s="59">
        <v>15.53</v>
      </c>
      <c r="P2987" s="59">
        <v>3571.9</v>
      </c>
      <c r="Q2987" s="59"/>
      <c r="R2987" s="240">
        <v>3571.9</v>
      </c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</row>
    <row r="2988">
      <c r="A2988" s="2"/>
      <c r="B2988" s="52">
        <v>10.0</v>
      </c>
      <c r="C2988" s="59">
        <v>1.004766485E9</v>
      </c>
      <c r="D2988" s="59" t="s">
        <v>199</v>
      </c>
      <c r="E2988" s="59" t="s">
        <v>55</v>
      </c>
      <c r="F2988" s="59" t="s">
        <v>57</v>
      </c>
      <c r="G2988" s="59" t="s">
        <v>58</v>
      </c>
      <c r="H2988" s="59" t="s">
        <v>59</v>
      </c>
      <c r="I2988" s="59"/>
      <c r="J2988" s="61"/>
      <c r="K2988" s="59" t="s">
        <v>80</v>
      </c>
      <c r="L2988" s="59" t="s">
        <v>105</v>
      </c>
      <c r="M2988" s="59">
        <v>2620.0</v>
      </c>
      <c r="N2988" s="59">
        <v>518.0</v>
      </c>
      <c r="O2988" s="59">
        <v>18.28</v>
      </c>
      <c r="P2988" s="59">
        <v>9469.04</v>
      </c>
      <c r="Q2988" s="59"/>
      <c r="R2988" s="240">
        <v>9469.04</v>
      </c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</row>
    <row r="2989">
      <c r="A2989" s="2"/>
      <c r="B2989" s="11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66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</row>
    <row r="2990">
      <c r="A2990" s="2"/>
      <c r="B2990" s="72" t="s">
        <v>64</v>
      </c>
      <c r="C2990" s="68"/>
      <c r="D2990" s="73"/>
      <c r="E2990" s="68"/>
      <c r="F2990" s="68"/>
      <c r="G2990" s="68"/>
      <c r="H2990" s="68"/>
      <c r="I2990" s="68"/>
      <c r="J2990" s="68"/>
      <c r="K2990" s="68"/>
      <c r="L2990" s="68"/>
      <c r="M2990" s="68"/>
      <c r="N2990" s="74" t="s">
        <v>65</v>
      </c>
      <c r="O2990" s="4"/>
      <c r="P2990" s="75">
        <f t="shared" ref="P2990:R2990" si="242">SUM(P2979:P2988)</f>
        <v>40449.91</v>
      </c>
      <c r="Q2990" s="75">
        <f t="shared" si="242"/>
        <v>0</v>
      </c>
      <c r="R2990" s="75">
        <f t="shared" si="242"/>
        <v>40449.91</v>
      </c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</row>
    <row r="2991">
      <c r="A2991" s="2"/>
      <c r="B2991" s="72" t="s">
        <v>66</v>
      </c>
      <c r="C2991" s="68"/>
      <c r="D2991" s="68"/>
      <c r="E2991" s="68"/>
      <c r="F2991" s="68"/>
      <c r="G2991" s="68"/>
      <c r="H2991" s="68"/>
      <c r="I2991" s="68"/>
      <c r="J2991" s="68"/>
      <c r="K2991" s="68"/>
      <c r="L2991" s="68"/>
      <c r="M2991" s="68"/>
      <c r="N2991" s="68"/>
      <c r="O2991" s="76"/>
      <c r="P2991" s="78" t="s">
        <v>67</v>
      </c>
      <c r="Q2991" s="31"/>
      <c r="R2991" s="3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</row>
    <row r="2992">
      <c r="A2992" s="2"/>
      <c r="B2992" s="81" t="s">
        <v>68</v>
      </c>
      <c r="P2992" s="29"/>
      <c r="Q2992" s="29"/>
      <c r="R2992" s="8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</row>
    <row r="2993">
      <c r="A2993" s="2"/>
      <c r="B2993" s="81" t="s">
        <v>70</v>
      </c>
      <c r="P2993" s="29"/>
      <c r="Q2993" s="29"/>
      <c r="R2993" s="8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</row>
    <row r="2994">
      <c r="A2994" s="2"/>
      <c r="B2994" s="11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66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</row>
    <row r="2995">
      <c r="A2995" s="2"/>
      <c r="B2995" s="11"/>
      <c r="C2995" s="2"/>
      <c r="D2995" s="2"/>
      <c r="E2995" s="2"/>
      <c r="F2995" s="2"/>
      <c r="G2995" s="2"/>
      <c r="H2995" s="2"/>
      <c r="I2995" s="2"/>
      <c r="J2995" s="2"/>
      <c r="K2995" s="87" t="s">
        <v>71</v>
      </c>
      <c r="L2995" s="2"/>
      <c r="M2995" s="2"/>
      <c r="N2995" s="2"/>
      <c r="O2995" s="2"/>
      <c r="P2995" s="12" t="s">
        <v>72</v>
      </c>
      <c r="R2995" s="10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</row>
    <row r="2996">
      <c r="A2996" s="2"/>
      <c r="B2996" s="90"/>
      <c r="C2996" s="36"/>
      <c r="D2996" s="36"/>
      <c r="E2996" s="36"/>
      <c r="F2996" s="36"/>
      <c r="G2996" s="36"/>
      <c r="H2996" s="36"/>
      <c r="I2996" s="36"/>
      <c r="J2996" s="36"/>
      <c r="K2996" s="36"/>
      <c r="L2996" s="36"/>
      <c r="M2996" s="36"/>
      <c r="N2996" s="36"/>
      <c r="O2996" s="36"/>
      <c r="P2996" s="36"/>
      <c r="Q2996" s="36"/>
      <c r="R2996" s="91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</row>
    <row r="2997">
      <c r="A2997" s="2"/>
      <c r="B2997" s="177"/>
      <c r="C2997" s="177"/>
      <c r="D2997" s="177"/>
      <c r="E2997" s="177"/>
      <c r="F2997" s="177"/>
      <c r="G2997" s="177"/>
      <c r="H2997" s="177"/>
      <c r="I2997" s="177"/>
      <c r="J2997" s="177"/>
      <c r="K2997" s="177"/>
      <c r="L2997" s="177"/>
      <c r="M2997" s="177"/>
      <c r="N2997" s="177"/>
      <c r="O2997" s="177"/>
      <c r="P2997" s="177"/>
      <c r="Q2997" s="177"/>
      <c r="R2997" s="177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</row>
    <row r="2998">
      <c r="A2998" s="2"/>
      <c r="B2998" s="177"/>
      <c r="C2998" s="177"/>
      <c r="D2998" s="177"/>
      <c r="E2998" s="177"/>
      <c r="F2998" s="177"/>
      <c r="G2998" s="177"/>
      <c r="H2998" s="177"/>
      <c r="I2998" s="177"/>
      <c r="J2998" s="177"/>
      <c r="K2998" s="177"/>
      <c r="L2998" s="177"/>
      <c r="M2998" s="177"/>
      <c r="N2998" s="177"/>
      <c r="O2998" s="177"/>
      <c r="P2998" s="177"/>
      <c r="Q2998" s="177"/>
      <c r="R2998" s="177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</row>
    <row r="2999">
      <c r="A2999" s="2"/>
      <c r="B2999" s="177"/>
      <c r="C2999" s="177"/>
      <c r="D2999" s="177"/>
      <c r="E2999" s="177"/>
      <c r="F2999" s="177"/>
      <c r="G2999" s="177"/>
      <c r="H2999" s="177"/>
      <c r="I2999" s="177"/>
      <c r="J2999" s="177"/>
      <c r="K2999" s="177"/>
      <c r="L2999" s="177"/>
      <c r="M2999" s="177"/>
      <c r="N2999" s="177"/>
      <c r="O2999" s="177"/>
      <c r="P2999" s="177"/>
      <c r="Q2999" s="177"/>
      <c r="R2999" s="177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</row>
    <row r="3000">
      <c r="A3000" s="2"/>
      <c r="B3000" s="177"/>
      <c r="C3000" s="177"/>
      <c r="D3000" s="177"/>
      <c r="E3000" s="177"/>
      <c r="F3000" s="177"/>
      <c r="G3000" s="177"/>
      <c r="H3000" s="177"/>
      <c r="I3000" s="177"/>
      <c r="J3000" s="177"/>
      <c r="K3000" s="177"/>
      <c r="L3000" s="177"/>
      <c r="M3000" s="177"/>
      <c r="N3000" s="177"/>
      <c r="O3000" s="177"/>
      <c r="P3000" s="177"/>
      <c r="Q3000" s="177"/>
      <c r="R3000" s="177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</row>
    <row r="3001">
      <c r="A3001" s="2"/>
      <c r="B3001" s="177"/>
      <c r="C3001" s="177"/>
      <c r="D3001" s="177"/>
      <c r="E3001" s="177"/>
      <c r="F3001" s="177"/>
      <c r="G3001" s="177"/>
      <c r="H3001" s="177"/>
      <c r="I3001" s="177"/>
      <c r="J3001" s="177"/>
      <c r="K3001" s="177"/>
      <c r="L3001" s="177"/>
      <c r="M3001" s="177"/>
      <c r="N3001" s="177"/>
      <c r="O3001" s="177"/>
      <c r="P3001" s="177"/>
      <c r="Q3001" s="177"/>
      <c r="R3001" s="177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</row>
    <row r="3002">
      <c r="A3002" s="2"/>
      <c r="B3002" s="176" t="s">
        <v>1</v>
      </c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5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</row>
    <row r="3003">
      <c r="A3003" s="2"/>
      <c r="B3003" s="8"/>
      <c r="F3003" s="9"/>
      <c r="G3003" s="9"/>
      <c r="H3003" s="282"/>
      <c r="I3003" s="9"/>
      <c r="J3003" s="9" t="s">
        <v>2</v>
      </c>
      <c r="N3003" s="6"/>
      <c r="R3003" s="10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</row>
    <row r="3004">
      <c r="A3004" s="2"/>
      <c r="B3004" s="13"/>
      <c r="F3004" s="9"/>
      <c r="G3004" s="9"/>
      <c r="H3004" s="9"/>
      <c r="I3004" s="9"/>
      <c r="J3004" s="9" t="s">
        <v>3</v>
      </c>
      <c r="N3004" s="6"/>
      <c r="R3004" s="10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</row>
    <row r="3005">
      <c r="A3005" s="2"/>
      <c r="B3005" s="13" t="s">
        <v>4</v>
      </c>
      <c r="R3005" s="10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</row>
    <row r="3006">
      <c r="A3006" s="2"/>
      <c r="B3006" s="16" t="s">
        <v>5</v>
      </c>
      <c r="C3006" s="17" t="s">
        <v>6</v>
      </c>
      <c r="D3006" s="4"/>
      <c r="E3006" s="4"/>
      <c r="F3006" s="4"/>
      <c r="G3006" s="4"/>
      <c r="H3006" s="4"/>
      <c r="I3006" s="4"/>
      <c r="J3006" s="4"/>
      <c r="K3006" s="5"/>
      <c r="L3006" s="18" t="s">
        <v>7</v>
      </c>
      <c r="M3006" s="20"/>
      <c r="N3006" s="20"/>
      <c r="O3006" s="4"/>
      <c r="P3006" s="4"/>
      <c r="Q3006" s="4"/>
      <c r="R3006" s="5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</row>
    <row r="3007">
      <c r="A3007" s="2"/>
      <c r="B3007" s="26"/>
      <c r="C3007" s="27" t="s">
        <v>8</v>
      </c>
      <c r="K3007" s="10"/>
      <c r="L3007" s="18" t="s">
        <v>9</v>
      </c>
      <c r="M3007" s="6"/>
      <c r="N3007" s="6"/>
      <c r="R3007" s="10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</row>
    <row r="3008">
      <c r="A3008" s="2"/>
      <c r="B3008" s="16" t="s">
        <v>11</v>
      </c>
      <c r="C3008" s="30" t="s">
        <v>12</v>
      </c>
      <c r="D3008" s="31"/>
      <c r="E3008" s="31"/>
      <c r="F3008" s="31"/>
      <c r="G3008" s="31"/>
      <c r="H3008" s="31"/>
      <c r="I3008" s="31"/>
      <c r="J3008" s="31"/>
      <c r="K3008" s="32"/>
      <c r="L3008" s="18" t="s">
        <v>13</v>
      </c>
      <c r="M3008" s="34"/>
      <c r="N3008" s="34"/>
      <c r="O3008" s="31"/>
      <c r="P3008" s="31"/>
      <c r="Q3008" s="31"/>
      <c r="R3008" s="3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</row>
    <row r="3009">
      <c r="A3009" s="2"/>
      <c r="B3009" s="8"/>
      <c r="R3009" s="10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</row>
    <row r="3010">
      <c r="A3010" s="2"/>
      <c r="B3010" s="39" t="s">
        <v>15</v>
      </c>
      <c r="C3010" s="40" t="s">
        <v>16</v>
      </c>
      <c r="D3010" s="41" t="s">
        <v>17</v>
      </c>
      <c r="E3010" s="41" t="s">
        <v>18</v>
      </c>
      <c r="F3010" s="42" t="s">
        <v>19</v>
      </c>
      <c r="G3010" s="43"/>
      <c r="H3010" s="43"/>
      <c r="I3010" s="43"/>
      <c r="J3010" s="44"/>
      <c r="K3010" s="41" t="s">
        <v>20</v>
      </c>
      <c r="L3010" s="41" t="s">
        <v>21</v>
      </c>
      <c r="M3010" s="41" t="s">
        <v>22</v>
      </c>
      <c r="N3010" s="41" t="s">
        <v>23</v>
      </c>
      <c r="O3010" s="41" t="s">
        <v>24</v>
      </c>
      <c r="P3010" s="41" t="s">
        <v>25</v>
      </c>
      <c r="Q3010" s="41" t="s">
        <v>26</v>
      </c>
      <c r="R3010" s="45" t="s">
        <v>27</v>
      </c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</row>
    <row r="3011">
      <c r="A3011" s="2"/>
      <c r="B3011" s="52">
        <v>1.0</v>
      </c>
      <c r="C3011" s="53">
        <v>1.004766479E9</v>
      </c>
      <c r="D3011" s="53" t="s">
        <v>199</v>
      </c>
      <c r="E3011" s="53" t="s">
        <v>55</v>
      </c>
      <c r="F3011" s="53" t="s">
        <v>56</v>
      </c>
      <c r="G3011" s="53" t="s">
        <v>103</v>
      </c>
      <c r="H3011" s="53" t="s">
        <v>58</v>
      </c>
      <c r="I3011" s="55"/>
      <c r="J3011" s="55"/>
      <c r="K3011" s="53" t="s">
        <v>38</v>
      </c>
      <c r="L3011" s="53" t="s">
        <v>60</v>
      </c>
      <c r="M3011" s="53">
        <v>3354.0</v>
      </c>
      <c r="N3011" s="53">
        <v>572.0</v>
      </c>
      <c r="O3011" s="53">
        <v>19.28</v>
      </c>
      <c r="P3011" s="53">
        <v>11028.16</v>
      </c>
      <c r="Q3011" s="53">
        <v>330.0</v>
      </c>
      <c r="R3011" s="94">
        <v>11358.16</v>
      </c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</row>
    <row r="3012">
      <c r="A3012" s="2"/>
      <c r="B3012" s="52">
        <v>2.0</v>
      </c>
      <c r="C3012" s="53">
        <v>1.004766418E9</v>
      </c>
      <c r="D3012" s="53" t="s">
        <v>199</v>
      </c>
      <c r="E3012" s="53" t="s">
        <v>61</v>
      </c>
      <c r="F3012" s="53" t="s">
        <v>62</v>
      </c>
      <c r="G3012" s="53" t="s">
        <v>74</v>
      </c>
      <c r="H3012" s="53"/>
      <c r="I3012" s="55"/>
      <c r="J3012" s="55"/>
      <c r="K3012" s="53" t="s">
        <v>33</v>
      </c>
      <c r="L3012" s="53" t="s">
        <v>76</v>
      </c>
      <c r="M3012" s="53">
        <v>2007.0</v>
      </c>
      <c r="N3012" s="53">
        <v>330.0</v>
      </c>
      <c r="O3012" s="53">
        <v>15.53</v>
      </c>
      <c r="P3012" s="53">
        <v>5124.9</v>
      </c>
      <c r="Q3012" s="55"/>
      <c r="R3012" s="94">
        <v>5124.9</v>
      </c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</row>
    <row r="3013">
      <c r="A3013" s="2"/>
      <c r="B3013" s="52">
        <v>3.0</v>
      </c>
      <c r="C3013" s="53">
        <v>1.004766408E9</v>
      </c>
      <c r="D3013" s="53" t="s">
        <v>199</v>
      </c>
      <c r="E3013" s="53" t="s">
        <v>61</v>
      </c>
      <c r="F3013" s="53" t="s">
        <v>75</v>
      </c>
      <c r="G3013" s="53" t="s">
        <v>74</v>
      </c>
      <c r="H3013" s="53" t="s">
        <v>73</v>
      </c>
      <c r="I3013" s="55"/>
      <c r="J3013" s="55"/>
      <c r="K3013" s="53" t="s">
        <v>38</v>
      </c>
      <c r="L3013" s="53" t="s">
        <v>110</v>
      </c>
      <c r="M3013" s="53">
        <v>3267.0</v>
      </c>
      <c r="N3013" s="53">
        <v>560.0</v>
      </c>
      <c r="O3013" s="53">
        <v>19.28</v>
      </c>
      <c r="P3013" s="53">
        <v>10796.8</v>
      </c>
      <c r="Q3013" s="53">
        <v>1085.0</v>
      </c>
      <c r="R3013" s="94">
        <v>11881.8</v>
      </c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</row>
    <row r="3014">
      <c r="A3014" s="2"/>
      <c r="B3014" s="52">
        <v>4.0</v>
      </c>
      <c r="C3014" s="53">
        <v>1.004766757E9</v>
      </c>
      <c r="D3014" s="53" t="s">
        <v>199</v>
      </c>
      <c r="E3014" s="53" t="s">
        <v>77</v>
      </c>
      <c r="F3014" s="53" t="s">
        <v>78</v>
      </c>
      <c r="G3014" s="53" t="s">
        <v>79</v>
      </c>
      <c r="H3014" s="55"/>
      <c r="I3014" s="55"/>
      <c r="J3014" s="55"/>
      <c r="K3014" s="53" t="s">
        <v>38</v>
      </c>
      <c r="L3014" s="53" t="s">
        <v>81</v>
      </c>
      <c r="M3014" s="53">
        <v>2754.0</v>
      </c>
      <c r="N3014" s="53">
        <v>416.0</v>
      </c>
      <c r="O3014" s="53">
        <v>19.28</v>
      </c>
      <c r="P3014" s="53">
        <v>8020.48</v>
      </c>
      <c r="Q3014" s="53">
        <v>505.0</v>
      </c>
      <c r="R3014" s="94">
        <v>8525.48</v>
      </c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</row>
    <row r="3015">
      <c r="A3015" s="2"/>
      <c r="B3015" s="52">
        <v>5.0</v>
      </c>
      <c r="C3015" s="53">
        <v>1.004766733E9</v>
      </c>
      <c r="D3015" s="53" t="s">
        <v>199</v>
      </c>
      <c r="E3015" s="53" t="s">
        <v>82</v>
      </c>
      <c r="F3015" s="53" t="s">
        <v>83</v>
      </c>
      <c r="G3015" s="53" t="s">
        <v>86</v>
      </c>
      <c r="H3015" s="53" t="s">
        <v>87</v>
      </c>
      <c r="I3015" s="53" t="s">
        <v>88</v>
      </c>
      <c r="J3015" s="53" t="s">
        <v>84</v>
      </c>
      <c r="K3015" s="53" t="s">
        <v>38</v>
      </c>
      <c r="L3015" s="53" t="s">
        <v>101</v>
      </c>
      <c r="M3015" s="53">
        <v>3322.0</v>
      </c>
      <c r="N3015" s="53">
        <v>484.0</v>
      </c>
      <c r="O3015" s="53">
        <v>19.28</v>
      </c>
      <c r="P3015" s="53">
        <v>9331.52</v>
      </c>
      <c r="Q3015" s="53">
        <v>930.0</v>
      </c>
      <c r="R3015" s="94">
        <v>10261.52</v>
      </c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</row>
    <row r="3016">
      <c r="A3016" s="2"/>
      <c r="B3016" s="52">
        <v>6.0</v>
      </c>
      <c r="C3016" s="53">
        <v>1.004767272E9</v>
      </c>
      <c r="D3016" s="53" t="s">
        <v>200</v>
      </c>
      <c r="E3016" s="53" t="s">
        <v>28</v>
      </c>
      <c r="F3016" s="53" t="s">
        <v>29</v>
      </c>
      <c r="G3016" s="53" t="s">
        <v>30</v>
      </c>
      <c r="H3016" s="53" t="s">
        <v>31</v>
      </c>
      <c r="I3016" s="53" t="s">
        <v>32</v>
      </c>
      <c r="J3016" s="55"/>
      <c r="K3016" s="53" t="s">
        <v>33</v>
      </c>
      <c r="L3016" s="53" t="s">
        <v>34</v>
      </c>
      <c r="M3016" s="53">
        <v>2092.0</v>
      </c>
      <c r="N3016" s="53">
        <v>246.0</v>
      </c>
      <c r="O3016" s="53">
        <v>15.53</v>
      </c>
      <c r="P3016" s="53">
        <v>3820.38</v>
      </c>
      <c r="Q3016" s="55"/>
      <c r="R3016" s="94">
        <v>3820.38</v>
      </c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</row>
    <row r="3017">
      <c r="A3017" s="2"/>
      <c r="B3017" s="52">
        <v>7.0</v>
      </c>
      <c r="C3017" s="53">
        <v>1.004767271E9</v>
      </c>
      <c r="D3017" s="53" t="s">
        <v>200</v>
      </c>
      <c r="E3017" s="53" t="s">
        <v>35</v>
      </c>
      <c r="F3017" s="53" t="s">
        <v>40</v>
      </c>
      <c r="G3017" s="53" t="s">
        <v>36</v>
      </c>
      <c r="H3017" s="53"/>
      <c r="I3017" s="55"/>
      <c r="J3017" s="55"/>
      <c r="K3017" s="53" t="s">
        <v>38</v>
      </c>
      <c r="L3017" s="53" t="s">
        <v>96</v>
      </c>
      <c r="M3017" s="53">
        <v>3185.0</v>
      </c>
      <c r="N3017" s="53">
        <v>150.0</v>
      </c>
      <c r="O3017" s="53">
        <v>19.28</v>
      </c>
      <c r="P3017" s="55">
        <f t="shared" ref="P3017:P3020" si="243">N3017*O3017</f>
        <v>2892</v>
      </c>
      <c r="Q3017" s="55"/>
      <c r="R3017" s="94">
        <v>2992.0</v>
      </c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</row>
    <row r="3018">
      <c r="A3018" s="2"/>
      <c r="B3018" s="52">
        <v>8.0</v>
      </c>
      <c r="C3018" s="53">
        <v>1.004767266E9</v>
      </c>
      <c r="D3018" s="53" t="s">
        <v>200</v>
      </c>
      <c r="E3018" s="53" t="s">
        <v>35</v>
      </c>
      <c r="F3018" s="53" t="s">
        <v>36</v>
      </c>
      <c r="G3018" s="53" t="s">
        <v>37</v>
      </c>
      <c r="H3018" s="53"/>
      <c r="I3018" s="55"/>
      <c r="J3018" s="55"/>
      <c r="K3018" s="53" t="s">
        <v>38</v>
      </c>
      <c r="L3018" s="53" t="s">
        <v>97</v>
      </c>
      <c r="M3018" s="53">
        <v>3343.0</v>
      </c>
      <c r="N3018" s="53">
        <v>200.0</v>
      </c>
      <c r="O3018" s="53">
        <v>19.28</v>
      </c>
      <c r="P3018" s="55">
        <f t="shared" si="243"/>
        <v>3856</v>
      </c>
      <c r="Q3018" s="53"/>
      <c r="R3018" s="94">
        <v>3856.0</v>
      </c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</row>
    <row r="3019">
      <c r="A3019" s="2"/>
      <c r="B3019" s="52">
        <v>9.0</v>
      </c>
      <c r="C3019" s="53">
        <v>1.004767315E9</v>
      </c>
      <c r="D3019" s="53" t="s">
        <v>200</v>
      </c>
      <c r="E3019" s="53" t="s">
        <v>42</v>
      </c>
      <c r="F3019" s="53" t="s">
        <v>43</v>
      </c>
      <c r="G3019" s="53" t="s">
        <v>44</v>
      </c>
      <c r="H3019" s="53"/>
      <c r="I3019" s="55"/>
      <c r="J3019" s="55"/>
      <c r="K3019" s="53" t="s">
        <v>45</v>
      </c>
      <c r="L3019" s="53" t="s">
        <v>98</v>
      </c>
      <c r="M3019" s="53">
        <v>1577.0</v>
      </c>
      <c r="N3019" s="53">
        <v>299.0</v>
      </c>
      <c r="O3019" s="53">
        <v>15.53</v>
      </c>
      <c r="P3019" s="55">
        <f t="shared" si="243"/>
        <v>4643.47</v>
      </c>
      <c r="Q3019" s="53"/>
      <c r="R3019" s="94">
        <v>4643.47</v>
      </c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</row>
    <row r="3020">
      <c r="A3020" s="2"/>
      <c r="B3020" s="52">
        <v>10.0</v>
      </c>
      <c r="C3020" s="53">
        <v>1.004767324E9</v>
      </c>
      <c r="D3020" s="53" t="s">
        <v>200</v>
      </c>
      <c r="E3020" s="53" t="s">
        <v>47</v>
      </c>
      <c r="F3020" s="53" t="s">
        <v>44</v>
      </c>
      <c r="G3020" s="53" t="s">
        <v>48</v>
      </c>
      <c r="H3020" s="53" t="s">
        <v>49</v>
      </c>
      <c r="I3020" s="53"/>
      <c r="J3020" s="55"/>
      <c r="K3020" s="53" t="s">
        <v>45</v>
      </c>
      <c r="L3020" s="53" t="s">
        <v>50</v>
      </c>
      <c r="M3020" s="53">
        <v>1472.0</v>
      </c>
      <c r="N3020" s="53">
        <v>250.0</v>
      </c>
      <c r="O3020" s="53">
        <v>15.53</v>
      </c>
      <c r="P3020" s="55">
        <f t="shared" si="243"/>
        <v>3882.5</v>
      </c>
      <c r="Q3020" s="53"/>
      <c r="R3020" s="94">
        <v>3882.5</v>
      </c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</row>
    <row r="3021">
      <c r="A3021" s="2"/>
      <c r="B3021" s="8"/>
      <c r="C3021" s="6"/>
      <c r="D3021" s="6"/>
      <c r="E3021" s="6"/>
      <c r="F3021" s="6"/>
      <c r="G3021" s="6"/>
      <c r="H3021" s="6"/>
      <c r="I3021" s="6"/>
      <c r="J3021" s="6"/>
      <c r="K3021" s="6"/>
      <c r="L3021" s="6"/>
      <c r="M3021" s="6"/>
      <c r="N3021" s="6"/>
      <c r="O3021" s="6"/>
      <c r="P3021" s="6"/>
      <c r="Q3021" s="6"/>
      <c r="R3021" s="65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</row>
    <row r="3022">
      <c r="A3022" s="2"/>
      <c r="B3022" s="67" t="s">
        <v>64</v>
      </c>
      <c r="C3022" s="68"/>
      <c r="D3022" s="69"/>
      <c r="E3022" s="68"/>
      <c r="F3022" s="68"/>
      <c r="G3022" s="68"/>
      <c r="H3022" s="68"/>
      <c r="I3022" s="68"/>
      <c r="J3022" s="68"/>
      <c r="K3022" s="68"/>
      <c r="L3022" s="68"/>
      <c r="M3022" s="68"/>
      <c r="N3022" s="70" t="s">
        <v>65</v>
      </c>
      <c r="O3022" s="4"/>
      <c r="P3022" s="96">
        <f t="shared" ref="P3022:R3022" si="244">SUM(P3011:P3020)</f>
        <v>63396.21</v>
      </c>
      <c r="Q3022" s="96">
        <f t="shared" si="244"/>
        <v>2850</v>
      </c>
      <c r="R3022" s="96">
        <f t="shared" si="244"/>
        <v>66346.21</v>
      </c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</row>
    <row r="3023">
      <c r="A3023" s="2"/>
      <c r="B3023" s="67" t="s">
        <v>66</v>
      </c>
      <c r="C3023" s="68"/>
      <c r="D3023" s="68"/>
      <c r="E3023" s="68"/>
      <c r="F3023" s="68"/>
      <c r="G3023" s="68"/>
      <c r="H3023" s="68"/>
      <c r="I3023" s="68"/>
      <c r="J3023" s="68"/>
      <c r="K3023" s="68"/>
      <c r="L3023" s="68"/>
      <c r="M3023" s="68"/>
      <c r="N3023" s="68"/>
      <c r="O3023" s="76"/>
      <c r="P3023" s="97" t="s">
        <v>67</v>
      </c>
      <c r="Q3023" s="31"/>
      <c r="R3023" s="3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</row>
    <row r="3024">
      <c r="A3024" s="2"/>
      <c r="B3024" s="79" t="s">
        <v>68</v>
      </c>
      <c r="P3024" s="27"/>
      <c r="Q3024" s="27"/>
      <c r="R3024" s="83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</row>
    <row r="3025">
      <c r="A3025" s="2"/>
      <c r="B3025" s="79" t="s">
        <v>70</v>
      </c>
      <c r="P3025" s="27"/>
      <c r="Q3025" s="27"/>
      <c r="R3025" s="83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</row>
    <row r="3026">
      <c r="A3026" s="2"/>
      <c r="B3026" s="8"/>
      <c r="C3026" s="6"/>
      <c r="D3026" s="6"/>
      <c r="E3026" s="6"/>
      <c r="F3026" s="6"/>
      <c r="G3026" s="6"/>
      <c r="H3026" s="6"/>
      <c r="I3026" s="6"/>
      <c r="J3026" s="6"/>
      <c r="K3026" s="6"/>
      <c r="L3026" s="6"/>
      <c r="M3026" s="6"/>
      <c r="N3026" s="6"/>
      <c r="O3026" s="6"/>
      <c r="P3026" s="6"/>
      <c r="Q3026" s="6"/>
      <c r="R3026" s="65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</row>
    <row r="3027">
      <c r="A3027" s="2"/>
      <c r="B3027" s="8"/>
      <c r="C3027" s="6"/>
      <c r="D3027" s="6"/>
      <c r="E3027" s="6"/>
      <c r="F3027" s="6"/>
      <c r="G3027" s="6"/>
      <c r="H3027" s="6"/>
      <c r="I3027" s="6"/>
      <c r="J3027" s="6"/>
      <c r="K3027" s="19" t="s">
        <v>71</v>
      </c>
      <c r="L3027" s="6"/>
      <c r="M3027" s="6"/>
      <c r="N3027" s="6"/>
      <c r="O3027" s="6"/>
      <c r="P3027" s="9" t="s">
        <v>72</v>
      </c>
      <c r="R3027" s="10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</row>
    <row r="3028">
      <c r="A3028" s="2"/>
      <c r="B3028" s="88"/>
      <c r="C3028" s="34"/>
      <c r="D3028" s="34"/>
      <c r="E3028" s="34"/>
      <c r="F3028" s="34"/>
      <c r="G3028" s="34"/>
      <c r="H3028" s="34"/>
      <c r="I3028" s="34"/>
      <c r="J3028" s="34"/>
      <c r="K3028" s="34"/>
      <c r="L3028" s="34"/>
      <c r="M3028" s="34"/>
      <c r="N3028" s="34"/>
      <c r="O3028" s="34"/>
      <c r="P3028" s="34"/>
      <c r="Q3028" s="34"/>
      <c r="R3028" s="89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</row>
    <row r="3029">
      <c r="A3029" s="2"/>
      <c r="B3029" s="177"/>
      <c r="C3029" s="177"/>
      <c r="D3029" s="177"/>
      <c r="E3029" s="177"/>
      <c r="F3029" s="177"/>
      <c r="G3029" s="177"/>
      <c r="H3029" s="177"/>
      <c r="I3029" s="177"/>
      <c r="J3029" s="177"/>
      <c r="K3029" s="177"/>
      <c r="L3029" s="177"/>
      <c r="M3029" s="177"/>
      <c r="N3029" s="177"/>
      <c r="O3029" s="177"/>
      <c r="P3029" s="177"/>
      <c r="Q3029" s="177"/>
      <c r="R3029" s="177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</row>
    <row r="3030">
      <c r="A3030" s="2"/>
      <c r="B3030" s="177"/>
      <c r="C3030" s="177"/>
      <c r="D3030" s="177"/>
      <c r="E3030" s="177"/>
      <c r="F3030" s="177"/>
      <c r="G3030" s="177"/>
      <c r="H3030" s="177"/>
      <c r="I3030" s="177"/>
      <c r="J3030" s="177"/>
      <c r="K3030" s="177"/>
      <c r="L3030" s="177"/>
      <c r="M3030" s="177"/>
      <c r="N3030" s="177"/>
      <c r="O3030" s="177"/>
      <c r="P3030" s="177"/>
      <c r="Q3030" s="177"/>
      <c r="R3030" s="177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</row>
    <row r="3031">
      <c r="A3031" s="2"/>
      <c r="B3031" s="177"/>
      <c r="C3031" s="177"/>
      <c r="D3031" s="177"/>
      <c r="E3031" s="177"/>
      <c r="F3031" s="177"/>
      <c r="G3031" s="177"/>
      <c r="H3031" s="177"/>
      <c r="I3031" s="177"/>
      <c r="J3031" s="177"/>
      <c r="K3031" s="177"/>
      <c r="L3031" s="177"/>
      <c r="M3031" s="177"/>
      <c r="N3031" s="177"/>
      <c r="O3031" s="177"/>
      <c r="P3031" s="177"/>
      <c r="Q3031" s="177"/>
      <c r="R3031" s="177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</row>
    <row r="3032">
      <c r="A3032" s="2"/>
      <c r="B3032" s="177"/>
      <c r="C3032" s="177"/>
      <c r="D3032" s="177"/>
      <c r="E3032" s="177"/>
      <c r="F3032" s="177"/>
      <c r="G3032" s="177"/>
      <c r="H3032" s="177"/>
      <c r="I3032" s="177"/>
      <c r="J3032" s="177"/>
      <c r="K3032" s="177"/>
      <c r="L3032" s="177"/>
      <c r="M3032" s="177"/>
      <c r="N3032" s="177"/>
      <c r="O3032" s="177"/>
      <c r="P3032" s="177"/>
      <c r="Q3032" s="177"/>
      <c r="R3032" s="177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</row>
    <row r="3033">
      <c r="A3033" s="2"/>
      <c r="B3033" s="3" t="s">
        <v>1</v>
      </c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5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</row>
    <row r="3034">
      <c r="A3034" s="2"/>
      <c r="B3034" s="11"/>
      <c r="F3034" s="12"/>
      <c r="G3034" s="12"/>
      <c r="H3034" s="12"/>
      <c r="I3034" s="12"/>
      <c r="J3034" s="12" t="s">
        <v>2</v>
      </c>
      <c r="N3034" s="2"/>
      <c r="R3034" s="10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</row>
    <row r="3035">
      <c r="A3035" s="2"/>
      <c r="B3035" s="14"/>
      <c r="F3035" s="12"/>
      <c r="G3035" s="12"/>
      <c r="H3035" s="12"/>
      <c r="I3035" s="12"/>
      <c r="J3035" s="12" t="s">
        <v>3</v>
      </c>
      <c r="N3035" s="12" t="s">
        <v>201</v>
      </c>
      <c r="R3035" s="10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</row>
    <row r="3036">
      <c r="A3036" s="2"/>
      <c r="B3036" s="14" t="s">
        <v>4</v>
      </c>
      <c r="R3036" s="10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</row>
    <row r="3037">
      <c r="A3037" s="2"/>
      <c r="B3037" s="21" t="s">
        <v>5</v>
      </c>
      <c r="C3037" s="22" t="s">
        <v>6</v>
      </c>
      <c r="D3037" s="4"/>
      <c r="E3037" s="4"/>
      <c r="F3037" s="4"/>
      <c r="G3037" s="4"/>
      <c r="H3037" s="4"/>
      <c r="I3037" s="4"/>
      <c r="J3037" s="4"/>
      <c r="K3037" s="5"/>
      <c r="L3037" s="23" t="s">
        <v>7</v>
      </c>
      <c r="M3037" s="24"/>
      <c r="N3037" s="24"/>
      <c r="O3037" s="4"/>
      <c r="P3037" s="4"/>
      <c r="Q3037" s="4"/>
      <c r="R3037" s="5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</row>
    <row r="3038">
      <c r="A3038" s="2"/>
      <c r="B3038" s="28"/>
      <c r="C3038" s="29" t="s">
        <v>8</v>
      </c>
      <c r="K3038" s="10"/>
      <c r="L3038" s="23" t="s">
        <v>9</v>
      </c>
      <c r="M3038" s="2"/>
      <c r="N3038" s="2"/>
      <c r="R3038" s="10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</row>
    <row r="3039">
      <c r="A3039" s="2"/>
      <c r="B3039" s="21" t="s">
        <v>11</v>
      </c>
      <c r="C3039" s="35" t="s">
        <v>12</v>
      </c>
      <c r="D3039" s="31"/>
      <c r="E3039" s="31"/>
      <c r="F3039" s="31"/>
      <c r="G3039" s="31"/>
      <c r="H3039" s="31"/>
      <c r="I3039" s="31"/>
      <c r="J3039" s="31"/>
      <c r="K3039" s="32"/>
      <c r="L3039" s="23" t="s">
        <v>13</v>
      </c>
      <c r="M3039" s="36"/>
      <c r="N3039" s="36"/>
      <c r="O3039" s="31"/>
      <c r="P3039" s="31"/>
      <c r="Q3039" s="31"/>
      <c r="R3039" s="3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</row>
    <row r="3040">
      <c r="A3040" s="2"/>
      <c r="B3040" s="11"/>
      <c r="R3040" s="10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</row>
    <row r="3041">
      <c r="A3041" s="2"/>
      <c r="B3041" s="46" t="s">
        <v>15</v>
      </c>
      <c r="C3041" s="47" t="s">
        <v>16</v>
      </c>
      <c r="D3041" s="48" t="s">
        <v>17</v>
      </c>
      <c r="E3041" s="48" t="s">
        <v>18</v>
      </c>
      <c r="F3041" s="49" t="s">
        <v>19</v>
      </c>
      <c r="G3041" s="43"/>
      <c r="H3041" s="43"/>
      <c r="I3041" s="43"/>
      <c r="J3041" s="44"/>
      <c r="K3041" s="48" t="s">
        <v>20</v>
      </c>
      <c r="L3041" s="48" t="s">
        <v>21</v>
      </c>
      <c r="M3041" s="48" t="s">
        <v>22</v>
      </c>
      <c r="N3041" s="48" t="s">
        <v>23</v>
      </c>
      <c r="O3041" s="48" t="s">
        <v>24</v>
      </c>
      <c r="P3041" s="48" t="s">
        <v>25</v>
      </c>
      <c r="Q3041" s="48" t="s">
        <v>26</v>
      </c>
      <c r="R3041" s="50" t="s">
        <v>27</v>
      </c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</row>
    <row r="3042">
      <c r="A3042" s="2"/>
      <c r="B3042" s="52">
        <v>1.0</v>
      </c>
      <c r="C3042" s="53">
        <v>1.004768205E9</v>
      </c>
      <c r="D3042" s="53" t="s">
        <v>200</v>
      </c>
      <c r="E3042" s="53" t="s">
        <v>51</v>
      </c>
      <c r="F3042" s="53" t="s">
        <v>44</v>
      </c>
      <c r="G3042" s="53"/>
      <c r="H3042" s="53"/>
      <c r="I3042" s="55"/>
      <c r="J3042" s="55"/>
      <c r="K3042" s="53" t="s">
        <v>45</v>
      </c>
      <c r="L3042" s="53" t="s">
        <v>52</v>
      </c>
      <c r="M3042" s="53">
        <v>1601.0</v>
      </c>
      <c r="N3042" s="53">
        <v>230.0</v>
      </c>
      <c r="O3042" s="53">
        <v>15.53</v>
      </c>
      <c r="P3042" s="55">
        <f t="shared" ref="P3042:P3051" si="245">N3042*O3042</f>
        <v>3571.9</v>
      </c>
      <c r="Q3042" s="53"/>
      <c r="R3042" s="94">
        <v>3571.9</v>
      </c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</row>
    <row r="3043">
      <c r="A3043" s="2"/>
      <c r="B3043" s="52">
        <v>2.0</v>
      </c>
      <c r="C3043" s="53">
        <v>1.004768761E9</v>
      </c>
      <c r="D3043" s="53" t="s">
        <v>200</v>
      </c>
      <c r="E3043" s="53" t="s">
        <v>61</v>
      </c>
      <c r="F3043" s="53" t="s">
        <v>73</v>
      </c>
      <c r="G3043" s="53" t="s">
        <v>74</v>
      </c>
      <c r="H3043" s="53" t="s">
        <v>62</v>
      </c>
      <c r="I3043" s="53" t="s">
        <v>75</v>
      </c>
      <c r="J3043" s="55"/>
      <c r="K3043" s="53" t="s">
        <v>38</v>
      </c>
      <c r="L3043" s="53" t="s">
        <v>76</v>
      </c>
      <c r="M3043" s="53">
        <v>3151.0</v>
      </c>
      <c r="N3043" s="53">
        <v>560.0</v>
      </c>
      <c r="O3043" s="53">
        <v>19.28</v>
      </c>
      <c r="P3043" s="55">
        <f t="shared" si="245"/>
        <v>10796.8</v>
      </c>
      <c r="Q3043" s="53">
        <v>1085.0</v>
      </c>
      <c r="R3043" s="105">
        <f t="shared" ref="R3043:R3051" si="246">P3043+Q3043</f>
        <v>11881.8</v>
      </c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</row>
    <row r="3044">
      <c r="A3044" s="2"/>
      <c r="B3044" s="52">
        <v>3.0</v>
      </c>
      <c r="C3044" s="53">
        <v>1.004768436E9</v>
      </c>
      <c r="D3044" s="53" t="s">
        <v>200</v>
      </c>
      <c r="E3044" s="53" t="s">
        <v>90</v>
      </c>
      <c r="F3044" s="53" t="s">
        <v>91</v>
      </c>
      <c r="G3044" s="53" t="s">
        <v>83</v>
      </c>
      <c r="H3044" s="55"/>
      <c r="I3044" s="55"/>
      <c r="J3044" s="55"/>
      <c r="K3044" s="53" t="s">
        <v>38</v>
      </c>
      <c r="L3044" s="53" t="s">
        <v>95</v>
      </c>
      <c r="M3044" s="53">
        <v>3383.0</v>
      </c>
      <c r="N3044" s="53">
        <v>216.0</v>
      </c>
      <c r="O3044" s="53">
        <v>19.28</v>
      </c>
      <c r="P3044" s="55">
        <f t="shared" si="245"/>
        <v>4164.48</v>
      </c>
      <c r="Q3044" s="55"/>
      <c r="R3044" s="105">
        <f t="shared" si="246"/>
        <v>4164.48</v>
      </c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</row>
    <row r="3045">
      <c r="A3045" s="2"/>
      <c r="B3045" s="52">
        <v>4.0</v>
      </c>
      <c r="C3045" s="53">
        <v>1.004768433E9</v>
      </c>
      <c r="D3045" s="53" t="s">
        <v>200</v>
      </c>
      <c r="E3045" s="53" t="s">
        <v>90</v>
      </c>
      <c r="F3045" s="53" t="s">
        <v>92</v>
      </c>
      <c r="G3045" s="53" t="s">
        <v>93</v>
      </c>
      <c r="H3045" s="53" t="s">
        <v>91</v>
      </c>
      <c r="I3045" s="53" t="s">
        <v>94</v>
      </c>
      <c r="J3045" s="55"/>
      <c r="K3045" s="53" t="s">
        <v>38</v>
      </c>
      <c r="L3045" s="53" t="s">
        <v>102</v>
      </c>
      <c r="M3045" s="53">
        <v>3419.0</v>
      </c>
      <c r="N3045" s="53">
        <v>405.0</v>
      </c>
      <c r="O3045" s="53">
        <v>19.28</v>
      </c>
      <c r="P3045" s="55">
        <f t="shared" si="245"/>
        <v>7808.4</v>
      </c>
      <c r="Q3045" s="55"/>
      <c r="R3045" s="105">
        <f t="shared" si="246"/>
        <v>7808.4</v>
      </c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</row>
    <row r="3046">
      <c r="A3046" s="2"/>
      <c r="B3046" s="52">
        <v>5.0</v>
      </c>
      <c r="C3046" s="53">
        <v>1.0047685E9</v>
      </c>
      <c r="D3046" s="53" t="s">
        <v>200</v>
      </c>
      <c r="E3046" s="53" t="s">
        <v>106</v>
      </c>
      <c r="F3046" s="53" t="s">
        <v>107</v>
      </c>
      <c r="G3046" s="53" t="s">
        <v>108</v>
      </c>
      <c r="H3046" s="53" t="s">
        <v>109</v>
      </c>
      <c r="I3046" s="53"/>
      <c r="J3046" s="55"/>
      <c r="K3046" s="53" t="s">
        <v>38</v>
      </c>
      <c r="L3046" s="53" t="s">
        <v>118</v>
      </c>
      <c r="M3046" s="53">
        <v>3617.0</v>
      </c>
      <c r="N3046" s="53">
        <v>482.0</v>
      </c>
      <c r="O3046" s="53">
        <v>19.28</v>
      </c>
      <c r="P3046" s="55">
        <f t="shared" si="245"/>
        <v>9292.96</v>
      </c>
      <c r="Q3046" s="53">
        <v>1025.0</v>
      </c>
      <c r="R3046" s="105">
        <f t="shared" si="246"/>
        <v>10317.96</v>
      </c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</row>
    <row r="3047">
      <c r="A3047" s="2"/>
      <c r="B3047" s="52">
        <v>6.0</v>
      </c>
      <c r="C3047" s="53">
        <v>1.004768789E9</v>
      </c>
      <c r="D3047" s="53" t="s">
        <v>200</v>
      </c>
      <c r="E3047" s="53" t="s">
        <v>77</v>
      </c>
      <c r="F3047" s="53" t="s">
        <v>116</v>
      </c>
      <c r="G3047" s="53" t="s">
        <v>78</v>
      </c>
      <c r="H3047" s="53" t="s">
        <v>79</v>
      </c>
      <c r="I3047" s="55"/>
      <c r="J3047" s="55"/>
      <c r="K3047" s="53" t="s">
        <v>38</v>
      </c>
      <c r="L3047" s="53" t="s">
        <v>202</v>
      </c>
      <c r="M3047" s="53">
        <v>3413.0</v>
      </c>
      <c r="N3047" s="53">
        <v>416.0</v>
      </c>
      <c r="O3047" s="53">
        <v>19.28</v>
      </c>
      <c r="P3047" s="55">
        <f t="shared" si="245"/>
        <v>8020.48</v>
      </c>
      <c r="Q3047" s="53">
        <v>505.0</v>
      </c>
      <c r="R3047" s="105">
        <f t="shared" si="246"/>
        <v>8525.48</v>
      </c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</row>
    <row r="3048">
      <c r="A3048" s="2"/>
      <c r="B3048" s="52">
        <v>7.0</v>
      </c>
      <c r="C3048" s="53">
        <v>1.00476869E9</v>
      </c>
      <c r="D3048" s="53" t="s">
        <v>200</v>
      </c>
      <c r="E3048" s="53" t="s">
        <v>82</v>
      </c>
      <c r="F3048" s="53" t="s">
        <v>86</v>
      </c>
      <c r="G3048" s="53" t="s">
        <v>87</v>
      </c>
      <c r="H3048" s="53" t="s">
        <v>88</v>
      </c>
      <c r="I3048" s="53" t="s">
        <v>84</v>
      </c>
      <c r="J3048" s="55"/>
      <c r="K3048" s="53" t="s">
        <v>38</v>
      </c>
      <c r="L3048" s="53" t="s">
        <v>202</v>
      </c>
      <c r="M3048" s="53">
        <v>3540.0</v>
      </c>
      <c r="N3048" s="53">
        <v>484.0</v>
      </c>
      <c r="O3048" s="53">
        <v>19.28</v>
      </c>
      <c r="P3048" s="55">
        <f t="shared" si="245"/>
        <v>9331.52</v>
      </c>
      <c r="Q3048" s="53">
        <v>930.0</v>
      </c>
      <c r="R3048" s="105">
        <f t="shared" si="246"/>
        <v>10261.52</v>
      </c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</row>
    <row r="3049">
      <c r="A3049" s="2"/>
      <c r="B3049" s="52">
        <v>8.0</v>
      </c>
      <c r="C3049" s="53">
        <v>1.004768611E9</v>
      </c>
      <c r="D3049" s="53" t="s">
        <v>200</v>
      </c>
      <c r="E3049" s="53" t="s">
        <v>55</v>
      </c>
      <c r="F3049" s="53" t="s">
        <v>57</v>
      </c>
      <c r="G3049" s="53" t="s">
        <v>103</v>
      </c>
      <c r="H3049" s="53" t="s">
        <v>56</v>
      </c>
      <c r="I3049" s="53" t="s">
        <v>58</v>
      </c>
      <c r="J3049" s="53" t="s">
        <v>59</v>
      </c>
      <c r="K3049" s="53" t="s">
        <v>38</v>
      </c>
      <c r="L3049" s="53" t="s">
        <v>63</v>
      </c>
      <c r="M3049" s="53">
        <v>3521.0</v>
      </c>
      <c r="N3049" s="53">
        <v>572.0</v>
      </c>
      <c r="O3049" s="53">
        <v>19.28</v>
      </c>
      <c r="P3049" s="55">
        <f t="shared" si="245"/>
        <v>11028.16</v>
      </c>
      <c r="Q3049" s="55"/>
      <c r="R3049" s="105">
        <f t="shared" si="246"/>
        <v>11028.16</v>
      </c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</row>
    <row r="3050">
      <c r="A3050" s="2"/>
      <c r="B3050" s="52">
        <v>9.0</v>
      </c>
      <c r="C3050" s="53">
        <v>1.004769428E9</v>
      </c>
      <c r="D3050" s="53" t="s">
        <v>203</v>
      </c>
      <c r="E3050" s="53" t="s">
        <v>35</v>
      </c>
      <c r="F3050" s="53" t="s">
        <v>36</v>
      </c>
      <c r="G3050" s="53" t="s">
        <v>40</v>
      </c>
      <c r="H3050" s="53" t="s">
        <v>37</v>
      </c>
      <c r="I3050" s="55"/>
      <c r="J3050" s="55"/>
      <c r="K3050" s="53" t="s">
        <v>80</v>
      </c>
      <c r="L3050" s="53" t="s">
        <v>96</v>
      </c>
      <c r="M3050" s="53">
        <v>2738.0</v>
      </c>
      <c r="N3050" s="53">
        <v>200.0</v>
      </c>
      <c r="O3050" s="53">
        <v>18.28</v>
      </c>
      <c r="P3050" s="55">
        <f t="shared" si="245"/>
        <v>3656</v>
      </c>
      <c r="Q3050" s="53"/>
      <c r="R3050" s="105">
        <f t="shared" si="246"/>
        <v>3656</v>
      </c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</row>
    <row r="3051">
      <c r="A3051" s="2"/>
      <c r="B3051" s="52">
        <v>10.0</v>
      </c>
      <c r="C3051" s="53">
        <v>1.00476973E9</v>
      </c>
      <c r="D3051" s="53" t="s">
        <v>203</v>
      </c>
      <c r="E3051" s="53" t="s">
        <v>42</v>
      </c>
      <c r="F3051" s="53" t="s">
        <v>44</v>
      </c>
      <c r="G3051" s="53" t="s">
        <v>43</v>
      </c>
      <c r="H3051" s="55"/>
      <c r="I3051" s="55"/>
      <c r="J3051" s="55"/>
      <c r="K3051" s="53" t="s">
        <v>45</v>
      </c>
      <c r="L3051" s="53" t="s">
        <v>98</v>
      </c>
      <c r="M3051" s="53">
        <v>1516.0</v>
      </c>
      <c r="N3051" s="53">
        <v>299.0</v>
      </c>
      <c r="O3051" s="53">
        <v>15.53</v>
      </c>
      <c r="P3051" s="55">
        <f t="shared" si="245"/>
        <v>4643.47</v>
      </c>
      <c r="Q3051" s="53"/>
      <c r="R3051" s="105">
        <f t="shared" si="246"/>
        <v>4643.47</v>
      </c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</row>
    <row r="3052">
      <c r="A3052" s="2"/>
      <c r="B3052" s="11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66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</row>
    <row r="3053">
      <c r="A3053" s="2"/>
      <c r="B3053" s="72" t="s">
        <v>64</v>
      </c>
      <c r="C3053" s="68"/>
      <c r="D3053" s="73" t="str">
        <f>MONEYTEXT(R3053, "INR")</f>
        <v/>
      </c>
      <c r="E3053" s="68"/>
      <c r="F3053" s="68"/>
      <c r="G3053" s="68"/>
      <c r="H3053" s="68"/>
      <c r="I3053" s="68"/>
      <c r="J3053" s="68"/>
      <c r="K3053" s="68"/>
      <c r="L3053" s="68"/>
      <c r="M3053" s="68"/>
      <c r="N3053" s="74" t="s">
        <v>65</v>
      </c>
      <c r="O3053" s="4"/>
      <c r="P3053" s="75">
        <f t="shared" ref="P3053:R3053" si="247">SUM(P3042:P3051)</f>
        <v>72314.17</v>
      </c>
      <c r="Q3053" s="75">
        <f t="shared" si="247"/>
        <v>3545</v>
      </c>
      <c r="R3053" s="75">
        <f t="shared" si="247"/>
        <v>75859.17</v>
      </c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</row>
    <row r="3054">
      <c r="A3054" s="2"/>
      <c r="B3054" s="72" t="s">
        <v>66</v>
      </c>
      <c r="C3054" s="68"/>
      <c r="D3054" s="68"/>
      <c r="E3054" s="68"/>
      <c r="F3054" s="68"/>
      <c r="G3054" s="68"/>
      <c r="H3054" s="68"/>
      <c r="I3054" s="68"/>
      <c r="J3054" s="68"/>
      <c r="K3054" s="68"/>
      <c r="L3054" s="68"/>
      <c r="M3054" s="68"/>
      <c r="N3054" s="68"/>
      <c r="O3054" s="76"/>
      <c r="P3054" s="78" t="s">
        <v>67</v>
      </c>
      <c r="Q3054" s="31"/>
      <c r="R3054" s="3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</row>
    <row r="3055">
      <c r="A3055" s="2"/>
      <c r="B3055" s="81" t="s">
        <v>68</v>
      </c>
      <c r="P3055" s="29"/>
      <c r="Q3055" s="29"/>
      <c r="R3055" s="8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</row>
    <row r="3056">
      <c r="A3056" s="2"/>
      <c r="B3056" s="81" t="s">
        <v>70</v>
      </c>
      <c r="P3056" s="29"/>
      <c r="Q3056" s="29"/>
      <c r="R3056" s="8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</row>
    <row r="3057">
      <c r="A3057" s="2"/>
      <c r="B3057" s="11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66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</row>
    <row r="3058">
      <c r="A3058" s="2"/>
      <c r="B3058" s="11"/>
      <c r="C3058" s="2"/>
      <c r="D3058" s="2"/>
      <c r="E3058" s="2"/>
      <c r="F3058" s="2"/>
      <c r="G3058" s="2"/>
      <c r="H3058" s="2"/>
      <c r="I3058" s="2"/>
      <c r="J3058" s="2"/>
      <c r="K3058" s="87" t="s">
        <v>71</v>
      </c>
      <c r="L3058" s="2"/>
      <c r="M3058" s="2"/>
      <c r="N3058" s="2"/>
      <c r="O3058" s="2"/>
      <c r="P3058" s="12" t="s">
        <v>72</v>
      </c>
      <c r="R3058" s="10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</row>
    <row r="3059">
      <c r="A3059" s="2"/>
      <c r="B3059" s="90"/>
      <c r="C3059" s="36"/>
      <c r="D3059" s="36"/>
      <c r="E3059" s="36"/>
      <c r="F3059" s="36"/>
      <c r="G3059" s="36"/>
      <c r="H3059" s="36"/>
      <c r="I3059" s="36"/>
      <c r="J3059" s="36"/>
      <c r="K3059" s="36"/>
      <c r="L3059" s="36"/>
      <c r="M3059" s="36"/>
      <c r="N3059" s="36"/>
      <c r="O3059" s="36"/>
      <c r="P3059" s="36"/>
      <c r="Q3059" s="36"/>
      <c r="R3059" s="91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</row>
    <row r="3060">
      <c r="A3060" s="2"/>
      <c r="B3060" s="177"/>
      <c r="C3060" s="177"/>
      <c r="D3060" s="177"/>
      <c r="E3060" s="177"/>
      <c r="F3060" s="177"/>
      <c r="G3060" s="177"/>
      <c r="H3060" s="177"/>
      <c r="I3060" s="177"/>
      <c r="J3060" s="177"/>
      <c r="K3060" s="177"/>
      <c r="L3060" s="177"/>
      <c r="M3060" s="177"/>
      <c r="N3060" s="177"/>
      <c r="O3060" s="177"/>
      <c r="P3060" s="177"/>
      <c r="Q3060" s="177"/>
      <c r="R3060" s="177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</row>
    <row r="3061">
      <c r="A3061" s="2"/>
      <c r="B3061" s="177"/>
      <c r="C3061" s="177"/>
      <c r="D3061" s="177"/>
      <c r="E3061" s="177"/>
      <c r="F3061" s="177"/>
      <c r="G3061" s="177"/>
      <c r="H3061" s="177"/>
      <c r="I3061" s="177"/>
      <c r="J3061" s="177"/>
      <c r="K3061" s="177"/>
      <c r="L3061" s="177"/>
      <c r="M3061" s="177"/>
      <c r="N3061" s="177"/>
      <c r="O3061" s="177"/>
      <c r="P3061" s="177"/>
      <c r="Q3061" s="177"/>
      <c r="R3061" s="177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</row>
    <row r="3062">
      <c r="A3062" s="2"/>
      <c r="B3062" s="177"/>
      <c r="C3062" s="177"/>
      <c r="D3062" s="177"/>
      <c r="E3062" s="177"/>
      <c r="F3062" s="177"/>
      <c r="G3062" s="177"/>
      <c r="H3062" s="177"/>
      <c r="I3062" s="177"/>
      <c r="J3062" s="177"/>
      <c r="K3062" s="177"/>
      <c r="L3062" s="177"/>
      <c r="M3062" s="177"/>
      <c r="N3062" s="177"/>
      <c r="O3062" s="177"/>
      <c r="P3062" s="177"/>
      <c r="Q3062" s="177"/>
      <c r="R3062" s="177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</row>
    <row r="3063">
      <c r="A3063" s="2"/>
      <c r="B3063" s="177"/>
      <c r="C3063" s="177"/>
      <c r="D3063" s="177"/>
      <c r="E3063" s="177"/>
      <c r="F3063" s="177"/>
      <c r="G3063" s="177"/>
      <c r="H3063" s="177"/>
      <c r="I3063" s="177"/>
      <c r="J3063" s="177"/>
      <c r="K3063" s="177"/>
      <c r="L3063" s="177"/>
      <c r="M3063" s="177"/>
      <c r="N3063" s="177"/>
      <c r="O3063" s="177"/>
      <c r="P3063" s="177"/>
      <c r="Q3063" s="177"/>
      <c r="R3063" s="177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</row>
    <row r="3064">
      <c r="A3064" s="2"/>
      <c r="B3064" s="3" t="s">
        <v>1</v>
      </c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5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</row>
    <row r="3065">
      <c r="A3065" s="2"/>
      <c r="B3065" s="8"/>
      <c r="F3065" s="9"/>
      <c r="G3065" s="9"/>
      <c r="H3065" s="9"/>
      <c r="I3065" s="9"/>
      <c r="J3065" s="9" t="s">
        <v>2</v>
      </c>
      <c r="N3065" s="6"/>
      <c r="R3065" s="10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</row>
    <row r="3066">
      <c r="A3066" s="2"/>
      <c r="B3066" s="13"/>
      <c r="F3066" s="9"/>
      <c r="G3066" s="9"/>
      <c r="H3066" s="9"/>
      <c r="I3066" s="9"/>
      <c r="J3066" s="9" t="s">
        <v>3</v>
      </c>
      <c r="N3066" s="6"/>
      <c r="R3066" s="10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</row>
    <row r="3067">
      <c r="A3067" s="2"/>
      <c r="B3067" s="13" t="s">
        <v>4</v>
      </c>
      <c r="R3067" s="10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</row>
    <row r="3068">
      <c r="A3068" s="2"/>
      <c r="B3068" s="16" t="s">
        <v>5</v>
      </c>
      <c r="C3068" s="17" t="s">
        <v>6</v>
      </c>
      <c r="D3068" s="4"/>
      <c r="E3068" s="4"/>
      <c r="F3068" s="4"/>
      <c r="G3068" s="4"/>
      <c r="H3068" s="4"/>
      <c r="I3068" s="4"/>
      <c r="J3068" s="4"/>
      <c r="K3068" s="5"/>
      <c r="L3068" s="18" t="s">
        <v>7</v>
      </c>
      <c r="M3068" s="20"/>
      <c r="N3068" s="20"/>
      <c r="O3068" s="4"/>
      <c r="P3068" s="4"/>
      <c r="Q3068" s="4"/>
      <c r="R3068" s="5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</row>
    <row r="3069">
      <c r="A3069" s="2"/>
      <c r="B3069" s="26"/>
      <c r="C3069" s="27" t="s">
        <v>8</v>
      </c>
      <c r="K3069" s="10"/>
      <c r="L3069" s="18" t="s">
        <v>9</v>
      </c>
      <c r="M3069" s="6"/>
      <c r="N3069" s="6"/>
      <c r="R3069" s="10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</row>
    <row r="3070">
      <c r="A3070" s="2"/>
      <c r="B3070" s="16" t="s">
        <v>11</v>
      </c>
      <c r="C3070" s="30" t="s">
        <v>12</v>
      </c>
      <c r="D3070" s="31"/>
      <c r="E3070" s="31"/>
      <c r="F3070" s="31"/>
      <c r="G3070" s="31"/>
      <c r="H3070" s="31"/>
      <c r="I3070" s="31"/>
      <c r="J3070" s="31"/>
      <c r="K3070" s="32"/>
      <c r="L3070" s="18" t="s">
        <v>13</v>
      </c>
      <c r="M3070" s="34"/>
      <c r="N3070" s="34"/>
      <c r="O3070" s="31"/>
      <c r="P3070" s="31"/>
      <c r="Q3070" s="31"/>
      <c r="R3070" s="3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</row>
    <row r="3071">
      <c r="A3071" s="2"/>
      <c r="B3071" s="8"/>
      <c r="R3071" s="10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</row>
    <row r="3072">
      <c r="A3072" s="2"/>
      <c r="B3072" s="39" t="s">
        <v>15</v>
      </c>
      <c r="C3072" s="40" t="s">
        <v>16</v>
      </c>
      <c r="D3072" s="41" t="s">
        <v>17</v>
      </c>
      <c r="E3072" s="41" t="s">
        <v>18</v>
      </c>
      <c r="F3072" s="42" t="s">
        <v>19</v>
      </c>
      <c r="G3072" s="43"/>
      <c r="H3072" s="43"/>
      <c r="I3072" s="43"/>
      <c r="J3072" s="44"/>
      <c r="K3072" s="41" t="s">
        <v>20</v>
      </c>
      <c r="L3072" s="41" t="s">
        <v>21</v>
      </c>
      <c r="M3072" s="41" t="s">
        <v>22</v>
      </c>
      <c r="N3072" s="41" t="s">
        <v>23</v>
      </c>
      <c r="O3072" s="41" t="s">
        <v>24</v>
      </c>
      <c r="P3072" s="41" t="s">
        <v>25</v>
      </c>
      <c r="Q3072" s="41" t="s">
        <v>26</v>
      </c>
      <c r="R3072" s="45" t="s">
        <v>27</v>
      </c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</row>
    <row r="3073">
      <c r="A3073" s="2"/>
      <c r="B3073" s="52">
        <v>1.0</v>
      </c>
      <c r="C3073" s="53">
        <v>1.004769738E9</v>
      </c>
      <c r="D3073" s="53" t="s">
        <v>203</v>
      </c>
      <c r="E3073" s="53" t="s">
        <v>51</v>
      </c>
      <c r="F3073" s="53" t="s">
        <v>44</v>
      </c>
      <c r="G3073" s="53" t="s">
        <v>49</v>
      </c>
      <c r="H3073" s="53"/>
      <c r="I3073" s="55"/>
      <c r="J3073" s="55"/>
      <c r="K3073" s="53" t="s">
        <v>45</v>
      </c>
      <c r="L3073" s="53" t="s">
        <v>131</v>
      </c>
      <c r="M3073" s="53">
        <v>1358.0</v>
      </c>
      <c r="N3073" s="53">
        <v>230.0</v>
      </c>
      <c r="O3073" s="53">
        <v>15.53</v>
      </c>
      <c r="P3073" s="55">
        <f t="shared" ref="P3073:P3082" si="248">N3073*O3073</f>
        <v>3571.9</v>
      </c>
      <c r="Q3073" s="53"/>
      <c r="R3073" s="94">
        <v>3571.9</v>
      </c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</row>
    <row r="3074">
      <c r="A3074" s="2"/>
      <c r="B3074" s="52">
        <v>2.0</v>
      </c>
      <c r="C3074" s="53">
        <v>1.004770238E9</v>
      </c>
      <c r="D3074" s="53" t="s">
        <v>203</v>
      </c>
      <c r="E3074" s="53" t="s">
        <v>51</v>
      </c>
      <c r="F3074" s="53" t="s">
        <v>44</v>
      </c>
      <c r="G3074" s="53" t="s">
        <v>49</v>
      </c>
      <c r="H3074" s="53"/>
      <c r="I3074" s="55"/>
      <c r="J3074" s="55"/>
      <c r="K3074" s="53" t="s">
        <v>45</v>
      </c>
      <c r="L3074" s="53" t="s">
        <v>52</v>
      </c>
      <c r="M3074" s="53">
        <v>1669.0</v>
      </c>
      <c r="N3074" s="53">
        <v>230.0</v>
      </c>
      <c r="O3074" s="53">
        <v>15.53</v>
      </c>
      <c r="P3074" s="55">
        <f t="shared" si="248"/>
        <v>3571.9</v>
      </c>
      <c r="Q3074" s="55"/>
      <c r="R3074" s="105">
        <f t="shared" ref="R3074:R3082" si="249">P3074+Q3074</f>
        <v>3571.9</v>
      </c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</row>
    <row r="3075">
      <c r="A3075" s="2"/>
      <c r="B3075" s="52">
        <v>3.0</v>
      </c>
      <c r="C3075" s="53">
        <v>1.004770241E9</v>
      </c>
      <c r="D3075" s="53" t="s">
        <v>203</v>
      </c>
      <c r="E3075" s="53" t="s">
        <v>51</v>
      </c>
      <c r="F3075" s="53" t="s">
        <v>44</v>
      </c>
      <c r="G3075" s="53"/>
      <c r="H3075" s="55"/>
      <c r="I3075" s="55"/>
      <c r="J3075" s="55"/>
      <c r="K3075" s="53" t="s">
        <v>45</v>
      </c>
      <c r="L3075" s="53" t="s">
        <v>54</v>
      </c>
      <c r="M3075" s="53">
        <v>1435.0</v>
      </c>
      <c r="N3075" s="53">
        <v>230.0</v>
      </c>
      <c r="O3075" s="53">
        <v>15.53</v>
      </c>
      <c r="P3075" s="55">
        <f t="shared" si="248"/>
        <v>3571.9</v>
      </c>
      <c r="Q3075" s="55"/>
      <c r="R3075" s="105">
        <f t="shared" si="249"/>
        <v>3571.9</v>
      </c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</row>
    <row r="3076">
      <c r="A3076" s="2"/>
      <c r="B3076" s="52">
        <v>4.0</v>
      </c>
      <c r="C3076" s="53">
        <v>1.004770528E9</v>
      </c>
      <c r="D3076" s="53" t="s">
        <v>203</v>
      </c>
      <c r="E3076" s="53" t="s">
        <v>61</v>
      </c>
      <c r="F3076" s="53" t="s">
        <v>73</v>
      </c>
      <c r="G3076" s="53" t="s">
        <v>62</v>
      </c>
      <c r="H3076" s="53" t="s">
        <v>75</v>
      </c>
      <c r="I3076" s="53" t="s">
        <v>74</v>
      </c>
      <c r="J3076" s="55"/>
      <c r="K3076" s="53" t="s">
        <v>33</v>
      </c>
      <c r="L3076" s="53" t="s">
        <v>76</v>
      </c>
      <c r="M3076" s="53">
        <v>1736.0</v>
      </c>
      <c r="N3076" s="53">
        <v>560.0</v>
      </c>
      <c r="O3076" s="53">
        <v>15.53</v>
      </c>
      <c r="P3076" s="55">
        <f t="shared" si="248"/>
        <v>8696.8</v>
      </c>
      <c r="Q3076" s="53">
        <v>1085.0</v>
      </c>
      <c r="R3076" s="105">
        <f t="shared" si="249"/>
        <v>9781.8</v>
      </c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</row>
    <row r="3077">
      <c r="A3077" s="2"/>
      <c r="B3077" s="52">
        <v>5.0</v>
      </c>
      <c r="C3077" s="53">
        <v>1.004770504E9</v>
      </c>
      <c r="D3077" s="53" t="s">
        <v>203</v>
      </c>
      <c r="E3077" s="53" t="s">
        <v>90</v>
      </c>
      <c r="F3077" s="53" t="s">
        <v>91</v>
      </c>
      <c r="G3077" s="53" t="s">
        <v>94</v>
      </c>
      <c r="H3077" s="55"/>
      <c r="I3077" s="55"/>
      <c r="J3077" s="55"/>
      <c r="K3077" s="53" t="s">
        <v>33</v>
      </c>
      <c r="L3077" s="53" t="s">
        <v>63</v>
      </c>
      <c r="M3077" s="53">
        <v>1960.0</v>
      </c>
      <c r="N3077" s="53">
        <v>266.0</v>
      </c>
      <c r="O3077" s="53">
        <v>15.53</v>
      </c>
      <c r="P3077" s="55">
        <f t="shared" si="248"/>
        <v>4130.98</v>
      </c>
      <c r="Q3077" s="55"/>
      <c r="R3077" s="105">
        <f t="shared" si="249"/>
        <v>4130.98</v>
      </c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</row>
    <row r="3078">
      <c r="A3078" s="2"/>
      <c r="B3078" s="52">
        <v>6.0</v>
      </c>
      <c r="C3078" s="53">
        <v>1.004770453E9</v>
      </c>
      <c r="D3078" s="53" t="s">
        <v>203</v>
      </c>
      <c r="E3078" s="53" t="s">
        <v>82</v>
      </c>
      <c r="F3078" s="53" t="s">
        <v>83</v>
      </c>
      <c r="G3078" s="53" t="s">
        <v>87</v>
      </c>
      <c r="H3078" s="53" t="s">
        <v>84</v>
      </c>
      <c r="I3078" s="53" t="s">
        <v>88</v>
      </c>
      <c r="J3078" s="55"/>
      <c r="K3078" s="53" t="s">
        <v>38</v>
      </c>
      <c r="L3078" s="53" t="s">
        <v>89</v>
      </c>
      <c r="M3078" s="53">
        <v>3065.0</v>
      </c>
      <c r="N3078" s="53">
        <v>484.0</v>
      </c>
      <c r="O3078" s="53">
        <v>19.28</v>
      </c>
      <c r="P3078" s="55">
        <f t="shared" si="248"/>
        <v>9331.52</v>
      </c>
      <c r="Q3078" s="53">
        <v>930.0</v>
      </c>
      <c r="R3078" s="105">
        <f t="shared" si="249"/>
        <v>10261.52</v>
      </c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</row>
    <row r="3079">
      <c r="A3079" s="2"/>
      <c r="B3079" s="52">
        <v>7.0</v>
      </c>
      <c r="C3079" s="53">
        <v>1.004770389E9</v>
      </c>
      <c r="D3079" s="53" t="s">
        <v>203</v>
      </c>
      <c r="E3079" s="53" t="s">
        <v>77</v>
      </c>
      <c r="F3079" s="53" t="s">
        <v>78</v>
      </c>
      <c r="G3079" s="53" t="s">
        <v>79</v>
      </c>
      <c r="H3079" s="53"/>
      <c r="I3079" s="55"/>
      <c r="J3079" s="55"/>
      <c r="K3079" s="53" t="s">
        <v>80</v>
      </c>
      <c r="L3079" s="53" t="s">
        <v>81</v>
      </c>
      <c r="M3079" s="53">
        <v>2570.0</v>
      </c>
      <c r="N3079" s="53">
        <v>416.0</v>
      </c>
      <c r="O3079" s="53">
        <v>18.28</v>
      </c>
      <c r="P3079" s="55">
        <f t="shared" si="248"/>
        <v>7604.48</v>
      </c>
      <c r="Q3079" s="55"/>
      <c r="R3079" s="105">
        <f t="shared" si="249"/>
        <v>7604.48</v>
      </c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</row>
    <row r="3080">
      <c r="A3080" s="2"/>
      <c r="B3080" s="52">
        <v>8.0</v>
      </c>
      <c r="C3080" s="53">
        <v>1.004771056E9</v>
      </c>
      <c r="D3080" s="53" t="s">
        <v>204</v>
      </c>
      <c r="E3080" s="53" t="s">
        <v>28</v>
      </c>
      <c r="F3080" s="53" t="s">
        <v>29</v>
      </c>
      <c r="G3080" s="53" t="s">
        <v>30</v>
      </c>
      <c r="H3080" s="53" t="s">
        <v>31</v>
      </c>
      <c r="I3080" s="53" t="s">
        <v>32</v>
      </c>
      <c r="J3080" s="55"/>
      <c r="K3080" s="53" t="s">
        <v>38</v>
      </c>
      <c r="L3080" s="53" t="s">
        <v>34</v>
      </c>
      <c r="M3080" s="53">
        <v>3235.0</v>
      </c>
      <c r="N3080" s="53">
        <v>246.0</v>
      </c>
      <c r="O3080" s="53">
        <v>19.28</v>
      </c>
      <c r="P3080" s="55">
        <f t="shared" si="248"/>
        <v>4742.88</v>
      </c>
      <c r="Q3080" s="55"/>
      <c r="R3080" s="105">
        <f t="shared" si="249"/>
        <v>4742.88</v>
      </c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</row>
    <row r="3081">
      <c r="A3081" s="2"/>
      <c r="B3081" s="52">
        <v>9.0</v>
      </c>
      <c r="C3081" s="53">
        <v>1.004771189E9</v>
      </c>
      <c r="D3081" s="53" t="s">
        <v>204</v>
      </c>
      <c r="E3081" s="53" t="s">
        <v>35</v>
      </c>
      <c r="F3081" s="53" t="s">
        <v>36</v>
      </c>
      <c r="G3081" s="53" t="s">
        <v>40</v>
      </c>
      <c r="H3081" s="53" t="s">
        <v>37</v>
      </c>
      <c r="I3081" s="55"/>
      <c r="J3081" s="55"/>
      <c r="K3081" s="53" t="s">
        <v>38</v>
      </c>
      <c r="L3081" s="53" t="s">
        <v>97</v>
      </c>
      <c r="M3081" s="53">
        <v>3327.0</v>
      </c>
      <c r="N3081" s="53">
        <v>200.0</v>
      </c>
      <c r="O3081" s="53">
        <v>19.28</v>
      </c>
      <c r="P3081" s="55">
        <f t="shared" si="248"/>
        <v>3856</v>
      </c>
      <c r="Q3081" s="53"/>
      <c r="R3081" s="105">
        <f t="shared" si="249"/>
        <v>3856</v>
      </c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</row>
    <row r="3082">
      <c r="A3082" s="2"/>
      <c r="B3082" s="52">
        <v>10.0</v>
      </c>
      <c r="C3082" s="53">
        <v>1.00477141E9</v>
      </c>
      <c r="D3082" s="53" t="s">
        <v>204</v>
      </c>
      <c r="E3082" s="53" t="s">
        <v>47</v>
      </c>
      <c r="F3082" s="53" t="s">
        <v>44</v>
      </c>
      <c r="G3082" s="53" t="s">
        <v>48</v>
      </c>
      <c r="H3082" s="53" t="s">
        <v>49</v>
      </c>
      <c r="I3082" s="55"/>
      <c r="J3082" s="55"/>
      <c r="K3082" s="53" t="s">
        <v>45</v>
      </c>
      <c r="L3082" s="53" t="s">
        <v>98</v>
      </c>
      <c r="M3082" s="53">
        <v>1548.0</v>
      </c>
      <c r="N3082" s="53">
        <v>250.0</v>
      </c>
      <c r="O3082" s="53">
        <v>15.53</v>
      </c>
      <c r="P3082" s="55">
        <f t="shared" si="248"/>
        <v>3882.5</v>
      </c>
      <c r="Q3082" s="53"/>
      <c r="R3082" s="105">
        <f t="shared" si="249"/>
        <v>3882.5</v>
      </c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</row>
    <row r="3083">
      <c r="A3083" s="2"/>
      <c r="B3083" s="8"/>
      <c r="C3083" s="6"/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5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</row>
    <row r="3084">
      <c r="A3084" s="2"/>
      <c r="B3084" s="67" t="s">
        <v>64</v>
      </c>
      <c r="C3084" s="68"/>
      <c r="D3084" s="69" t="str">
        <f>MONEYTEXT(R3084, "INR")</f>
        <v>Fifty-four thousand nine hundred seventy-five Indian rupees and eighty-six paise</v>
      </c>
      <c r="E3084" s="68"/>
      <c r="F3084" s="68"/>
      <c r="G3084" s="68"/>
      <c r="H3084" s="68"/>
      <c r="I3084" s="68"/>
      <c r="J3084" s="68"/>
      <c r="K3084" s="68"/>
      <c r="L3084" s="68"/>
      <c r="M3084" s="68"/>
      <c r="N3084" s="70" t="s">
        <v>65</v>
      </c>
      <c r="O3084" s="4"/>
      <c r="P3084" s="96">
        <f t="shared" ref="P3084:R3084" si="250">SUM(P3073:P3082)</f>
        <v>52960.86</v>
      </c>
      <c r="Q3084" s="96">
        <f t="shared" si="250"/>
        <v>2015</v>
      </c>
      <c r="R3084" s="96">
        <f t="shared" si="250"/>
        <v>54975.86</v>
      </c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</row>
    <row r="3085">
      <c r="A3085" s="2"/>
      <c r="B3085" s="67" t="s">
        <v>66</v>
      </c>
      <c r="C3085" s="68"/>
      <c r="D3085" s="68"/>
      <c r="E3085" s="68"/>
      <c r="F3085" s="68"/>
      <c r="G3085" s="68"/>
      <c r="H3085" s="68"/>
      <c r="I3085" s="68"/>
      <c r="J3085" s="68"/>
      <c r="K3085" s="68"/>
      <c r="L3085" s="68"/>
      <c r="M3085" s="68"/>
      <c r="N3085" s="68"/>
      <c r="O3085" s="76"/>
      <c r="P3085" s="97" t="s">
        <v>67</v>
      </c>
      <c r="Q3085" s="31"/>
      <c r="R3085" s="3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</row>
    <row r="3086">
      <c r="A3086" s="2"/>
      <c r="B3086" s="79" t="s">
        <v>68</v>
      </c>
      <c r="P3086" s="27"/>
      <c r="Q3086" s="27"/>
      <c r="R3086" s="83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</row>
    <row r="3087">
      <c r="A3087" s="2"/>
      <c r="B3087" s="79" t="s">
        <v>70</v>
      </c>
      <c r="P3087" s="27"/>
      <c r="Q3087" s="27"/>
      <c r="R3087" s="83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</row>
    <row r="3088">
      <c r="A3088" s="2"/>
      <c r="B3088" s="8"/>
      <c r="C3088" s="6"/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5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</row>
    <row r="3089">
      <c r="A3089" s="2"/>
      <c r="B3089" s="8"/>
      <c r="C3089" s="6"/>
      <c r="D3089" s="6"/>
      <c r="E3089" s="6"/>
      <c r="F3089" s="6"/>
      <c r="G3089" s="6"/>
      <c r="H3089" s="6"/>
      <c r="I3089" s="6"/>
      <c r="J3089" s="6"/>
      <c r="K3089" s="19" t="s">
        <v>71</v>
      </c>
      <c r="L3089" s="6"/>
      <c r="M3089" s="6"/>
      <c r="N3089" s="6"/>
      <c r="O3089" s="6"/>
      <c r="P3089" s="9" t="s">
        <v>72</v>
      </c>
      <c r="R3089" s="10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</row>
    <row r="3090">
      <c r="A3090" s="2"/>
      <c r="B3090" s="88"/>
      <c r="C3090" s="34"/>
      <c r="D3090" s="34"/>
      <c r="E3090" s="34"/>
      <c r="F3090" s="34"/>
      <c r="G3090" s="34"/>
      <c r="H3090" s="34"/>
      <c r="I3090" s="34"/>
      <c r="J3090" s="34"/>
      <c r="K3090" s="34"/>
      <c r="L3090" s="34"/>
      <c r="M3090" s="34"/>
      <c r="N3090" s="34"/>
      <c r="O3090" s="34"/>
      <c r="P3090" s="34"/>
      <c r="Q3090" s="34"/>
      <c r="R3090" s="89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</row>
    <row r="3091">
      <c r="A3091" s="2"/>
      <c r="B3091" s="177"/>
      <c r="C3091" s="177"/>
      <c r="D3091" s="177"/>
      <c r="E3091" s="177"/>
      <c r="F3091" s="177"/>
      <c r="G3091" s="177"/>
      <c r="H3091" s="177"/>
      <c r="I3091" s="177"/>
      <c r="J3091" s="177"/>
      <c r="K3091" s="177"/>
      <c r="L3091" s="177"/>
      <c r="M3091" s="177"/>
      <c r="N3091" s="177"/>
      <c r="O3091" s="177"/>
      <c r="P3091" s="177"/>
      <c r="Q3091" s="177"/>
      <c r="R3091" s="177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</row>
    <row r="3092">
      <c r="A3092" s="2"/>
      <c r="B3092" s="177"/>
      <c r="C3092" s="177"/>
      <c r="D3092" s="177"/>
      <c r="E3092" s="177"/>
      <c r="F3092" s="177"/>
      <c r="G3092" s="177"/>
      <c r="H3092" s="177"/>
      <c r="I3092" s="177"/>
      <c r="J3092" s="177"/>
      <c r="K3092" s="177"/>
      <c r="L3092" s="177"/>
      <c r="M3092" s="177"/>
      <c r="N3092" s="177"/>
      <c r="O3092" s="177"/>
      <c r="P3092" s="177"/>
      <c r="Q3092" s="177"/>
      <c r="R3092" s="177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</row>
    <row r="3093">
      <c r="A3093" s="2"/>
      <c r="B3093" s="177"/>
      <c r="C3093" s="177"/>
      <c r="D3093" s="177"/>
      <c r="E3093" s="177"/>
      <c r="F3093" s="177"/>
      <c r="G3093" s="177"/>
      <c r="H3093" s="177"/>
      <c r="I3093" s="177"/>
      <c r="J3093" s="177"/>
      <c r="K3093" s="177"/>
      <c r="L3093" s="177"/>
      <c r="M3093" s="177"/>
      <c r="N3093" s="177"/>
      <c r="O3093" s="177"/>
      <c r="P3093" s="177"/>
      <c r="Q3093" s="177"/>
      <c r="R3093" s="177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</row>
    <row r="3094">
      <c r="A3094" s="2"/>
      <c r="B3094" s="177"/>
      <c r="C3094" s="177"/>
      <c r="D3094" s="177"/>
      <c r="E3094" s="177"/>
      <c r="F3094" s="177"/>
      <c r="G3094" s="177"/>
      <c r="H3094" s="177"/>
      <c r="I3094" s="177"/>
      <c r="J3094" s="177"/>
      <c r="K3094" s="177"/>
      <c r="L3094" s="177"/>
      <c r="M3094" s="177"/>
      <c r="N3094" s="177"/>
      <c r="O3094" s="177"/>
      <c r="P3094" s="177"/>
      <c r="Q3094" s="177"/>
      <c r="R3094" s="177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</row>
    <row r="3095">
      <c r="A3095" s="2"/>
      <c r="B3095" s="177"/>
      <c r="C3095" s="177"/>
      <c r="D3095" s="177"/>
      <c r="E3095" s="177"/>
      <c r="F3095" s="177"/>
      <c r="G3095" s="177"/>
      <c r="H3095" s="177"/>
      <c r="I3095" s="177"/>
      <c r="J3095" s="177"/>
      <c r="K3095" s="177"/>
      <c r="L3095" s="177"/>
      <c r="M3095" s="177"/>
      <c r="N3095" s="177"/>
      <c r="O3095" s="177"/>
      <c r="P3095" s="177"/>
      <c r="Q3095" s="177"/>
      <c r="R3095" s="177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</row>
    <row r="3096">
      <c r="A3096" s="2"/>
      <c r="B3096" s="3" t="s">
        <v>1</v>
      </c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5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</row>
    <row r="3097">
      <c r="A3097" s="2"/>
      <c r="B3097" s="8"/>
      <c r="F3097" s="9"/>
      <c r="G3097" s="9"/>
      <c r="H3097" s="9"/>
      <c r="I3097" s="9"/>
      <c r="J3097" s="9" t="s">
        <v>2</v>
      </c>
      <c r="N3097" s="6"/>
      <c r="R3097" s="10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</row>
    <row r="3098">
      <c r="A3098" s="2"/>
      <c r="B3098" s="13"/>
      <c r="F3098" s="9"/>
      <c r="G3098" s="9"/>
      <c r="H3098" s="9"/>
      <c r="I3098" s="9"/>
      <c r="J3098" s="9" t="s">
        <v>3</v>
      </c>
      <c r="N3098" s="6"/>
      <c r="R3098" s="10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</row>
    <row r="3099">
      <c r="A3099" s="2"/>
      <c r="B3099" s="13" t="s">
        <v>4</v>
      </c>
      <c r="R3099" s="10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</row>
    <row r="3100">
      <c r="A3100" s="2"/>
      <c r="B3100" s="16" t="s">
        <v>5</v>
      </c>
      <c r="C3100" s="17" t="s">
        <v>6</v>
      </c>
      <c r="D3100" s="4"/>
      <c r="E3100" s="4"/>
      <c r="F3100" s="4"/>
      <c r="G3100" s="4"/>
      <c r="H3100" s="4"/>
      <c r="I3100" s="4"/>
      <c r="J3100" s="4"/>
      <c r="K3100" s="5"/>
      <c r="L3100" s="18" t="s">
        <v>7</v>
      </c>
      <c r="M3100" s="20"/>
      <c r="N3100" s="20"/>
      <c r="O3100" s="4"/>
      <c r="P3100" s="4"/>
      <c r="Q3100" s="4"/>
      <c r="R3100" s="5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</row>
    <row r="3101">
      <c r="A3101" s="2"/>
      <c r="B3101" s="26"/>
      <c r="C3101" s="27" t="s">
        <v>8</v>
      </c>
      <c r="K3101" s="10"/>
      <c r="L3101" s="18" t="s">
        <v>9</v>
      </c>
      <c r="M3101" s="6"/>
      <c r="N3101" s="6"/>
      <c r="R3101" s="10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</row>
    <row r="3102">
      <c r="A3102" s="2"/>
      <c r="B3102" s="16" t="s">
        <v>11</v>
      </c>
      <c r="C3102" s="30" t="s">
        <v>12</v>
      </c>
      <c r="D3102" s="31"/>
      <c r="E3102" s="31"/>
      <c r="F3102" s="31"/>
      <c r="G3102" s="31"/>
      <c r="H3102" s="31"/>
      <c r="I3102" s="31"/>
      <c r="J3102" s="31"/>
      <c r="K3102" s="32"/>
      <c r="L3102" s="18" t="s">
        <v>13</v>
      </c>
      <c r="M3102" s="34"/>
      <c r="N3102" s="34"/>
      <c r="O3102" s="31"/>
      <c r="P3102" s="31"/>
      <c r="Q3102" s="31"/>
      <c r="R3102" s="3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</row>
    <row r="3103">
      <c r="A3103" s="2"/>
      <c r="B3103" s="8"/>
      <c r="R3103" s="10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</row>
    <row r="3104">
      <c r="A3104" s="2"/>
      <c r="B3104" s="39" t="s">
        <v>15</v>
      </c>
      <c r="C3104" s="40" t="s">
        <v>16</v>
      </c>
      <c r="D3104" s="41" t="s">
        <v>17</v>
      </c>
      <c r="E3104" s="41" t="s">
        <v>18</v>
      </c>
      <c r="F3104" s="42" t="s">
        <v>19</v>
      </c>
      <c r="G3104" s="43"/>
      <c r="H3104" s="43"/>
      <c r="I3104" s="43"/>
      <c r="J3104" s="44"/>
      <c r="K3104" s="41" t="s">
        <v>20</v>
      </c>
      <c r="L3104" s="41" t="s">
        <v>21</v>
      </c>
      <c r="M3104" s="41" t="s">
        <v>22</v>
      </c>
      <c r="N3104" s="41" t="s">
        <v>23</v>
      </c>
      <c r="O3104" s="41" t="s">
        <v>24</v>
      </c>
      <c r="P3104" s="41" t="s">
        <v>25</v>
      </c>
      <c r="Q3104" s="41" t="s">
        <v>26</v>
      </c>
      <c r="R3104" s="45" t="s">
        <v>27</v>
      </c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</row>
    <row r="3105">
      <c r="A3105" s="2"/>
      <c r="B3105" s="52">
        <v>1.0</v>
      </c>
      <c r="C3105" s="53">
        <v>1.00477139E9</v>
      </c>
      <c r="D3105" s="53" t="s">
        <v>204</v>
      </c>
      <c r="E3105" s="53" t="s">
        <v>51</v>
      </c>
      <c r="F3105" s="53" t="s">
        <v>44</v>
      </c>
      <c r="G3105" s="53" t="s">
        <v>49</v>
      </c>
      <c r="H3105" s="53"/>
      <c r="I3105" s="55"/>
      <c r="J3105" s="55"/>
      <c r="K3105" s="53" t="s">
        <v>45</v>
      </c>
      <c r="L3105" s="53" t="s">
        <v>50</v>
      </c>
      <c r="M3105" s="53">
        <v>1523.0</v>
      </c>
      <c r="N3105" s="53">
        <v>230.0</v>
      </c>
      <c r="O3105" s="53">
        <v>15.53</v>
      </c>
      <c r="P3105" s="55">
        <f t="shared" ref="P3105:P3114" si="251">N3105*O3105</f>
        <v>3571.9</v>
      </c>
      <c r="Q3105" s="53"/>
      <c r="R3105" s="94">
        <v>3571.9</v>
      </c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</row>
    <row r="3106">
      <c r="A3106" s="2"/>
      <c r="B3106" s="52">
        <v>2.0</v>
      </c>
      <c r="C3106" s="53">
        <v>1.00477159E9</v>
      </c>
      <c r="D3106" s="53" t="s">
        <v>204</v>
      </c>
      <c r="E3106" s="53" t="s">
        <v>51</v>
      </c>
      <c r="F3106" s="53" t="s">
        <v>44</v>
      </c>
      <c r="G3106" s="53"/>
      <c r="H3106" s="53"/>
      <c r="I3106" s="55"/>
      <c r="J3106" s="55"/>
      <c r="K3106" s="53" t="s">
        <v>45</v>
      </c>
      <c r="L3106" s="53" t="s">
        <v>52</v>
      </c>
      <c r="M3106" s="53">
        <v>1530.0</v>
      </c>
      <c r="N3106" s="53">
        <v>230.0</v>
      </c>
      <c r="O3106" s="53">
        <v>15.53</v>
      </c>
      <c r="P3106" s="55">
        <f t="shared" si="251"/>
        <v>3571.9</v>
      </c>
      <c r="Q3106" s="55"/>
      <c r="R3106" s="105">
        <f t="shared" ref="R3106:R3114" si="252">P3106+Q3106</f>
        <v>3571.9</v>
      </c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</row>
    <row r="3107">
      <c r="A3107" s="2"/>
      <c r="B3107" s="52">
        <v>3.0</v>
      </c>
      <c r="C3107" s="53">
        <v>1.00477207E9</v>
      </c>
      <c r="D3107" s="53" t="s">
        <v>204</v>
      </c>
      <c r="E3107" s="53" t="s">
        <v>51</v>
      </c>
      <c r="F3107" s="53" t="s">
        <v>44</v>
      </c>
      <c r="G3107" s="53" t="s">
        <v>49</v>
      </c>
      <c r="H3107" s="55"/>
      <c r="I3107" s="55"/>
      <c r="J3107" s="55"/>
      <c r="K3107" s="53" t="s">
        <v>45</v>
      </c>
      <c r="L3107" s="53" t="s">
        <v>53</v>
      </c>
      <c r="M3107" s="53">
        <v>1741.0</v>
      </c>
      <c r="N3107" s="53">
        <v>230.0</v>
      </c>
      <c r="O3107" s="53">
        <v>15.53</v>
      </c>
      <c r="P3107" s="55">
        <f t="shared" si="251"/>
        <v>3571.9</v>
      </c>
      <c r="Q3107" s="55"/>
      <c r="R3107" s="105">
        <f t="shared" si="252"/>
        <v>3571.9</v>
      </c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</row>
    <row r="3108">
      <c r="A3108" s="2"/>
      <c r="B3108" s="52">
        <v>4.0</v>
      </c>
      <c r="C3108" s="53">
        <v>1.004772264E9</v>
      </c>
      <c r="D3108" s="53" t="s">
        <v>204</v>
      </c>
      <c r="E3108" s="53" t="s">
        <v>51</v>
      </c>
      <c r="F3108" s="53" t="s">
        <v>44</v>
      </c>
      <c r="G3108" s="53"/>
      <c r="H3108" s="55"/>
      <c r="I3108" s="55"/>
      <c r="J3108" s="55"/>
      <c r="K3108" s="53" t="s">
        <v>45</v>
      </c>
      <c r="L3108" s="53" t="s">
        <v>99</v>
      </c>
      <c r="M3108" s="53">
        <v>1698.0</v>
      </c>
      <c r="N3108" s="53">
        <v>230.0</v>
      </c>
      <c r="O3108" s="53">
        <v>15.53</v>
      </c>
      <c r="P3108" s="55">
        <f t="shared" si="251"/>
        <v>3571.9</v>
      </c>
      <c r="Q3108" s="55"/>
      <c r="R3108" s="105">
        <f t="shared" si="252"/>
        <v>3571.9</v>
      </c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</row>
    <row r="3109">
      <c r="A3109" s="2"/>
      <c r="B3109" s="52">
        <v>5.0</v>
      </c>
      <c r="C3109" s="53">
        <v>1.004771576E9</v>
      </c>
      <c r="D3109" s="53" t="s">
        <v>204</v>
      </c>
      <c r="E3109" s="53" t="s">
        <v>51</v>
      </c>
      <c r="F3109" s="53" t="s">
        <v>44</v>
      </c>
      <c r="G3109" s="53"/>
      <c r="H3109" s="55"/>
      <c r="I3109" s="55"/>
      <c r="J3109" s="55"/>
      <c r="K3109" s="53" t="s">
        <v>45</v>
      </c>
      <c r="L3109" s="53" t="s">
        <v>54</v>
      </c>
      <c r="M3109" s="53">
        <v>1594.0</v>
      </c>
      <c r="N3109" s="53">
        <v>230.0</v>
      </c>
      <c r="O3109" s="53">
        <v>15.53</v>
      </c>
      <c r="P3109" s="55">
        <f t="shared" si="251"/>
        <v>3571.9</v>
      </c>
      <c r="Q3109" s="55"/>
      <c r="R3109" s="105">
        <f t="shared" si="252"/>
        <v>3571.9</v>
      </c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</row>
    <row r="3110">
      <c r="A3110" s="2"/>
      <c r="B3110" s="52">
        <v>6.0</v>
      </c>
      <c r="C3110" s="53">
        <v>1.004772202E9</v>
      </c>
      <c r="D3110" s="53" t="s">
        <v>204</v>
      </c>
      <c r="E3110" s="53" t="s">
        <v>61</v>
      </c>
      <c r="F3110" s="53" t="s">
        <v>74</v>
      </c>
      <c r="G3110" s="53" t="s">
        <v>75</v>
      </c>
      <c r="H3110" s="53"/>
      <c r="I3110" s="55"/>
      <c r="J3110" s="55"/>
      <c r="K3110" s="53" t="s">
        <v>38</v>
      </c>
      <c r="L3110" s="53" t="s">
        <v>102</v>
      </c>
      <c r="M3110" s="53">
        <v>3632.0</v>
      </c>
      <c r="N3110" s="53">
        <v>430.0</v>
      </c>
      <c r="O3110" s="53">
        <v>19.28</v>
      </c>
      <c r="P3110" s="55">
        <f t="shared" si="251"/>
        <v>8290.4</v>
      </c>
      <c r="Q3110" s="53">
        <v>820.0</v>
      </c>
      <c r="R3110" s="105">
        <f t="shared" si="252"/>
        <v>9110.4</v>
      </c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</row>
    <row r="3111">
      <c r="A3111" s="2"/>
      <c r="B3111" s="52">
        <v>7.0</v>
      </c>
      <c r="C3111" s="53">
        <v>1.004772138E9</v>
      </c>
      <c r="D3111" s="53" t="s">
        <v>204</v>
      </c>
      <c r="E3111" s="53" t="s">
        <v>106</v>
      </c>
      <c r="F3111" s="53" t="s">
        <v>107</v>
      </c>
      <c r="G3111" s="53" t="s">
        <v>108</v>
      </c>
      <c r="H3111" s="53" t="s">
        <v>109</v>
      </c>
      <c r="I3111" s="55"/>
      <c r="J3111" s="55"/>
      <c r="K3111" s="53" t="s">
        <v>33</v>
      </c>
      <c r="L3111" s="53" t="s">
        <v>118</v>
      </c>
      <c r="M3111" s="53">
        <v>1928.0</v>
      </c>
      <c r="N3111" s="53">
        <v>482.0</v>
      </c>
      <c r="O3111" s="53">
        <v>15.53</v>
      </c>
      <c r="P3111" s="55">
        <f t="shared" si="251"/>
        <v>7485.46</v>
      </c>
      <c r="Q3111" s="53">
        <v>1025.0</v>
      </c>
      <c r="R3111" s="105">
        <f t="shared" si="252"/>
        <v>8510.46</v>
      </c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</row>
    <row r="3112">
      <c r="A3112" s="2"/>
      <c r="B3112" s="52">
        <v>8.0</v>
      </c>
      <c r="C3112" s="53">
        <v>1.004772389E9</v>
      </c>
      <c r="D3112" s="53" t="s">
        <v>204</v>
      </c>
      <c r="E3112" s="53" t="s">
        <v>100</v>
      </c>
      <c r="F3112" s="53" t="s">
        <v>86</v>
      </c>
      <c r="G3112" s="53" t="s">
        <v>87</v>
      </c>
      <c r="H3112" s="53"/>
      <c r="I3112" s="55"/>
      <c r="J3112" s="55"/>
      <c r="K3112" s="53" t="s">
        <v>33</v>
      </c>
      <c r="L3112" s="53" t="s">
        <v>89</v>
      </c>
      <c r="M3112" s="53">
        <v>2036.0</v>
      </c>
      <c r="N3112" s="53">
        <v>428.0</v>
      </c>
      <c r="O3112" s="53">
        <v>15.53</v>
      </c>
      <c r="P3112" s="55">
        <f t="shared" si="251"/>
        <v>6646.84</v>
      </c>
      <c r="Q3112" s="55"/>
      <c r="R3112" s="105">
        <f t="shared" si="252"/>
        <v>6646.84</v>
      </c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</row>
    <row r="3113">
      <c r="A3113" s="2"/>
      <c r="B3113" s="52">
        <v>9.0</v>
      </c>
      <c r="C3113" s="53">
        <v>1.004772375E9</v>
      </c>
      <c r="D3113" s="53" t="s">
        <v>204</v>
      </c>
      <c r="E3113" s="53" t="s">
        <v>82</v>
      </c>
      <c r="F3113" s="53" t="s">
        <v>87</v>
      </c>
      <c r="G3113" s="53" t="s">
        <v>86</v>
      </c>
      <c r="H3113" s="53" t="s">
        <v>88</v>
      </c>
      <c r="I3113" s="53" t="s">
        <v>84</v>
      </c>
      <c r="J3113" s="55"/>
      <c r="K3113" s="53" t="s">
        <v>38</v>
      </c>
      <c r="L3113" s="53" t="s">
        <v>205</v>
      </c>
      <c r="M3113" s="53">
        <v>3259.0</v>
      </c>
      <c r="N3113" s="53">
        <v>484.0</v>
      </c>
      <c r="O3113" s="53">
        <v>19.28</v>
      </c>
      <c r="P3113" s="55">
        <f t="shared" si="251"/>
        <v>9331.52</v>
      </c>
      <c r="Q3113" s="53">
        <v>930.0</v>
      </c>
      <c r="R3113" s="105">
        <f t="shared" si="252"/>
        <v>10261.52</v>
      </c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</row>
    <row r="3114">
      <c r="A3114" s="2"/>
      <c r="B3114" s="52">
        <v>10.0</v>
      </c>
      <c r="C3114" s="53">
        <v>1.004772494E9</v>
      </c>
      <c r="D3114" s="53" t="s">
        <v>204</v>
      </c>
      <c r="E3114" s="53" t="s">
        <v>55</v>
      </c>
      <c r="F3114" s="53" t="s">
        <v>57</v>
      </c>
      <c r="G3114" s="53" t="s">
        <v>59</v>
      </c>
      <c r="H3114" s="53" t="s">
        <v>58</v>
      </c>
      <c r="I3114" s="55"/>
      <c r="J3114" s="55"/>
      <c r="K3114" s="53" t="s">
        <v>33</v>
      </c>
      <c r="L3114" s="53" t="s">
        <v>104</v>
      </c>
      <c r="M3114" s="53">
        <v>1896.0</v>
      </c>
      <c r="N3114" s="53">
        <v>518.0</v>
      </c>
      <c r="O3114" s="53">
        <v>15.53</v>
      </c>
      <c r="P3114" s="55">
        <f t="shared" si="251"/>
        <v>8044.54</v>
      </c>
      <c r="Q3114" s="53"/>
      <c r="R3114" s="105">
        <f t="shared" si="252"/>
        <v>8044.54</v>
      </c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</row>
    <row r="3115">
      <c r="A3115" s="2"/>
      <c r="B3115" s="8"/>
      <c r="C3115" s="6"/>
      <c r="D3115" s="6"/>
      <c r="E3115" s="6"/>
      <c r="F3115" s="6"/>
      <c r="G3115" s="6"/>
      <c r="H3115" s="6"/>
      <c r="I3115" s="6"/>
      <c r="J3115" s="6"/>
      <c r="K3115" s="6"/>
      <c r="L3115" s="6"/>
      <c r="M3115" s="6"/>
      <c r="N3115" s="6"/>
      <c r="O3115" s="6"/>
      <c r="P3115" s="6"/>
      <c r="Q3115" s="6"/>
      <c r="R3115" s="65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</row>
    <row r="3116">
      <c r="A3116" s="2"/>
      <c r="B3116" s="67" t="s">
        <v>64</v>
      </c>
      <c r="C3116" s="68"/>
      <c r="D3116" s="69" t="str">
        <f>MONEYTEXT(R3116, "INR")</f>
        <v>Sixty thousand four hundred thirty-three Indian rupees and twenty-six paise</v>
      </c>
      <c r="E3116" s="68"/>
      <c r="F3116" s="68"/>
      <c r="G3116" s="68"/>
      <c r="H3116" s="68"/>
      <c r="I3116" s="68"/>
      <c r="J3116" s="68"/>
      <c r="K3116" s="68"/>
      <c r="L3116" s="68"/>
      <c r="M3116" s="68"/>
      <c r="N3116" s="70" t="s">
        <v>65</v>
      </c>
      <c r="O3116" s="4"/>
      <c r="P3116" s="96">
        <f t="shared" ref="P3116:R3116" si="253">SUM(P3105:P3114)</f>
        <v>57658.26</v>
      </c>
      <c r="Q3116" s="96">
        <f t="shared" si="253"/>
        <v>2775</v>
      </c>
      <c r="R3116" s="96">
        <f t="shared" si="253"/>
        <v>60433.26</v>
      </c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</row>
    <row r="3117">
      <c r="A3117" s="2"/>
      <c r="B3117" s="67" t="s">
        <v>66</v>
      </c>
      <c r="C3117" s="68"/>
      <c r="D3117" s="68"/>
      <c r="E3117" s="68"/>
      <c r="F3117" s="68"/>
      <c r="G3117" s="68"/>
      <c r="H3117" s="68"/>
      <c r="I3117" s="68"/>
      <c r="J3117" s="68"/>
      <c r="K3117" s="68"/>
      <c r="L3117" s="68"/>
      <c r="M3117" s="68"/>
      <c r="N3117" s="68"/>
      <c r="O3117" s="76"/>
      <c r="P3117" s="97" t="s">
        <v>67</v>
      </c>
      <c r="Q3117" s="31"/>
      <c r="R3117" s="3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</row>
    <row r="3118">
      <c r="A3118" s="2"/>
      <c r="B3118" s="79" t="s">
        <v>68</v>
      </c>
      <c r="P3118" s="27"/>
      <c r="Q3118" s="27"/>
      <c r="R3118" s="83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</row>
    <row r="3119">
      <c r="A3119" s="2"/>
      <c r="B3119" s="79" t="s">
        <v>70</v>
      </c>
      <c r="P3119" s="27"/>
      <c r="Q3119" s="27"/>
      <c r="R3119" s="83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</row>
    <row r="3120">
      <c r="A3120" s="2"/>
      <c r="B3120" s="8"/>
      <c r="C3120" s="6"/>
      <c r="D3120" s="6"/>
      <c r="E3120" s="6"/>
      <c r="F3120" s="6"/>
      <c r="G3120" s="6"/>
      <c r="H3120" s="6"/>
      <c r="I3120" s="6"/>
      <c r="J3120" s="6"/>
      <c r="K3120" s="6"/>
      <c r="L3120" s="6"/>
      <c r="M3120" s="6"/>
      <c r="N3120" s="6"/>
      <c r="O3120" s="6"/>
      <c r="P3120" s="6"/>
      <c r="Q3120" s="6"/>
      <c r="R3120" s="65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</row>
    <row r="3121">
      <c r="A3121" s="2"/>
      <c r="B3121" s="8"/>
      <c r="C3121" s="6"/>
      <c r="D3121" s="6"/>
      <c r="E3121" s="6"/>
      <c r="F3121" s="6"/>
      <c r="G3121" s="6"/>
      <c r="H3121" s="6"/>
      <c r="I3121" s="6"/>
      <c r="J3121" s="6"/>
      <c r="K3121" s="19" t="s">
        <v>71</v>
      </c>
      <c r="L3121" s="6"/>
      <c r="M3121" s="6"/>
      <c r="N3121" s="6"/>
      <c r="O3121" s="6"/>
      <c r="P3121" s="9" t="s">
        <v>72</v>
      </c>
      <c r="R3121" s="10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</row>
    <row r="3122">
      <c r="A3122" s="2"/>
      <c r="B3122" s="88"/>
      <c r="C3122" s="34"/>
      <c r="D3122" s="34"/>
      <c r="E3122" s="34"/>
      <c r="F3122" s="34"/>
      <c r="G3122" s="34"/>
      <c r="H3122" s="34"/>
      <c r="I3122" s="34"/>
      <c r="J3122" s="34"/>
      <c r="K3122" s="34"/>
      <c r="L3122" s="34"/>
      <c r="M3122" s="34"/>
      <c r="N3122" s="34"/>
      <c r="O3122" s="34"/>
      <c r="P3122" s="34"/>
      <c r="Q3122" s="34"/>
      <c r="R3122" s="89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</row>
    <row r="3123">
      <c r="A3123" s="2"/>
      <c r="B3123" s="177"/>
      <c r="C3123" s="177"/>
      <c r="D3123" s="177"/>
      <c r="E3123" s="177"/>
      <c r="F3123" s="177"/>
      <c r="G3123" s="177"/>
      <c r="H3123" s="177"/>
      <c r="I3123" s="177"/>
      <c r="J3123" s="177"/>
      <c r="K3123" s="177"/>
      <c r="L3123" s="177"/>
      <c r="M3123" s="177"/>
      <c r="N3123" s="177"/>
      <c r="O3123" s="177"/>
      <c r="P3123" s="177"/>
      <c r="Q3123" s="177"/>
      <c r="R3123" s="177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</row>
    <row r="3124">
      <c r="A3124" s="2"/>
      <c r="B3124" s="177"/>
      <c r="C3124" s="177"/>
      <c r="D3124" s="177"/>
      <c r="E3124" s="177"/>
      <c r="F3124" s="177"/>
      <c r="G3124" s="177"/>
      <c r="H3124" s="177"/>
      <c r="I3124" s="177"/>
      <c r="J3124" s="177"/>
      <c r="K3124" s="177"/>
      <c r="L3124" s="177"/>
      <c r="M3124" s="177"/>
      <c r="N3124" s="177"/>
      <c r="O3124" s="177"/>
      <c r="P3124" s="177"/>
      <c r="Q3124" s="177"/>
      <c r="R3124" s="177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</row>
    <row r="3125">
      <c r="A3125" s="2"/>
      <c r="B3125" s="177"/>
      <c r="C3125" s="177"/>
      <c r="D3125" s="177"/>
      <c r="E3125" s="177"/>
      <c r="F3125" s="177"/>
      <c r="G3125" s="177"/>
      <c r="H3125" s="177"/>
      <c r="I3125" s="177"/>
      <c r="J3125" s="177"/>
      <c r="K3125" s="177"/>
      <c r="L3125" s="177"/>
      <c r="M3125" s="177"/>
      <c r="N3125" s="177"/>
      <c r="O3125" s="177"/>
      <c r="P3125" s="177"/>
      <c r="Q3125" s="177"/>
      <c r="R3125" s="177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</row>
    <row r="3126">
      <c r="A3126" s="2"/>
      <c r="B3126" s="177"/>
      <c r="C3126" s="177"/>
      <c r="D3126" s="177"/>
      <c r="E3126" s="177"/>
      <c r="F3126" s="177"/>
      <c r="G3126" s="177"/>
      <c r="H3126" s="177"/>
      <c r="I3126" s="177"/>
      <c r="J3126" s="177"/>
      <c r="K3126" s="177"/>
      <c r="L3126" s="177"/>
      <c r="M3126" s="177"/>
      <c r="N3126" s="177"/>
      <c r="O3126" s="177"/>
      <c r="P3126" s="177"/>
      <c r="Q3126" s="177"/>
      <c r="R3126" s="177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</row>
    <row r="3127">
      <c r="A3127" s="2"/>
      <c r="B3127" s="3" t="s">
        <v>1</v>
      </c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5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</row>
    <row r="3128">
      <c r="A3128" s="2"/>
      <c r="B3128" s="8"/>
      <c r="F3128" s="9"/>
      <c r="G3128" s="9"/>
      <c r="H3128" s="9"/>
      <c r="I3128" s="9"/>
      <c r="J3128" s="9" t="s">
        <v>2</v>
      </c>
      <c r="N3128" s="6"/>
      <c r="R3128" s="10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</row>
    <row r="3129">
      <c r="A3129" s="2"/>
      <c r="B3129" s="13"/>
      <c r="F3129" s="9"/>
      <c r="G3129" s="9"/>
      <c r="H3129" s="9"/>
      <c r="I3129" s="9"/>
      <c r="J3129" s="9" t="s">
        <v>3</v>
      </c>
      <c r="N3129" s="6"/>
      <c r="R3129" s="10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</row>
    <row r="3130">
      <c r="A3130" s="2"/>
      <c r="B3130" s="13" t="s">
        <v>4</v>
      </c>
      <c r="R3130" s="10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</row>
    <row r="3131">
      <c r="A3131" s="2"/>
      <c r="B3131" s="16" t="s">
        <v>5</v>
      </c>
      <c r="C3131" s="17" t="s">
        <v>6</v>
      </c>
      <c r="D3131" s="4"/>
      <c r="E3131" s="4"/>
      <c r="F3131" s="4"/>
      <c r="G3131" s="4"/>
      <c r="H3131" s="4"/>
      <c r="I3131" s="4"/>
      <c r="J3131" s="4"/>
      <c r="K3131" s="5"/>
      <c r="L3131" s="18" t="s">
        <v>7</v>
      </c>
      <c r="M3131" s="20"/>
      <c r="N3131" s="20"/>
      <c r="O3131" s="4"/>
      <c r="P3131" s="4"/>
      <c r="Q3131" s="4"/>
      <c r="R3131" s="5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</row>
    <row r="3132">
      <c r="A3132" s="2"/>
      <c r="B3132" s="26"/>
      <c r="C3132" s="27" t="s">
        <v>8</v>
      </c>
      <c r="K3132" s="10"/>
      <c r="L3132" s="18" t="s">
        <v>9</v>
      </c>
      <c r="M3132" s="6"/>
      <c r="N3132" s="6"/>
      <c r="R3132" s="10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</row>
    <row r="3133">
      <c r="A3133" s="2"/>
      <c r="B3133" s="16" t="s">
        <v>11</v>
      </c>
      <c r="C3133" s="30" t="s">
        <v>12</v>
      </c>
      <c r="D3133" s="31"/>
      <c r="E3133" s="31"/>
      <c r="F3133" s="31"/>
      <c r="G3133" s="31"/>
      <c r="H3133" s="31"/>
      <c r="I3133" s="31"/>
      <c r="J3133" s="31"/>
      <c r="K3133" s="32"/>
      <c r="L3133" s="18" t="s">
        <v>13</v>
      </c>
      <c r="M3133" s="34"/>
      <c r="N3133" s="34"/>
      <c r="O3133" s="31"/>
      <c r="P3133" s="31"/>
      <c r="Q3133" s="31"/>
      <c r="R3133" s="3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</row>
    <row r="3134">
      <c r="A3134" s="2"/>
      <c r="B3134" s="8"/>
      <c r="R3134" s="10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</row>
    <row r="3135">
      <c r="A3135" s="2"/>
      <c r="B3135" s="39" t="s">
        <v>15</v>
      </c>
      <c r="C3135" s="40" t="s">
        <v>16</v>
      </c>
      <c r="D3135" s="41" t="s">
        <v>17</v>
      </c>
      <c r="E3135" s="41" t="s">
        <v>18</v>
      </c>
      <c r="F3135" s="42" t="s">
        <v>19</v>
      </c>
      <c r="G3135" s="43"/>
      <c r="H3135" s="43"/>
      <c r="I3135" s="43"/>
      <c r="J3135" s="44"/>
      <c r="K3135" s="41" t="s">
        <v>20</v>
      </c>
      <c r="L3135" s="41" t="s">
        <v>21</v>
      </c>
      <c r="M3135" s="41" t="s">
        <v>22</v>
      </c>
      <c r="N3135" s="41" t="s">
        <v>23</v>
      </c>
      <c r="O3135" s="41" t="s">
        <v>24</v>
      </c>
      <c r="P3135" s="41" t="s">
        <v>25</v>
      </c>
      <c r="Q3135" s="41" t="s">
        <v>26</v>
      </c>
      <c r="R3135" s="45" t="s">
        <v>27</v>
      </c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</row>
    <row r="3136">
      <c r="A3136" s="2"/>
      <c r="B3136" s="52">
        <v>1.0</v>
      </c>
      <c r="C3136" s="53">
        <v>1.004772489E9</v>
      </c>
      <c r="D3136" s="53" t="s">
        <v>204</v>
      </c>
      <c r="E3136" s="53" t="s">
        <v>55</v>
      </c>
      <c r="F3136" s="53" t="s">
        <v>57</v>
      </c>
      <c r="G3136" s="53" t="s">
        <v>103</v>
      </c>
      <c r="H3136" s="53" t="s">
        <v>56</v>
      </c>
      <c r="I3136" s="53" t="s">
        <v>58</v>
      </c>
      <c r="J3136" s="55"/>
      <c r="K3136" s="53" t="s">
        <v>38</v>
      </c>
      <c r="L3136" s="53" t="s">
        <v>60</v>
      </c>
      <c r="M3136" s="53">
        <v>3188.0</v>
      </c>
      <c r="N3136" s="53">
        <v>572.0</v>
      </c>
      <c r="O3136" s="53">
        <v>19.28</v>
      </c>
      <c r="P3136" s="53">
        <v>11028.16</v>
      </c>
      <c r="Q3136" s="53">
        <v>330.0</v>
      </c>
      <c r="R3136" s="94">
        <v>11358.16</v>
      </c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</row>
    <row r="3137">
      <c r="A3137" s="2"/>
      <c r="B3137" s="52">
        <v>2.0</v>
      </c>
      <c r="C3137" s="53">
        <v>1.004772431E9</v>
      </c>
      <c r="D3137" s="53" t="s">
        <v>204</v>
      </c>
      <c r="E3137" s="53" t="s">
        <v>77</v>
      </c>
      <c r="F3137" s="53" t="s">
        <v>78</v>
      </c>
      <c r="G3137" s="53" t="s">
        <v>79</v>
      </c>
      <c r="H3137" s="53"/>
      <c r="I3137" s="55"/>
      <c r="J3137" s="55"/>
      <c r="K3137" s="53" t="s">
        <v>38</v>
      </c>
      <c r="L3137" s="53" t="s">
        <v>81</v>
      </c>
      <c r="M3137" s="53">
        <v>3493.0</v>
      </c>
      <c r="N3137" s="53">
        <v>416.0</v>
      </c>
      <c r="O3137" s="53">
        <v>19.28</v>
      </c>
      <c r="P3137" s="55">
        <f t="shared" ref="P3137:P3145" si="254">N3137*O3137</f>
        <v>8020.48</v>
      </c>
      <c r="Q3137" s="53">
        <v>505.0</v>
      </c>
      <c r="R3137" s="105">
        <f t="shared" ref="R3137:R3145" si="255">P3137+Q3137</f>
        <v>8525.48</v>
      </c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</row>
    <row r="3138">
      <c r="A3138" s="2"/>
      <c r="B3138" s="52">
        <v>3.0</v>
      </c>
      <c r="C3138" s="53">
        <v>1.004772378E9</v>
      </c>
      <c r="D3138" s="53" t="s">
        <v>204</v>
      </c>
      <c r="E3138" s="53" t="s">
        <v>90</v>
      </c>
      <c r="F3138" s="53" t="s">
        <v>91</v>
      </c>
      <c r="G3138" s="53" t="s">
        <v>92</v>
      </c>
      <c r="H3138" s="53" t="s">
        <v>93</v>
      </c>
      <c r="I3138" s="53" t="s">
        <v>94</v>
      </c>
      <c r="J3138" s="53" t="s">
        <v>83</v>
      </c>
      <c r="K3138" s="53" t="s">
        <v>80</v>
      </c>
      <c r="L3138" s="53" t="s">
        <v>102</v>
      </c>
      <c r="M3138" s="53">
        <v>2832.0</v>
      </c>
      <c r="N3138" s="53">
        <v>405.0</v>
      </c>
      <c r="O3138" s="53">
        <v>18.28</v>
      </c>
      <c r="P3138" s="55">
        <f t="shared" si="254"/>
        <v>7403.4</v>
      </c>
      <c r="Q3138" s="53">
        <v>500.0</v>
      </c>
      <c r="R3138" s="105">
        <f t="shared" si="255"/>
        <v>7903.4</v>
      </c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</row>
    <row r="3139">
      <c r="A3139" s="2"/>
      <c r="B3139" s="52">
        <v>4.0</v>
      </c>
      <c r="C3139" s="53">
        <v>1.004773162E9</v>
      </c>
      <c r="D3139" s="53" t="s">
        <v>206</v>
      </c>
      <c r="E3139" s="53" t="s">
        <v>28</v>
      </c>
      <c r="F3139" s="53" t="s">
        <v>29</v>
      </c>
      <c r="G3139" s="53" t="s">
        <v>30</v>
      </c>
      <c r="H3139" s="53" t="s">
        <v>31</v>
      </c>
      <c r="I3139" s="55"/>
      <c r="J3139" s="55"/>
      <c r="K3139" s="53" t="s">
        <v>80</v>
      </c>
      <c r="L3139" s="53" t="s">
        <v>34</v>
      </c>
      <c r="M3139" s="53">
        <v>2648.0</v>
      </c>
      <c r="N3139" s="53">
        <v>246.0</v>
      </c>
      <c r="O3139" s="53">
        <v>18.28</v>
      </c>
      <c r="P3139" s="55">
        <f t="shared" si="254"/>
        <v>4496.88</v>
      </c>
      <c r="Q3139" s="55"/>
      <c r="R3139" s="105">
        <f t="shared" si="255"/>
        <v>4496.88</v>
      </c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</row>
    <row r="3140">
      <c r="A3140" s="2"/>
      <c r="B3140" s="52">
        <v>5.0</v>
      </c>
      <c r="C3140" s="53">
        <v>1.004772945E9</v>
      </c>
      <c r="D3140" s="53" t="s">
        <v>206</v>
      </c>
      <c r="E3140" s="53" t="s">
        <v>35</v>
      </c>
      <c r="F3140" s="53" t="s">
        <v>36</v>
      </c>
      <c r="G3140" s="53" t="s">
        <v>37</v>
      </c>
      <c r="H3140" s="55"/>
      <c r="I3140" s="55"/>
      <c r="J3140" s="55"/>
      <c r="K3140" s="53" t="s">
        <v>38</v>
      </c>
      <c r="L3140" s="53" t="s">
        <v>96</v>
      </c>
      <c r="M3140" s="53">
        <v>3323.0</v>
      </c>
      <c r="N3140" s="53">
        <v>200.0</v>
      </c>
      <c r="O3140" s="53">
        <v>19.28</v>
      </c>
      <c r="P3140" s="55">
        <f t="shared" si="254"/>
        <v>3856</v>
      </c>
      <c r="Q3140" s="55"/>
      <c r="R3140" s="105">
        <f t="shared" si="255"/>
        <v>3856</v>
      </c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</row>
    <row r="3141">
      <c r="A3141" s="2"/>
      <c r="B3141" s="52">
        <v>6.0</v>
      </c>
      <c r="C3141" s="53">
        <v>1.00477307E9</v>
      </c>
      <c r="D3141" s="53" t="s">
        <v>206</v>
      </c>
      <c r="E3141" s="53" t="s">
        <v>35</v>
      </c>
      <c r="F3141" s="53" t="s">
        <v>40</v>
      </c>
      <c r="G3141" s="53" t="s">
        <v>36</v>
      </c>
      <c r="H3141" s="55"/>
      <c r="I3141" s="55"/>
      <c r="J3141" s="55"/>
      <c r="K3141" s="53" t="s">
        <v>33</v>
      </c>
      <c r="L3141" s="53" t="s">
        <v>76</v>
      </c>
      <c r="M3141" s="53">
        <v>1801.0</v>
      </c>
      <c r="N3141" s="53">
        <v>150.0</v>
      </c>
      <c r="O3141" s="53">
        <v>15.53</v>
      </c>
      <c r="P3141" s="55">
        <f t="shared" si="254"/>
        <v>2329.5</v>
      </c>
      <c r="Q3141" s="55"/>
      <c r="R3141" s="105">
        <f t="shared" si="255"/>
        <v>2329.5</v>
      </c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</row>
    <row r="3142">
      <c r="A3142" s="2"/>
      <c r="B3142" s="52">
        <v>7.0</v>
      </c>
      <c r="C3142" s="53">
        <v>1.004773257E9</v>
      </c>
      <c r="D3142" s="53" t="s">
        <v>206</v>
      </c>
      <c r="E3142" s="53" t="s">
        <v>42</v>
      </c>
      <c r="F3142" s="53" t="s">
        <v>44</v>
      </c>
      <c r="G3142" s="53" t="s">
        <v>43</v>
      </c>
      <c r="H3142" s="53" t="s">
        <v>49</v>
      </c>
      <c r="I3142" s="55"/>
      <c r="J3142" s="55"/>
      <c r="K3142" s="53" t="s">
        <v>45</v>
      </c>
      <c r="L3142" s="53" t="s">
        <v>98</v>
      </c>
      <c r="M3142" s="53">
        <v>1652.0</v>
      </c>
      <c r="N3142" s="53">
        <v>299.0</v>
      </c>
      <c r="O3142" s="53">
        <v>15.53</v>
      </c>
      <c r="P3142" s="55">
        <f t="shared" si="254"/>
        <v>4643.47</v>
      </c>
      <c r="Q3142" s="55"/>
      <c r="R3142" s="105">
        <f t="shared" si="255"/>
        <v>4643.47</v>
      </c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</row>
    <row r="3143">
      <c r="A3143" s="2"/>
      <c r="B3143" s="52">
        <v>8.0</v>
      </c>
      <c r="C3143" s="53">
        <v>1.00477382E9</v>
      </c>
      <c r="D3143" s="53" t="s">
        <v>206</v>
      </c>
      <c r="E3143" s="53" t="s">
        <v>51</v>
      </c>
      <c r="F3143" s="53" t="s">
        <v>44</v>
      </c>
      <c r="G3143" s="53" t="s">
        <v>49</v>
      </c>
      <c r="H3143" s="53"/>
      <c r="I3143" s="55"/>
      <c r="J3143" s="55"/>
      <c r="K3143" s="53" t="s">
        <v>45</v>
      </c>
      <c r="L3143" s="53" t="s">
        <v>50</v>
      </c>
      <c r="M3143" s="53">
        <v>1716.0</v>
      </c>
      <c r="N3143" s="53">
        <v>230.0</v>
      </c>
      <c r="O3143" s="53">
        <v>15.53</v>
      </c>
      <c r="P3143" s="55">
        <f t="shared" si="254"/>
        <v>3571.9</v>
      </c>
      <c r="Q3143" s="55"/>
      <c r="R3143" s="105">
        <f t="shared" si="255"/>
        <v>3571.9</v>
      </c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</row>
    <row r="3144">
      <c r="A3144" s="2"/>
      <c r="B3144" s="52">
        <v>9.0</v>
      </c>
      <c r="C3144" s="53">
        <v>1.004773825E9</v>
      </c>
      <c r="D3144" s="53" t="s">
        <v>206</v>
      </c>
      <c r="E3144" s="53" t="s">
        <v>51</v>
      </c>
      <c r="F3144" s="53" t="s">
        <v>44</v>
      </c>
      <c r="G3144" s="55"/>
      <c r="H3144" s="53"/>
      <c r="I3144" s="55"/>
      <c r="J3144" s="55"/>
      <c r="K3144" s="53" t="s">
        <v>45</v>
      </c>
      <c r="L3144" s="53" t="s">
        <v>52</v>
      </c>
      <c r="M3144" s="53">
        <v>1660.0</v>
      </c>
      <c r="N3144" s="53">
        <v>230.0</v>
      </c>
      <c r="O3144" s="53">
        <v>15.53</v>
      </c>
      <c r="P3144" s="55">
        <f t="shared" si="254"/>
        <v>3571.9</v>
      </c>
      <c r="Q3144" s="53"/>
      <c r="R3144" s="105">
        <f t="shared" si="255"/>
        <v>3571.9</v>
      </c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</row>
    <row r="3145">
      <c r="A3145" s="2"/>
      <c r="B3145" s="52">
        <v>10.0</v>
      </c>
      <c r="C3145" s="53">
        <v>1.004774123E9</v>
      </c>
      <c r="D3145" s="53" t="s">
        <v>206</v>
      </c>
      <c r="E3145" s="53" t="s">
        <v>61</v>
      </c>
      <c r="F3145" s="53" t="s">
        <v>73</v>
      </c>
      <c r="G3145" s="53" t="s">
        <v>74</v>
      </c>
      <c r="H3145" s="53" t="s">
        <v>62</v>
      </c>
      <c r="I3145" s="53" t="s">
        <v>75</v>
      </c>
      <c r="J3145" s="55"/>
      <c r="K3145" s="53" t="s">
        <v>80</v>
      </c>
      <c r="L3145" s="53" t="s">
        <v>76</v>
      </c>
      <c r="M3145" s="53">
        <v>2881.0</v>
      </c>
      <c r="N3145" s="53">
        <v>560.0</v>
      </c>
      <c r="O3145" s="53">
        <v>18.28</v>
      </c>
      <c r="P3145" s="55">
        <f t="shared" si="254"/>
        <v>10236.8</v>
      </c>
      <c r="Q3145" s="53">
        <v>1085.0</v>
      </c>
      <c r="R3145" s="105">
        <f t="shared" si="255"/>
        <v>11321.8</v>
      </c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</row>
    <row r="3146">
      <c r="A3146" s="2"/>
      <c r="B3146" s="8"/>
      <c r="C3146" s="6"/>
      <c r="D3146" s="6"/>
      <c r="E3146" s="6"/>
      <c r="F3146" s="6"/>
      <c r="G3146" s="6"/>
      <c r="H3146" s="6"/>
      <c r="I3146" s="6"/>
      <c r="J3146" s="6"/>
      <c r="K3146" s="6"/>
      <c r="L3146" s="6"/>
      <c r="M3146" s="6"/>
      <c r="N3146" s="6"/>
      <c r="O3146" s="6"/>
      <c r="P3146" s="6"/>
      <c r="Q3146" s="6"/>
      <c r="R3146" s="65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</row>
    <row r="3147">
      <c r="A3147" s="2"/>
      <c r="B3147" s="67" t="s">
        <v>64</v>
      </c>
      <c r="C3147" s="68"/>
      <c r="D3147" s="69" t="str">
        <f>MONEYTEXT(R3147, "INR")</f>
        <v/>
      </c>
      <c r="E3147" s="68"/>
      <c r="F3147" s="68"/>
      <c r="G3147" s="68"/>
      <c r="H3147" s="68"/>
      <c r="I3147" s="68"/>
      <c r="J3147" s="68"/>
      <c r="K3147" s="68"/>
      <c r="L3147" s="68"/>
      <c r="M3147" s="68"/>
      <c r="N3147" s="70" t="s">
        <v>65</v>
      </c>
      <c r="O3147" s="4"/>
      <c r="P3147" s="96">
        <f t="shared" ref="P3147:R3147" si="256">SUM(P3136:P3145)</f>
        <v>59158.49</v>
      </c>
      <c r="Q3147" s="96">
        <f t="shared" si="256"/>
        <v>2420</v>
      </c>
      <c r="R3147" s="96">
        <f t="shared" si="256"/>
        <v>61578.49</v>
      </c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</row>
    <row r="3148">
      <c r="A3148" s="2"/>
      <c r="B3148" s="67" t="s">
        <v>66</v>
      </c>
      <c r="C3148" s="68"/>
      <c r="D3148" s="68"/>
      <c r="E3148" s="68"/>
      <c r="F3148" s="68"/>
      <c r="G3148" s="68"/>
      <c r="H3148" s="68"/>
      <c r="I3148" s="68"/>
      <c r="J3148" s="68"/>
      <c r="K3148" s="68"/>
      <c r="L3148" s="68"/>
      <c r="M3148" s="68"/>
      <c r="N3148" s="68"/>
      <c r="O3148" s="76"/>
      <c r="P3148" s="97" t="s">
        <v>67</v>
      </c>
      <c r="Q3148" s="31"/>
      <c r="R3148" s="3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</row>
    <row r="3149">
      <c r="A3149" s="2"/>
      <c r="B3149" s="79" t="s">
        <v>68</v>
      </c>
      <c r="P3149" s="27"/>
      <c r="Q3149" s="27"/>
      <c r="R3149" s="83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</row>
    <row r="3150">
      <c r="A3150" s="2"/>
      <c r="B3150" s="79" t="s">
        <v>70</v>
      </c>
      <c r="P3150" s="27"/>
      <c r="Q3150" s="27"/>
      <c r="R3150" s="83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</row>
    <row r="3151">
      <c r="A3151" s="2"/>
      <c r="B3151" s="8"/>
      <c r="C3151" s="6"/>
      <c r="D3151" s="6"/>
      <c r="E3151" s="6"/>
      <c r="F3151" s="6"/>
      <c r="G3151" s="6"/>
      <c r="H3151" s="6"/>
      <c r="I3151" s="6"/>
      <c r="J3151" s="6"/>
      <c r="K3151" s="6"/>
      <c r="L3151" s="6"/>
      <c r="M3151" s="6"/>
      <c r="N3151" s="6"/>
      <c r="O3151" s="6"/>
      <c r="P3151" s="6"/>
      <c r="Q3151" s="6"/>
      <c r="R3151" s="65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</row>
    <row r="3152">
      <c r="A3152" s="2"/>
      <c r="B3152" s="8"/>
      <c r="C3152" s="6"/>
      <c r="D3152" s="6"/>
      <c r="E3152" s="6"/>
      <c r="F3152" s="6"/>
      <c r="G3152" s="6"/>
      <c r="H3152" s="6"/>
      <c r="I3152" s="6"/>
      <c r="J3152" s="6"/>
      <c r="K3152" s="19" t="s">
        <v>71</v>
      </c>
      <c r="L3152" s="6"/>
      <c r="M3152" s="6"/>
      <c r="N3152" s="6"/>
      <c r="O3152" s="6"/>
      <c r="P3152" s="9" t="s">
        <v>72</v>
      </c>
      <c r="R3152" s="10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</row>
    <row r="3153">
      <c r="A3153" s="2"/>
      <c r="B3153" s="88"/>
      <c r="C3153" s="34"/>
      <c r="D3153" s="34"/>
      <c r="E3153" s="34"/>
      <c r="F3153" s="34"/>
      <c r="G3153" s="34"/>
      <c r="H3153" s="34"/>
      <c r="I3153" s="34"/>
      <c r="J3153" s="34"/>
      <c r="K3153" s="34"/>
      <c r="L3153" s="34"/>
      <c r="M3153" s="34"/>
      <c r="N3153" s="34"/>
      <c r="O3153" s="34"/>
      <c r="P3153" s="34"/>
      <c r="Q3153" s="34"/>
      <c r="R3153" s="89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</row>
    <row r="3154">
      <c r="A3154" s="2"/>
      <c r="B3154" s="139"/>
      <c r="C3154" s="139"/>
      <c r="D3154" s="139"/>
      <c r="E3154" s="139"/>
      <c r="F3154" s="139"/>
      <c r="G3154" s="139"/>
      <c r="H3154" s="139"/>
      <c r="I3154" s="139"/>
      <c r="J3154" s="139"/>
      <c r="K3154" s="139"/>
      <c r="L3154" s="139"/>
      <c r="M3154" s="139"/>
      <c r="N3154" s="139"/>
      <c r="O3154" s="139"/>
      <c r="P3154" s="139"/>
      <c r="Q3154" s="139"/>
      <c r="R3154" s="139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</row>
    <row r="3155">
      <c r="A3155" s="2"/>
      <c r="B3155" s="139"/>
      <c r="C3155" s="139"/>
      <c r="D3155" s="139"/>
      <c r="E3155" s="139"/>
      <c r="F3155" s="139"/>
      <c r="G3155" s="139"/>
      <c r="H3155" s="139"/>
      <c r="I3155" s="139"/>
      <c r="J3155" s="139"/>
      <c r="K3155" s="139"/>
      <c r="L3155" s="139"/>
      <c r="M3155" s="139"/>
      <c r="N3155" s="139"/>
      <c r="O3155" s="139"/>
      <c r="P3155" s="139"/>
      <c r="Q3155" s="139"/>
      <c r="R3155" s="139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</row>
    <row r="3156">
      <c r="A3156" s="2"/>
      <c r="B3156" s="139"/>
      <c r="C3156" s="139"/>
      <c r="D3156" s="139"/>
      <c r="E3156" s="139"/>
      <c r="F3156" s="139"/>
      <c r="G3156" s="139"/>
      <c r="H3156" s="139"/>
      <c r="I3156" s="139"/>
      <c r="J3156" s="139"/>
      <c r="K3156" s="139"/>
      <c r="L3156" s="139"/>
      <c r="M3156" s="139"/>
      <c r="N3156" s="139"/>
      <c r="O3156" s="139"/>
      <c r="P3156" s="139"/>
      <c r="Q3156" s="139"/>
      <c r="R3156" s="139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</row>
    <row r="3157">
      <c r="A3157" s="2"/>
      <c r="B3157" s="139"/>
      <c r="C3157" s="139"/>
      <c r="D3157" s="139"/>
      <c r="E3157" s="139"/>
      <c r="F3157" s="139"/>
      <c r="G3157" s="139"/>
      <c r="H3157" s="139"/>
      <c r="I3157" s="139"/>
      <c r="J3157" s="139"/>
      <c r="K3157" s="139"/>
      <c r="L3157" s="139"/>
      <c r="M3157" s="139"/>
      <c r="N3157" s="139"/>
      <c r="O3157" s="139"/>
      <c r="P3157" s="139"/>
      <c r="Q3157" s="139"/>
      <c r="R3157" s="139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</row>
    <row r="3158">
      <c r="A3158" s="2"/>
      <c r="B3158" s="3" t="s">
        <v>1</v>
      </c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5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</row>
    <row r="3159">
      <c r="A3159" s="2"/>
      <c r="B3159" s="11"/>
      <c r="F3159" s="12"/>
      <c r="G3159" s="12"/>
      <c r="H3159" s="12"/>
      <c r="I3159" s="12"/>
      <c r="J3159" s="12" t="s">
        <v>2</v>
      </c>
      <c r="N3159" s="2"/>
      <c r="R3159" s="10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</row>
    <row r="3160">
      <c r="A3160" s="2"/>
      <c r="B3160" s="14"/>
      <c r="F3160" s="12"/>
      <c r="G3160" s="12"/>
      <c r="H3160" s="12"/>
      <c r="I3160" s="12"/>
      <c r="J3160" s="12" t="s">
        <v>3</v>
      </c>
      <c r="N3160" s="2"/>
      <c r="R3160" s="10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</row>
    <row r="3161">
      <c r="A3161" s="2"/>
      <c r="B3161" s="14" t="s">
        <v>4</v>
      </c>
      <c r="R3161" s="10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</row>
    <row r="3162">
      <c r="A3162" s="2"/>
      <c r="B3162" s="21" t="s">
        <v>5</v>
      </c>
      <c r="C3162" s="22" t="s">
        <v>6</v>
      </c>
      <c r="D3162" s="4"/>
      <c r="E3162" s="4"/>
      <c r="F3162" s="4"/>
      <c r="G3162" s="4"/>
      <c r="H3162" s="4"/>
      <c r="I3162" s="4"/>
      <c r="J3162" s="4"/>
      <c r="K3162" s="5"/>
      <c r="L3162" s="23" t="s">
        <v>7</v>
      </c>
      <c r="M3162" s="24"/>
      <c r="N3162" s="24"/>
      <c r="O3162" s="4"/>
      <c r="P3162" s="4"/>
      <c r="Q3162" s="4"/>
      <c r="R3162" s="5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</row>
    <row r="3163">
      <c r="A3163" s="2"/>
      <c r="B3163" s="28"/>
      <c r="C3163" s="29" t="s">
        <v>8</v>
      </c>
      <c r="K3163" s="10"/>
      <c r="L3163" s="23" t="s">
        <v>9</v>
      </c>
      <c r="M3163" s="2"/>
      <c r="N3163" s="2"/>
      <c r="R3163" s="10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</row>
    <row r="3164">
      <c r="A3164" s="2"/>
      <c r="B3164" s="21" t="s">
        <v>11</v>
      </c>
      <c r="C3164" s="35" t="s">
        <v>12</v>
      </c>
      <c r="D3164" s="31"/>
      <c r="E3164" s="31"/>
      <c r="F3164" s="31"/>
      <c r="G3164" s="31"/>
      <c r="H3164" s="31"/>
      <c r="I3164" s="31"/>
      <c r="J3164" s="31"/>
      <c r="K3164" s="32"/>
      <c r="L3164" s="23" t="s">
        <v>13</v>
      </c>
      <c r="M3164" s="36"/>
      <c r="N3164" s="36"/>
      <c r="O3164" s="31"/>
      <c r="P3164" s="31"/>
      <c r="Q3164" s="31"/>
      <c r="R3164" s="3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</row>
    <row r="3165">
      <c r="A3165" s="2"/>
      <c r="B3165" s="11"/>
      <c r="R3165" s="10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</row>
    <row r="3166">
      <c r="A3166" s="2"/>
      <c r="B3166" s="46" t="s">
        <v>15</v>
      </c>
      <c r="C3166" s="47" t="s">
        <v>16</v>
      </c>
      <c r="D3166" s="48" t="s">
        <v>17</v>
      </c>
      <c r="E3166" s="48" t="s">
        <v>18</v>
      </c>
      <c r="F3166" s="49" t="s">
        <v>19</v>
      </c>
      <c r="G3166" s="43"/>
      <c r="H3166" s="43"/>
      <c r="I3166" s="43"/>
      <c r="J3166" s="44"/>
      <c r="K3166" s="48" t="s">
        <v>20</v>
      </c>
      <c r="L3166" s="48" t="s">
        <v>21</v>
      </c>
      <c r="M3166" s="48" t="s">
        <v>22</v>
      </c>
      <c r="N3166" s="48" t="s">
        <v>23</v>
      </c>
      <c r="O3166" s="48" t="s">
        <v>24</v>
      </c>
      <c r="P3166" s="48" t="s">
        <v>25</v>
      </c>
      <c r="Q3166" s="48" t="s">
        <v>26</v>
      </c>
      <c r="R3166" s="50" t="s">
        <v>27</v>
      </c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</row>
    <row r="3167">
      <c r="A3167" s="2"/>
      <c r="B3167" s="52">
        <v>1.0</v>
      </c>
      <c r="C3167" s="53">
        <v>1.004774059E9</v>
      </c>
      <c r="D3167" s="53" t="s">
        <v>206</v>
      </c>
      <c r="E3167" s="53" t="s">
        <v>55</v>
      </c>
      <c r="F3167" s="53" t="s">
        <v>57</v>
      </c>
      <c r="G3167" s="53" t="s">
        <v>103</v>
      </c>
      <c r="H3167" s="53" t="s">
        <v>58</v>
      </c>
      <c r="I3167" s="53" t="s">
        <v>56</v>
      </c>
      <c r="J3167" s="53" t="s">
        <v>59</v>
      </c>
      <c r="K3167" s="53" t="s">
        <v>33</v>
      </c>
      <c r="L3167" s="53" t="s">
        <v>60</v>
      </c>
      <c r="M3167" s="53">
        <v>2037.0</v>
      </c>
      <c r="N3167" s="53">
        <v>572.0</v>
      </c>
      <c r="O3167" s="53">
        <v>15.53</v>
      </c>
      <c r="P3167" s="55">
        <f t="shared" ref="P3167:P3176" si="257">N3167*O3167</f>
        <v>8883.16</v>
      </c>
      <c r="Q3167" s="53">
        <v>330.0</v>
      </c>
      <c r="R3167" s="94">
        <v>9213.16</v>
      </c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</row>
    <row r="3168">
      <c r="A3168" s="2"/>
      <c r="B3168" s="52">
        <v>2.0</v>
      </c>
      <c r="C3168" s="53">
        <v>1.004774294E9</v>
      </c>
      <c r="D3168" s="53" t="s">
        <v>206</v>
      </c>
      <c r="E3168" s="53" t="s">
        <v>82</v>
      </c>
      <c r="F3168" s="53" t="s">
        <v>86</v>
      </c>
      <c r="G3168" s="53" t="s">
        <v>87</v>
      </c>
      <c r="H3168" s="53" t="s">
        <v>88</v>
      </c>
      <c r="I3168" s="53" t="s">
        <v>83</v>
      </c>
      <c r="J3168" s="53" t="s">
        <v>84</v>
      </c>
      <c r="K3168" s="53" t="s">
        <v>80</v>
      </c>
      <c r="L3168" s="53" t="s">
        <v>101</v>
      </c>
      <c r="M3168" s="53">
        <v>2820.0</v>
      </c>
      <c r="N3168" s="53">
        <v>484.0</v>
      </c>
      <c r="O3168" s="53">
        <v>18.28</v>
      </c>
      <c r="P3168" s="55">
        <f t="shared" si="257"/>
        <v>8847.52</v>
      </c>
      <c r="Q3168" s="283">
        <v>930.0</v>
      </c>
      <c r="R3168" s="105">
        <f t="shared" ref="R3168:R3176" si="258">P3168+Q3168</f>
        <v>9777.52</v>
      </c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</row>
    <row r="3169">
      <c r="A3169" s="12" t="s">
        <v>207</v>
      </c>
      <c r="B3169" s="52">
        <v>3.0</v>
      </c>
      <c r="C3169" s="53">
        <v>1.004775079E9</v>
      </c>
      <c r="D3169" s="53" t="s">
        <v>208</v>
      </c>
      <c r="E3169" s="53" t="s">
        <v>28</v>
      </c>
      <c r="F3169" s="53" t="s">
        <v>29</v>
      </c>
      <c r="G3169" s="53" t="s">
        <v>30</v>
      </c>
      <c r="H3169" s="53" t="s">
        <v>31</v>
      </c>
      <c r="I3169" s="53" t="s">
        <v>32</v>
      </c>
      <c r="J3169" s="55"/>
      <c r="K3169" s="53" t="s">
        <v>33</v>
      </c>
      <c r="L3169" s="53" t="s">
        <v>34</v>
      </c>
      <c r="M3169" s="53">
        <v>2006.0</v>
      </c>
      <c r="N3169" s="53">
        <v>246.0</v>
      </c>
      <c r="O3169" s="53">
        <v>15.53</v>
      </c>
      <c r="P3169" s="55">
        <f t="shared" si="257"/>
        <v>3820.38</v>
      </c>
      <c r="Q3169" s="55"/>
      <c r="R3169" s="105">
        <f t="shared" si="258"/>
        <v>3820.38</v>
      </c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</row>
    <row r="3170">
      <c r="A3170" s="2"/>
      <c r="B3170" s="52">
        <v>4.0</v>
      </c>
      <c r="C3170" s="53">
        <v>1.00477505E9</v>
      </c>
      <c r="D3170" s="53" t="s">
        <v>208</v>
      </c>
      <c r="E3170" s="53" t="s">
        <v>35</v>
      </c>
      <c r="F3170" s="53" t="s">
        <v>36</v>
      </c>
      <c r="G3170" s="53" t="s">
        <v>40</v>
      </c>
      <c r="H3170" s="53" t="s">
        <v>37</v>
      </c>
      <c r="I3170" s="55"/>
      <c r="J3170" s="55"/>
      <c r="K3170" s="53" t="s">
        <v>38</v>
      </c>
      <c r="L3170" s="53" t="s">
        <v>97</v>
      </c>
      <c r="M3170" s="53">
        <v>3312.0</v>
      </c>
      <c r="N3170" s="53">
        <v>200.0</v>
      </c>
      <c r="O3170" s="53">
        <v>19.28</v>
      </c>
      <c r="P3170" s="55">
        <f t="shared" si="257"/>
        <v>3856</v>
      </c>
      <c r="Q3170" s="55"/>
      <c r="R3170" s="105">
        <f t="shared" si="258"/>
        <v>3856</v>
      </c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</row>
    <row r="3171">
      <c r="A3171" s="2"/>
      <c r="B3171" s="52">
        <v>5.0</v>
      </c>
      <c r="C3171" s="53">
        <v>1.004775059E9</v>
      </c>
      <c r="D3171" s="53" t="s">
        <v>208</v>
      </c>
      <c r="E3171" s="53" t="s">
        <v>35</v>
      </c>
      <c r="F3171" s="53" t="s">
        <v>40</v>
      </c>
      <c r="G3171" s="53" t="s">
        <v>36</v>
      </c>
      <c r="H3171" s="55"/>
      <c r="I3171" s="55"/>
      <c r="J3171" s="55"/>
      <c r="K3171" s="53" t="s">
        <v>33</v>
      </c>
      <c r="L3171" s="53" t="s">
        <v>41</v>
      </c>
      <c r="M3171" s="53">
        <v>1844.0</v>
      </c>
      <c r="N3171" s="53">
        <v>150.0</v>
      </c>
      <c r="O3171" s="53">
        <v>15.53</v>
      </c>
      <c r="P3171" s="55">
        <f t="shared" si="257"/>
        <v>2329.5</v>
      </c>
      <c r="Q3171" s="55"/>
      <c r="R3171" s="105">
        <f t="shared" si="258"/>
        <v>2329.5</v>
      </c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</row>
    <row r="3172">
      <c r="A3172" s="2"/>
      <c r="B3172" s="52">
        <v>6.0</v>
      </c>
      <c r="C3172" s="53">
        <v>1.004775823E9</v>
      </c>
      <c r="D3172" s="53" t="s">
        <v>208</v>
      </c>
      <c r="E3172" s="53" t="s">
        <v>51</v>
      </c>
      <c r="F3172" s="53" t="s">
        <v>44</v>
      </c>
      <c r="G3172" s="55"/>
      <c r="H3172" s="55"/>
      <c r="I3172" s="55"/>
      <c r="J3172" s="55"/>
      <c r="K3172" s="53" t="s">
        <v>45</v>
      </c>
      <c r="L3172" s="53" t="s">
        <v>98</v>
      </c>
      <c r="M3172" s="53">
        <v>1667.0</v>
      </c>
      <c r="N3172" s="53">
        <v>230.0</v>
      </c>
      <c r="O3172" s="53">
        <v>15.53</v>
      </c>
      <c r="P3172" s="55">
        <f t="shared" si="257"/>
        <v>3571.9</v>
      </c>
      <c r="Q3172" s="55"/>
      <c r="R3172" s="105">
        <f t="shared" si="258"/>
        <v>3571.9</v>
      </c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</row>
    <row r="3173">
      <c r="A3173" s="2"/>
      <c r="B3173" s="52">
        <v>7.0</v>
      </c>
      <c r="C3173" s="53">
        <v>1.00477589E9</v>
      </c>
      <c r="D3173" s="53" t="s">
        <v>208</v>
      </c>
      <c r="E3173" s="53" t="s">
        <v>51</v>
      </c>
      <c r="F3173" s="53" t="s">
        <v>44</v>
      </c>
      <c r="G3173" s="53"/>
      <c r="H3173" s="53"/>
      <c r="I3173" s="55"/>
      <c r="J3173" s="55"/>
      <c r="K3173" s="53" t="s">
        <v>45</v>
      </c>
      <c r="L3173" s="53" t="s">
        <v>50</v>
      </c>
      <c r="M3173" s="53">
        <v>1822.0</v>
      </c>
      <c r="N3173" s="53">
        <v>230.0</v>
      </c>
      <c r="O3173" s="53">
        <v>15.52</v>
      </c>
      <c r="P3173" s="55">
        <f t="shared" si="257"/>
        <v>3569.6</v>
      </c>
      <c r="Q3173" s="55"/>
      <c r="R3173" s="105">
        <f t="shared" si="258"/>
        <v>3569.6</v>
      </c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</row>
    <row r="3174">
      <c r="A3174" s="2"/>
      <c r="B3174" s="52">
        <v>8.0</v>
      </c>
      <c r="C3174" s="53">
        <v>1.004775892E9</v>
      </c>
      <c r="D3174" s="53" t="s">
        <v>208</v>
      </c>
      <c r="E3174" s="53" t="s">
        <v>51</v>
      </c>
      <c r="F3174" s="53" t="s">
        <v>44</v>
      </c>
      <c r="G3174" s="53" t="s">
        <v>49</v>
      </c>
      <c r="H3174" s="53"/>
      <c r="I3174" s="55"/>
      <c r="J3174" s="55"/>
      <c r="K3174" s="53" t="s">
        <v>45</v>
      </c>
      <c r="L3174" s="53" t="s">
        <v>52</v>
      </c>
      <c r="M3174" s="53">
        <v>1523.0</v>
      </c>
      <c r="N3174" s="53">
        <v>230.0</v>
      </c>
      <c r="O3174" s="53">
        <v>15.53</v>
      </c>
      <c r="P3174" s="55">
        <f t="shared" si="257"/>
        <v>3571.9</v>
      </c>
      <c r="Q3174" s="55"/>
      <c r="R3174" s="105">
        <f t="shared" si="258"/>
        <v>3571.9</v>
      </c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</row>
    <row r="3175">
      <c r="A3175" s="2"/>
      <c r="B3175" s="52">
        <v>9.0</v>
      </c>
      <c r="C3175" s="53">
        <v>1.004775805E9</v>
      </c>
      <c r="D3175" s="53" t="s">
        <v>208</v>
      </c>
      <c r="E3175" s="53" t="s">
        <v>51</v>
      </c>
      <c r="F3175" s="53" t="s">
        <v>44</v>
      </c>
      <c r="G3175" s="53" t="s">
        <v>49</v>
      </c>
      <c r="H3175" s="53"/>
      <c r="I3175" s="55"/>
      <c r="J3175" s="55"/>
      <c r="K3175" s="53" t="s">
        <v>45</v>
      </c>
      <c r="L3175" s="53" t="s">
        <v>54</v>
      </c>
      <c r="M3175" s="53">
        <v>1507.0</v>
      </c>
      <c r="N3175" s="53">
        <v>230.0</v>
      </c>
      <c r="O3175" s="53">
        <v>15.53</v>
      </c>
      <c r="P3175" s="55">
        <f t="shared" si="257"/>
        <v>3571.9</v>
      </c>
      <c r="Q3175" s="53"/>
      <c r="R3175" s="105">
        <f t="shared" si="258"/>
        <v>3571.9</v>
      </c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</row>
    <row r="3176">
      <c r="A3176" s="2"/>
      <c r="B3176" s="52">
        <v>10.0</v>
      </c>
      <c r="C3176" s="53">
        <v>1.004776063E9</v>
      </c>
      <c r="D3176" s="53" t="s">
        <v>208</v>
      </c>
      <c r="E3176" s="53" t="s">
        <v>55</v>
      </c>
      <c r="F3176" s="53" t="s">
        <v>56</v>
      </c>
      <c r="G3176" s="53" t="s">
        <v>57</v>
      </c>
      <c r="H3176" s="53" t="s">
        <v>103</v>
      </c>
      <c r="I3176" s="53" t="s">
        <v>58</v>
      </c>
      <c r="J3176" s="53" t="s">
        <v>59</v>
      </c>
      <c r="K3176" s="53" t="s">
        <v>38</v>
      </c>
      <c r="L3176" s="53" t="s">
        <v>105</v>
      </c>
      <c r="M3176" s="53">
        <v>3563.0</v>
      </c>
      <c r="N3176" s="53">
        <v>572.0</v>
      </c>
      <c r="O3176" s="53">
        <v>19.28</v>
      </c>
      <c r="P3176" s="55">
        <f t="shared" si="257"/>
        <v>11028.16</v>
      </c>
      <c r="Q3176" s="53"/>
      <c r="R3176" s="105">
        <f t="shared" si="258"/>
        <v>11028.16</v>
      </c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</row>
    <row r="3177">
      <c r="A3177" s="2"/>
      <c r="B3177" s="8"/>
      <c r="C3177" s="6"/>
      <c r="D3177" s="6"/>
      <c r="E3177" s="6"/>
      <c r="F3177" s="6"/>
      <c r="G3177" s="6"/>
      <c r="H3177" s="6"/>
      <c r="I3177" s="6"/>
      <c r="J3177" s="6"/>
      <c r="K3177" s="6"/>
      <c r="L3177" s="6"/>
      <c r="M3177" s="6"/>
      <c r="N3177" s="6"/>
      <c r="O3177" s="6"/>
      <c r="P3177" s="6"/>
      <c r="Q3177" s="6"/>
      <c r="R3177" s="65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</row>
    <row r="3178">
      <c r="A3178" s="2"/>
      <c r="B3178" s="67" t="s">
        <v>64</v>
      </c>
      <c r="C3178" s="68"/>
      <c r="D3178" s="69" t="str">
        <f>MONEYTEXT(R3178, "INR")</f>
        <v/>
      </c>
      <c r="E3178" s="68"/>
      <c r="F3178" s="68"/>
      <c r="G3178" s="68"/>
      <c r="H3178" s="68"/>
      <c r="I3178" s="68"/>
      <c r="J3178" s="68"/>
      <c r="K3178" s="68"/>
      <c r="L3178" s="68"/>
      <c r="M3178" s="68"/>
      <c r="N3178" s="70" t="s">
        <v>65</v>
      </c>
      <c r="O3178" s="4"/>
      <c r="P3178" s="96">
        <f t="shared" ref="P3178:R3178" si="259">SUM(P3167:P3176)</f>
        <v>53050.02</v>
      </c>
      <c r="Q3178" s="96">
        <f t="shared" si="259"/>
        <v>1260</v>
      </c>
      <c r="R3178" s="96">
        <f t="shared" si="259"/>
        <v>54310.02</v>
      </c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</row>
    <row r="3179">
      <c r="A3179" s="2"/>
      <c r="B3179" s="72" t="s">
        <v>66</v>
      </c>
      <c r="C3179" s="68"/>
      <c r="D3179" s="68"/>
      <c r="E3179" s="68"/>
      <c r="F3179" s="68"/>
      <c r="G3179" s="68"/>
      <c r="H3179" s="68"/>
      <c r="I3179" s="68"/>
      <c r="J3179" s="68"/>
      <c r="K3179" s="68"/>
      <c r="L3179" s="68"/>
      <c r="M3179" s="68"/>
      <c r="N3179" s="68"/>
      <c r="O3179" s="76"/>
      <c r="P3179" s="78" t="s">
        <v>67</v>
      </c>
      <c r="Q3179" s="31"/>
      <c r="R3179" s="3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</row>
    <row r="3180">
      <c r="A3180" s="2"/>
      <c r="B3180" s="81" t="s">
        <v>68</v>
      </c>
      <c r="P3180" s="29"/>
      <c r="Q3180" s="29"/>
      <c r="R3180" s="8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</row>
    <row r="3181">
      <c r="A3181" s="2"/>
      <c r="B3181" s="81" t="s">
        <v>70</v>
      </c>
      <c r="P3181" s="29"/>
      <c r="Q3181" s="29"/>
      <c r="R3181" s="8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</row>
    <row r="3182">
      <c r="A3182" s="2"/>
      <c r="B3182" s="11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66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</row>
    <row r="3183">
      <c r="A3183" s="2"/>
      <c r="B3183" s="11"/>
      <c r="C3183" s="2"/>
      <c r="D3183" s="2"/>
      <c r="E3183" s="2"/>
      <c r="F3183" s="2"/>
      <c r="G3183" s="2"/>
      <c r="H3183" s="2"/>
      <c r="I3183" s="2"/>
      <c r="J3183" s="2"/>
      <c r="K3183" s="87" t="s">
        <v>71</v>
      </c>
      <c r="L3183" s="2"/>
      <c r="M3183" s="2"/>
      <c r="N3183" s="2"/>
      <c r="O3183" s="2"/>
      <c r="P3183" s="12" t="s">
        <v>72</v>
      </c>
      <c r="R3183" s="10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</row>
    <row r="3184">
      <c r="A3184" s="2"/>
      <c r="B3184" s="90"/>
      <c r="C3184" s="36"/>
      <c r="D3184" s="36"/>
      <c r="E3184" s="36"/>
      <c r="F3184" s="36"/>
      <c r="G3184" s="36"/>
      <c r="H3184" s="36"/>
      <c r="I3184" s="36"/>
      <c r="J3184" s="36"/>
      <c r="K3184" s="36"/>
      <c r="L3184" s="36"/>
      <c r="M3184" s="36"/>
      <c r="N3184" s="36"/>
      <c r="O3184" s="36"/>
      <c r="P3184" s="36"/>
      <c r="Q3184" s="36"/>
      <c r="R3184" s="91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</row>
    <row r="3185">
      <c r="A3185" s="2"/>
      <c r="B3185" s="177"/>
      <c r="C3185" s="177"/>
      <c r="D3185" s="177"/>
      <c r="E3185" s="177"/>
      <c r="F3185" s="177"/>
      <c r="G3185" s="177"/>
      <c r="H3185" s="177"/>
      <c r="I3185" s="177"/>
      <c r="J3185" s="177"/>
      <c r="K3185" s="177"/>
      <c r="L3185" s="177"/>
      <c r="M3185" s="177"/>
      <c r="N3185" s="177"/>
      <c r="O3185" s="177"/>
      <c r="P3185" s="177"/>
      <c r="Q3185" s="177"/>
      <c r="R3185" s="177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</row>
    <row r="3186">
      <c r="A3186" s="2"/>
      <c r="B3186" s="177"/>
      <c r="C3186" s="177"/>
      <c r="D3186" s="177"/>
      <c r="E3186" s="177"/>
      <c r="F3186" s="177"/>
      <c r="G3186" s="177"/>
      <c r="H3186" s="177"/>
      <c r="I3186" s="177"/>
      <c r="J3186" s="177"/>
      <c r="K3186" s="177"/>
      <c r="L3186" s="177"/>
      <c r="M3186" s="177"/>
      <c r="N3186" s="177"/>
      <c r="O3186" s="177"/>
      <c r="P3186" s="177"/>
      <c r="Q3186" s="177"/>
      <c r="R3186" s="177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</row>
    <row r="3187">
      <c r="A3187" s="2"/>
      <c r="B3187" s="177"/>
      <c r="C3187" s="177"/>
      <c r="D3187" s="177"/>
      <c r="E3187" s="177"/>
      <c r="F3187" s="177"/>
      <c r="G3187" s="177"/>
      <c r="H3187" s="177"/>
      <c r="I3187" s="177"/>
      <c r="J3187" s="177"/>
      <c r="K3187" s="177"/>
      <c r="L3187" s="177"/>
      <c r="M3187" s="177"/>
      <c r="N3187" s="177"/>
      <c r="O3187" s="177"/>
      <c r="P3187" s="177"/>
      <c r="Q3187" s="177"/>
      <c r="R3187" s="177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</row>
    <row r="3188">
      <c r="A3188" s="2"/>
      <c r="B3188" s="3" t="s">
        <v>1</v>
      </c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5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</row>
    <row r="3189">
      <c r="A3189" s="2"/>
      <c r="B3189" s="11"/>
      <c r="F3189" s="12"/>
      <c r="G3189" s="12"/>
      <c r="H3189" s="12"/>
      <c r="I3189" s="12"/>
      <c r="J3189" s="12" t="s">
        <v>2</v>
      </c>
      <c r="N3189" s="2"/>
      <c r="R3189" s="10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</row>
    <row r="3190">
      <c r="A3190" s="2"/>
      <c r="B3190" s="14"/>
      <c r="F3190" s="12"/>
      <c r="G3190" s="12"/>
      <c r="H3190" s="12"/>
      <c r="I3190" s="12"/>
      <c r="J3190" s="12" t="s">
        <v>3</v>
      </c>
      <c r="N3190" s="2"/>
      <c r="R3190" s="10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</row>
    <row r="3191">
      <c r="A3191" s="2"/>
      <c r="B3191" s="14" t="s">
        <v>4</v>
      </c>
      <c r="R3191" s="10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</row>
    <row r="3192">
      <c r="A3192" s="2"/>
      <c r="B3192" s="21" t="s">
        <v>5</v>
      </c>
      <c r="C3192" s="22" t="s">
        <v>6</v>
      </c>
      <c r="D3192" s="4"/>
      <c r="E3192" s="4"/>
      <c r="F3192" s="4"/>
      <c r="G3192" s="4"/>
      <c r="H3192" s="4"/>
      <c r="I3192" s="4"/>
      <c r="J3192" s="4"/>
      <c r="K3192" s="5"/>
      <c r="L3192" s="23" t="s">
        <v>7</v>
      </c>
      <c r="M3192" s="24"/>
      <c r="N3192" s="24"/>
      <c r="O3192" s="4"/>
      <c r="P3192" s="4"/>
      <c r="Q3192" s="4"/>
      <c r="R3192" s="5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</row>
    <row r="3193">
      <c r="A3193" s="2"/>
      <c r="B3193" s="28"/>
      <c r="C3193" s="29" t="s">
        <v>8</v>
      </c>
      <c r="K3193" s="10"/>
      <c r="L3193" s="23" t="s">
        <v>9</v>
      </c>
      <c r="M3193" s="2"/>
      <c r="N3193" s="2"/>
      <c r="R3193" s="10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</row>
    <row r="3194">
      <c r="A3194" s="2"/>
      <c r="B3194" s="21" t="s">
        <v>11</v>
      </c>
      <c r="C3194" s="35" t="s">
        <v>12</v>
      </c>
      <c r="D3194" s="31"/>
      <c r="E3194" s="31"/>
      <c r="F3194" s="31"/>
      <c r="G3194" s="31"/>
      <c r="H3194" s="31"/>
      <c r="I3194" s="31"/>
      <c r="J3194" s="31"/>
      <c r="K3194" s="32"/>
      <c r="L3194" s="23" t="s">
        <v>13</v>
      </c>
      <c r="M3194" s="36"/>
      <c r="N3194" s="36"/>
      <c r="O3194" s="31"/>
      <c r="P3194" s="31"/>
      <c r="Q3194" s="31"/>
      <c r="R3194" s="3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</row>
    <row r="3195">
      <c r="A3195" s="2"/>
      <c r="B3195" s="11"/>
      <c r="R3195" s="10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</row>
    <row r="3196">
      <c r="A3196" s="2"/>
      <c r="B3196" s="46" t="s">
        <v>15</v>
      </c>
      <c r="C3196" s="47" t="s">
        <v>16</v>
      </c>
      <c r="D3196" s="48" t="s">
        <v>17</v>
      </c>
      <c r="E3196" s="48" t="s">
        <v>18</v>
      </c>
      <c r="F3196" s="49" t="s">
        <v>19</v>
      </c>
      <c r="G3196" s="43"/>
      <c r="H3196" s="43"/>
      <c r="I3196" s="43"/>
      <c r="J3196" s="44"/>
      <c r="K3196" s="48" t="s">
        <v>20</v>
      </c>
      <c r="L3196" s="48" t="s">
        <v>21</v>
      </c>
      <c r="M3196" s="48" t="s">
        <v>22</v>
      </c>
      <c r="N3196" s="48" t="s">
        <v>23</v>
      </c>
      <c r="O3196" s="48" t="s">
        <v>24</v>
      </c>
      <c r="P3196" s="48" t="s">
        <v>25</v>
      </c>
      <c r="Q3196" s="48" t="s">
        <v>26</v>
      </c>
      <c r="R3196" s="50" t="s">
        <v>27</v>
      </c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</row>
    <row r="3197">
      <c r="A3197" s="2"/>
      <c r="B3197" s="52">
        <v>1.0</v>
      </c>
      <c r="C3197" s="53">
        <v>1.004776445E9</v>
      </c>
      <c r="D3197" s="53" t="s">
        <v>208</v>
      </c>
      <c r="E3197" s="53" t="s">
        <v>77</v>
      </c>
      <c r="F3197" s="53" t="s">
        <v>116</v>
      </c>
      <c r="G3197" s="53" t="s">
        <v>78</v>
      </c>
      <c r="H3197" s="53" t="s">
        <v>79</v>
      </c>
      <c r="I3197" s="55"/>
      <c r="J3197" s="55"/>
      <c r="K3197" s="53" t="s">
        <v>80</v>
      </c>
      <c r="L3197" s="53" t="s">
        <v>101</v>
      </c>
      <c r="M3197" s="53">
        <v>2645.0</v>
      </c>
      <c r="N3197" s="53">
        <v>416.0</v>
      </c>
      <c r="O3197" s="53">
        <v>18.28</v>
      </c>
      <c r="P3197" s="55">
        <f t="shared" ref="P3197:P3206" si="260">N3197*O3197</f>
        <v>7604.48</v>
      </c>
      <c r="Q3197" s="53"/>
      <c r="R3197" s="94">
        <v>7604.48</v>
      </c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</row>
    <row r="3198">
      <c r="A3198" s="2"/>
      <c r="B3198" s="52">
        <v>2.0</v>
      </c>
      <c r="C3198" s="53">
        <v>1.004776309E9</v>
      </c>
      <c r="D3198" s="53" t="s">
        <v>208</v>
      </c>
      <c r="E3198" s="53" t="s">
        <v>82</v>
      </c>
      <c r="F3198" s="53" t="s">
        <v>87</v>
      </c>
      <c r="G3198" s="53" t="s">
        <v>83</v>
      </c>
      <c r="H3198" s="53" t="s">
        <v>86</v>
      </c>
      <c r="I3198" s="53" t="s">
        <v>88</v>
      </c>
      <c r="J3198" s="53" t="s">
        <v>84</v>
      </c>
      <c r="K3198" s="53" t="s">
        <v>38</v>
      </c>
      <c r="L3198" s="53" t="s">
        <v>101</v>
      </c>
      <c r="M3198" s="53">
        <v>3272.0</v>
      </c>
      <c r="N3198" s="53">
        <v>484.0</v>
      </c>
      <c r="O3198" s="53">
        <v>19.28</v>
      </c>
      <c r="P3198" s="55">
        <f t="shared" si="260"/>
        <v>9331.52</v>
      </c>
      <c r="Q3198" s="53">
        <v>930.0</v>
      </c>
      <c r="R3198" s="94">
        <v>10261.52</v>
      </c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</row>
    <row r="3199">
      <c r="A3199" s="2"/>
      <c r="B3199" s="52">
        <v>3.0</v>
      </c>
      <c r="C3199" s="53">
        <v>1.004776348E9</v>
      </c>
      <c r="D3199" s="53" t="s">
        <v>208</v>
      </c>
      <c r="E3199" s="53" t="s">
        <v>106</v>
      </c>
      <c r="F3199" s="53" t="s">
        <v>107</v>
      </c>
      <c r="G3199" s="53" t="s">
        <v>108</v>
      </c>
      <c r="H3199" s="53" t="s">
        <v>109</v>
      </c>
      <c r="I3199" s="55"/>
      <c r="J3199" s="53"/>
      <c r="K3199" s="53" t="s">
        <v>38</v>
      </c>
      <c r="L3199" s="53" t="s">
        <v>110</v>
      </c>
      <c r="M3199" s="53">
        <v>3193.0</v>
      </c>
      <c r="N3199" s="53">
        <v>482.0</v>
      </c>
      <c r="O3199" s="53">
        <v>19.28</v>
      </c>
      <c r="P3199" s="55">
        <f t="shared" si="260"/>
        <v>9292.96</v>
      </c>
      <c r="Q3199" s="53">
        <v>1025.0</v>
      </c>
      <c r="R3199" s="105">
        <f t="shared" ref="R3199:R3206" si="261">P3199+Q3199</f>
        <v>10317.96</v>
      </c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</row>
    <row r="3200">
      <c r="A3200" s="2"/>
      <c r="B3200" s="52">
        <v>4.0</v>
      </c>
      <c r="C3200" s="53">
        <v>1.004776384E9</v>
      </c>
      <c r="D3200" s="53" t="s">
        <v>208</v>
      </c>
      <c r="E3200" s="53" t="s">
        <v>90</v>
      </c>
      <c r="F3200" s="53" t="s">
        <v>91</v>
      </c>
      <c r="G3200" s="53" t="s">
        <v>83</v>
      </c>
      <c r="H3200" s="55"/>
      <c r="I3200" s="55"/>
      <c r="J3200" s="55"/>
      <c r="K3200" s="53" t="s">
        <v>33</v>
      </c>
      <c r="L3200" s="53" t="s">
        <v>95</v>
      </c>
      <c r="M3200" s="53">
        <v>2031.0</v>
      </c>
      <c r="N3200" s="53">
        <v>216.0</v>
      </c>
      <c r="O3200" s="53">
        <v>15.53</v>
      </c>
      <c r="P3200" s="55">
        <f t="shared" si="260"/>
        <v>3354.48</v>
      </c>
      <c r="Q3200" s="55"/>
      <c r="R3200" s="105">
        <f t="shared" si="261"/>
        <v>3354.48</v>
      </c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</row>
    <row r="3201">
      <c r="A3201" s="2"/>
      <c r="B3201" s="52">
        <v>5.0</v>
      </c>
      <c r="C3201" s="53">
        <v>1.00477638E9</v>
      </c>
      <c r="D3201" s="53" t="s">
        <v>208</v>
      </c>
      <c r="E3201" s="53" t="s">
        <v>90</v>
      </c>
      <c r="F3201" s="53" t="s">
        <v>91</v>
      </c>
      <c r="G3201" s="53" t="s">
        <v>92</v>
      </c>
      <c r="H3201" s="53" t="s">
        <v>93</v>
      </c>
      <c r="I3201" s="53" t="s">
        <v>94</v>
      </c>
      <c r="J3201" s="55"/>
      <c r="K3201" s="53" t="s">
        <v>38</v>
      </c>
      <c r="L3201" s="53" t="s">
        <v>102</v>
      </c>
      <c r="M3201" s="53">
        <v>3448.0</v>
      </c>
      <c r="N3201" s="53">
        <v>405.0</v>
      </c>
      <c r="O3201" s="53">
        <v>19.28</v>
      </c>
      <c r="P3201" s="55">
        <f t="shared" si="260"/>
        <v>7808.4</v>
      </c>
      <c r="Q3201" s="53">
        <v>500.0</v>
      </c>
      <c r="R3201" s="105">
        <f t="shared" si="261"/>
        <v>8308.4</v>
      </c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</row>
    <row r="3202">
      <c r="A3202" s="2"/>
      <c r="B3202" s="52">
        <v>6.0</v>
      </c>
      <c r="C3202" s="53"/>
      <c r="D3202" s="54"/>
      <c r="E3202" s="53"/>
      <c r="F3202" s="53"/>
      <c r="G3202" s="55"/>
      <c r="H3202" s="55"/>
      <c r="I3202" s="55"/>
      <c r="J3202" s="55"/>
      <c r="K3202" s="53"/>
      <c r="L3202" s="53"/>
      <c r="M3202" s="53"/>
      <c r="N3202" s="53"/>
      <c r="O3202" s="53"/>
      <c r="P3202" s="55">
        <f t="shared" si="260"/>
        <v>0</v>
      </c>
      <c r="Q3202" s="55"/>
      <c r="R3202" s="105">
        <f t="shared" si="261"/>
        <v>0</v>
      </c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</row>
    <row r="3203">
      <c r="A3203" s="2"/>
      <c r="B3203" s="52">
        <v>7.0</v>
      </c>
      <c r="C3203" s="53"/>
      <c r="D3203" s="54"/>
      <c r="E3203" s="53"/>
      <c r="F3203" s="53"/>
      <c r="G3203" s="53"/>
      <c r="H3203" s="53"/>
      <c r="I3203" s="55"/>
      <c r="J3203" s="55"/>
      <c r="K3203" s="53"/>
      <c r="L3203" s="53"/>
      <c r="M3203" s="53"/>
      <c r="N3203" s="53"/>
      <c r="O3203" s="53"/>
      <c r="P3203" s="55">
        <f t="shared" si="260"/>
        <v>0</v>
      </c>
      <c r="Q3203" s="55"/>
      <c r="R3203" s="105">
        <f t="shared" si="261"/>
        <v>0</v>
      </c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</row>
    <row r="3204">
      <c r="A3204" s="2"/>
      <c r="B3204" s="52">
        <v>8.0</v>
      </c>
      <c r="C3204" s="53"/>
      <c r="D3204" s="54"/>
      <c r="E3204" s="53"/>
      <c r="F3204" s="53"/>
      <c r="G3204" s="53"/>
      <c r="H3204" s="53"/>
      <c r="I3204" s="55"/>
      <c r="J3204" s="55"/>
      <c r="K3204" s="53"/>
      <c r="L3204" s="53"/>
      <c r="M3204" s="53"/>
      <c r="N3204" s="53"/>
      <c r="O3204" s="53"/>
      <c r="P3204" s="55">
        <f t="shared" si="260"/>
        <v>0</v>
      </c>
      <c r="Q3204" s="55"/>
      <c r="R3204" s="105">
        <f t="shared" si="261"/>
        <v>0</v>
      </c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</row>
    <row r="3205">
      <c r="A3205" s="2"/>
      <c r="B3205" s="52">
        <v>9.0</v>
      </c>
      <c r="C3205" s="53"/>
      <c r="D3205" s="54"/>
      <c r="E3205" s="53"/>
      <c r="F3205" s="53"/>
      <c r="G3205" s="55"/>
      <c r="H3205" s="53"/>
      <c r="I3205" s="55"/>
      <c r="J3205" s="55"/>
      <c r="K3205" s="53"/>
      <c r="L3205" s="53"/>
      <c r="M3205" s="53"/>
      <c r="N3205" s="53"/>
      <c r="O3205" s="53"/>
      <c r="P3205" s="55">
        <f t="shared" si="260"/>
        <v>0</v>
      </c>
      <c r="Q3205" s="53"/>
      <c r="R3205" s="105">
        <f t="shared" si="261"/>
        <v>0</v>
      </c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</row>
    <row r="3206">
      <c r="A3206" s="2"/>
      <c r="B3206" s="52">
        <v>10.0</v>
      </c>
      <c r="C3206" s="53"/>
      <c r="D3206" s="54"/>
      <c r="E3206" s="53"/>
      <c r="F3206" s="53"/>
      <c r="G3206" s="55"/>
      <c r="H3206" s="55"/>
      <c r="I3206" s="55"/>
      <c r="J3206" s="55"/>
      <c r="K3206" s="53"/>
      <c r="L3206" s="53"/>
      <c r="M3206" s="53"/>
      <c r="N3206" s="53"/>
      <c r="O3206" s="53"/>
      <c r="P3206" s="55">
        <f t="shared" si="260"/>
        <v>0</v>
      </c>
      <c r="Q3206" s="53"/>
      <c r="R3206" s="105">
        <f t="shared" si="261"/>
        <v>0</v>
      </c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</row>
    <row r="3207">
      <c r="A3207" s="2"/>
      <c r="B3207" s="8"/>
      <c r="C3207" s="6"/>
      <c r="D3207" s="6"/>
      <c r="E3207" s="6"/>
      <c r="F3207" s="6"/>
      <c r="G3207" s="6"/>
      <c r="H3207" s="6"/>
      <c r="I3207" s="6"/>
      <c r="J3207" s="6"/>
      <c r="K3207" s="6"/>
      <c r="L3207" s="6"/>
      <c r="M3207" s="6"/>
      <c r="N3207" s="6"/>
      <c r="O3207" s="6"/>
      <c r="P3207" s="6"/>
      <c r="Q3207" s="6"/>
      <c r="R3207" s="65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</row>
    <row r="3208">
      <c r="A3208" s="2"/>
      <c r="B3208" s="67" t="s">
        <v>64</v>
      </c>
      <c r="C3208" s="68"/>
      <c r="D3208" s="69" t="str">
        <f>MONEYTEXT(R3208, "INR")</f>
        <v>Thirty-nine thousand eight hundred forty-six Indian rupees and eighty-four paise</v>
      </c>
      <c r="E3208" s="68"/>
      <c r="F3208" s="68"/>
      <c r="G3208" s="68"/>
      <c r="H3208" s="68"/>
      <c r="I3208" s="68"/>
      <c r="J3208" s="68"/>
      <c r="K3208" s="68"/>
      <c r="L3208" s="68"/>
      <c r="M3208" s="68"/>
      <c r="N3208" s="70" t="s">
        <v>65</v>
      </c>
      <c r="O3208" s="4"/>
      <c r="P3208" s="96">
        <f t="shared" ref="P3208:R3208" si="262">SUM(P3197:P3206)</f>
        <v>37391.84</v>
      </c>
      <c r="Q3208" s="96">
        <f t="shared" si="262"/>
        <v>2455</v>
      </c>
      <c r="R3208" s="96">
        <f t="shared" si="262"/>
        <v>39846.84</v>
      </c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</row>
    <row r="3209">
      <c r="A3209" s="2"/>
      <c r="B3209" s="72" t="s">
        <v>66</v>
      </c>
      <c r="C3209" s="68"/>
      <c r="D3209" s="68"/>
      <c r="E3209" s="68"/>
      <c r="F3209" s="68"/>
      <c r="G3209" s="68"/>
      <c r="H3209" s="68"/>
      <c r="I3209" s="68"/>
      <c r="J3209" s="68"/>
      <c r="K3209" s="68"/>
      <c r="L3209" s="68"/>
      <c r="M3209" s="68"/>
      <c r="N3209" s="68"/>
      <c r="O3209" s="76"/>
      <c r="P3209" s="78" t="s">
        <v>67</v>
      </c>
      <c r="Q3209" s="31"/>
      <c r="R3209" s="3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</row>
    <row r="3210">
      <c r="A3210" s="2"/>
      <c r="B3210" s="81" t="s">
        <v>68</v>
      </c>
      <c r="P3210" s="29"/>
      <c r="Q3210" s="29"/>
      <c r="R3210" s="8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</row>
    <row r="3211">
      <c r="A3211" s="2"/>
      <c r="B3211" s="81" t="s">
        <v>70</v>
      </c>
      <c r="P3211" s="29"/>
      <c r="Q3211" s="29"/>
      <c r="R3211" s="8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</row>
    <row r="3212">
      <c r="A3212" s="2"/>
      <c r="B3212" s="11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66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</row>
    <row r="3213">
      <c r="A3213" s="2"/>
      <c r="B3213" s="11"/>
      <c r="C3213" s="2"/>
      <c r="D3213" s="2"/>
      <c r="E3213" s="2"/>
      <c r="F3213" s="2"/>
      <c r="G3213" s="2"/>
      <c r="H3213" s="2"/>
      <c r="I3213" s="2"/>
      <c r="J3213" s="2"/>
      <c r="K3213" s="87" t="s">
        <v>71</v>
      </c>
      <c r="L3213" s="2"/>
      <c r="M3213" s="2"/>
      <c r="N3213" s="2"/>
      <c r="O3213" s="2"/>
      <c r="P3213" s="12" t="s">
        <v>72</v>
      </c>
      <c r="R3213" s="10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</row>
    <row r="3214">
      <c r="A3214" s="2"/>
      <c r="B3214" s="90"/>
      <c r="C3214" s="36"/>
      <c r="D3214" s="36"/>
      <c r="E3214" s="36"/>
      <c r="F3214" s="36"/>
      <c r="G3214" s="36"/>
      <c r="H3214" s="36"/>
      <c r="I3214" s="36"/>
      <c r="J3214" s="36"/>
      <c r="K3214" s="36"/>
      <c r="L3214" s="36"/>
      <c r="M3214" s="36"/>
      <c r="N3214" s="36"/>
      <c r="O3214" s="36"/>
      <c r="P3214" s="36"/>
      <c r="Q3214" s="36"/>
      <c r="R3214" s="91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</row>
    <row r="321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</row>
    <row r="3216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</row>
    <row r="3217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</row>
    <row r="3218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</row>
    <row r="3219">
      <c r="A3219" s="2"/>
      <c r="B3219" s="3" t="s">
        <v>1</v>
      </c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5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</row>
    <row r="3220">
      <c r="A3220" s="2"/>
      <c r="B3220" s="11"/>
      <c r="F3220" s="12"/>
      <c r="G3220" s="12"/>
      <c r="H3220" s="12"/>
      <c r="I3220" s="12"/>
      <c r="J3220" s="12" t="s">
        <v>2</v>
      </c>
      <c r="N3220" s="2"/>
      <c r="R3220" s="10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</row>
    <row r="3221">
      <c r="A3221" s="2"/>
      <c r="B3221" s="14"/>
      <c r="F3221" s="12"/>
      <c r="G3221" s="12"/>
      <c r="H3221" s="12"/>
      <c r="I3221" s="12"/>
      <c r="J3221" s="12" t="s">
        <v>3</v>
      </c>
      <c r="N3221" s="2"/>
      <c r="R3221" s="10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</row>
    <row r="3222">
      <c r="A3222" s="2"/>
      <c r="B3222" s="14" t="s">
        <v>4</v>
      </c>
      <c r="R3222" s="10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</row>
    <row r="3223">
      <c r="A3223" s="2"/>
      <c r="B3223" s="21" t="s">
        <v>5</v>
      </c>
      <c r="C3223" s="22" t="s">
        <v>6</v>
      </c>
      <c r="D3223" s="4"/>
      <c r="E3223" s="4"/>
      <c r="F3223" s="4"/>
      <c r="G3223" s="4"/>
      <c r="H3223" s="4"/>
      <c r="I3223" s="4"/>
      <c r="J3223" s="4"/>
      <c r="K3223" s="5"/>
      <c r="L3223" s="23" t="s">
        <v>7</v>
      </c>
      <c r="M3223" s="24"/>
      <c r="N3223" s="24"/>
      <c r="O3223" s="4"/>
      <c r="P3223" s="4"/>
      <c r="Q3223" s="4"/>
      <c r="R3223" s="5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</row>
    <row r="3224">
      <c r="A3224" s="2"/>
      <c r="B3224" s="28"/>
      <c r="C3224" s="29" t="s">
        <v>8</v>
      </c>
      <c r="K3224" s="10"/>
      <c r="L3224" s="23" t="s">
        <v>9</v>
      </c>
      <c r="M3224" s="2"/>
      <c r="N3224" s="2"/>
      <c r="R3224" s="10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</row>
    <row r="3225">
      <c r="A3225" s="2"/>
      <c r="B3225" s="21" t="s">
        <v>11</v>
      </c>
      <c r="C3225" s="35" t="s">
        <v>12</v>
      </c>
      <c r="D3225" s="31"/>
      <c r="E3225" s="31"/>
      <c r="F3225" s="31"/>
      <c r="G3225" s="31"/>
      <c r="H3225" s="31"/>
      <c r="I3225" s="31"/>
      <c r="J3225" s="31"/>
      <c r="K3225" s="32"/>
      <c r="L3225" s="23" t="s">
        <v>13</v>
      </c>
      <c r="M3225" s="36"/>
      <c r="N3225" s="36"/>
      <c r="O3225" s="31"/>
      <c r="P3225" s="31"/>
      <c r="Q3225" s="31"/>
      <c r="R3225" s="3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</row>
    <row r="3226">
      <c r="A3226" s="2"/>
      <c r="B3226" s="11"/>
      <c r="R3226" s="10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</row>
    <row r="3227">
      <c r="A3227" s="2"/>
      <c r="B3227" s="46" t="s">
        <v>15</v>
      </c>
      <c r="C3227" s="47" t="s">
        <v>16</v>
      </c>
      <c r="D3227" s="48" t="s">
        <v>17</v>
      </c>
      <c r="E3227" s="48" t="s">
        <v>18</v>
      </c>
      <c r="F3227" s="49" t="s">
        <v>19</v>
      </c>
      <c r="G3227" s="43"/>
      <c r="H3227" s="43"/>
      <c r="I3227" s="43"/>
      <c r="J3227" s="44"/>
      <c r="K3227" s="48" t="s">
        <v>20</v>
      </c>
      <c r="L3227" s="48" t="s">
        <v>21</v>
      </c>
      <c r="M3227" s="48" t="s">
        <v>22</v>
      </c>
      <c r="N3227" s="48" t="s">
        <v>23</v>
      </c>
      <c r="O3227" s="48" t="s">
        <v>24</v>
      </c>
      <c r="P3227" s="48" t="s">
        <v>25</v>
      </c>
      <c r="Q3227" s="48" t="s">
        <v>26</v>
      </c>
      <c r="R3227" s="50" t="s">
        <v>27</v>
      </c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</row>
    <row r="3228">
      <c r="A3228" s="2"/>
      <c r="B3228" s="52">
        <v>1.0</v>
      </c>
      <c r="C3228" s="59">
        <v>1.004749584E9</v>
      </c>
      <c r="D3228" s="59" t="s">
        <v>189</v>
      </c>
      <c r="E3228" s="59" t="s">
        <v>47</v>
      </c>
      <c r="F3228" s="59" t="s">
        <v>44</v>
      </c>
      <c r="G3228" s="59" t="s">
        <v>48</v>
      </c>
      <c r="H3228" s="59"/>
      <c r="I3228" s="61"/>
      <c r="J3228" s="61"/>
      <c r="K3228" s="59" t="s">
        <v>45</v>
      </c>
      <c r="L3228" s="59" t="s">
        <v>50</v>
      </c>
      <c r="M3228" s="59">
        <v>1516.0</v>
      </c>
      <c r="N3228" s="59">
        <v>250.0</v>
      </c>
      <c r="O3228" s="59">
        <v>15.53</v>
      </c>
      <c r="P3228" s="61">
        <f t="shared" ref="P3228:P3237" si="263">N3228*O3228</f>
        <v>3882.5</v>
      </c>
      <c r="Q3228" s="59"/>
      <c r="R3228" s="240">
        <v>3882.5</v>
      </c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</row>
    <row r="3229">
      <c r="A3229" s="2"/>
      <c r="B3229" s="52">
        <v>2.0</v>
      </c>
      <c r="C3229" s="59">
        <v>1.00475959E9</v>
      </c>
      <c r="D3229" s="59" t="s">
        <v>195</v>
      </c>
      <c r="E3229" s="59" t="s">
        <v>77</v>
      </c>
      <c r="F3229" s="59" t="s">
        <v>78</v>
      </c>
      <c r="G3229" s="59" t="s">
        <v>79</v>
      </c>
      <c r="H3229" s="59"/>
      <c r="I3229" s="61"/>
      <c r="J3229" s="61"/>
      <c r="K3229" s="59" t="s">
        <v>38</v>
      </c>
      <c r="L3229" s="59" t="s">
        <v>209</v>
      </c>
      <c r="M3229" s="59">
        <v>3502.0</v>
      </c>
      <c r="N3229" s="59">
        <v>416.0</v>
      </c>
      <c r="O3229" s="59">
        <v>19.28</v>
      </c>
      <c r="P3229" s="61">
        <f t="shared" si="263"/>
        <v>8020.48</v>
      </c>
      <c r="Q3229" s="59">
        <v>505.0</v>
      </c>
      <c r="R3229" s="62">
        <f t="shared" ref="R3229:R3237" si="264">P3229+Q3229</f>
        <v>8525.48</v>
      </c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</row>
    <row r="3230">
      <c r="A3230" s="2"/>
      <c r="B3230" s="52">
        <v>3.0</v>
      </c>
      <c r="C3230" s="59"/>
      <c r="D3230" s="60"/>
      <c r="E3230" s="59"/>
      <c r="F3230" s="59"/>
      <c r="G3230" s="59"/>
      <c r="H3230" s="61"/>
      <c r="I3230" s="61"/>
      <c r="J3230" s="61"/>
      <c r="K3230" s="59"/>
      <c r="L3230" s="59"/>
      <c r="M3230" s="59"/>
      <c r="N3230" s="59"/>
      <c r="O3230" s="59"/>
      <c r="P3230" s="61">
        <f t="shared" si="263"/>
        <v>0</v>
      </c>
      <c r="Q3230" s="61"/>
      <c r="R3230" s="62">
        <f t="shared" si="264"/>
        <v>0</v>
      </c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</row>
    <row r="3231">
      <c r="A3231" s="2"/>
      <c r="B3231" s="52">
        <v>4.0</v>
      </c>
      <c r="C3231" s="59"/>
      <c r="D3231" s="60"/>
      <c r="E3231" s="59"/>
      <c r="F3231" s="59"/>
      <c r="G3231" s="59"/>
      <c r="H3231" s="61"/>
      <c r="I3231" s="61"/>
      <c r="J3231" s="61"/>
      <c r="K3231" s="59"/>
      <c r="L3231" s="59"/>
      <c r="M3231" s="59"/>
      <c r="N3231" s="59"/>
      <c r="O3231" s="59"/>
      <c r="P3231" s="61">
        <f t="shared" si="263"/>
        <v>0</v>
      </c>
      <c r="Q3231" s="61"/>
      <c r="R3231" s="62">
        <f t="shared" si="264"/>
        <v>0</v>
      </c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</row>
    <row r="3232">
      <c r="A3232" s="2"/>
      <c r="B3232" s="52">
        <v>5.0</v>
      </c>
      <c r="C3232" s="59"/>
      <c r="D3232" s="60"/>
      <c r="E3232" s="59"/>
      <c r="F3232" s="59"/>
      <c r="G3232" s="59"/>
      <c r="H3232" s="61"/>
      <c r="I3232" s="61"/>
      <c r="J3232" s="61"/>
      <c r="K3232" s="59"/>
      <c r="L3232" s="59"/>
      <c r="M3232" s="59"/>
      <c r="N3232" s="59"/>
      <c r="O3232" s="59"/>
      <c r="P3232" s="61">
        <f t="shared" si="263"/>
        <v>0</v>
      </c>
      <c r="Q3232" s="61"/>
      <c r="R3232" s="62">
        <f t="shared" si="264"/>
        <v>0</v>
      </c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</row>
    <row r="3233">
      <c r="A3233" s="2"/>
      <c r="B3233" s="52">
        <v>6.0</v>
      </c>
      <c r="C3233" s="59"/>
      <c r="D3233" s="60"/>
      <c r="E3233" s="59"/>
      <c r="F3233" s="59"/>
      <c r="G3233" s="61"/>
      <c r="H3233" s="61"/>
      <c r="I3233" s="61"/>
      <c r="J3233" s="61"/>
      <c r="K3233" s="59"/>
      <c r="L3233" s="59"/>
      <c r="M3233" s="59"/>
      <c r="N3233" s="59"/>
      <c r="O3233" s="59"/>
      <c r="P3233" s="61">
        <f t="shared" si="263"/>
        <v>0</v>
      </c>
      <c r="Q3233" s="61"/>
      <c r="R3233" s="62">
        <f t="shared" si="264"/>
        <v>0</v>
      </c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</row>
    <row r="3234">
      <c r="A3234" s="2"/>
      <c r="B3234" s="52">
        <v>7.0</v>
      </c>
      <c r="C3234" s="59"/>
      <c r="D3234" s="60"/>
      <c r="E3234" s="59"/>
      <c r="F3234" s="59"/>
      <c r="G3234" s="59"/>
      <c r="H3234" s="59"/>
      <c r="I3234" s="61"/>
      <c r="J3234" s="61"/>
      <c r="K3234" s="59"/>
      <c r="L3234" s="59"/>
      <c r="M3234" s="59"/>
      <c r="N3234" s="59"/>
      <c r="O3234" s="59"/>
      <c r="P3234" s="61">
        <f t="shared" si="263"/>
        <v>0</v>
      </c>
      <c r="Q3234" s="61"/>
      <c r="R3234" s="62">
        <f t="shared" si="264"/>
        <v>0</v>
      </c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</row>
    <row r="3235">
      <c r="A3235" s="2"/>
      <c r="B3235" s="52">
        <v>8.0</v>
      </c>
      <c r="C3235" s="59"/>
      <c r="D3235" s="60"/>
      <c r="E3235" s="59"/>
      <c r="F3235" s="59"/>
      <c r="G3235" s="59"/>
      <c r="H3235" s="59"/>
      <c r="I3235" s="61"/>
      <c r="J3235" s="61"/>
      <c r="K3235" s="59"/>
      <c r="L3235" s="59"/>
      <c r="M3235" s="59"/>
      <c r="N3235" s="59"/>
      <c r="O3235" s="59"/>
      <c r="P3235" s="61">
        <f t="shared" si="263"/>
        <v>0</v>
      </c>
      <c r="Q3235" s="61"/>
      <c r="R3235" s="62">
        <f t="shared" si="264"/>
        <v>0</v>
      </c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</row>
    <row r="3236">
      <c r="A3236" s="2"/>
      <c r="B3236" s="52">
        <v>9.0</v>
      </c>
      <c r="C3236" s="59"/>
      <c r="D3236" s="60"/>
      <c r="E3236" s="59"/>
      <c r="F3236" s="59"/>
      <c r="G3236" s="61"/>
      <c r="H3236" s="59"/>
      <c r="I3236" s="61"/>
      <c r="J3236" s="61"/>
      <c r="K3236" s="59"/>
      <c r="L3236" s="59"/>
      <c r="M3236" s="59"/>
      <c r="N3236" s="59"/>
      <c r="O3236" s="59"/>
      <c r="P3236" s="61">
        <f t="shared" si="263"/>
        <v>0</v>
      </c>
      <c r="Q3236" s="59"/>
      <c r="R3236" s="62">
        <f t="shared" si="264"/>
        <v>0</v>
      </c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</row>
    <row r="3237">
      <c r="A3237" s="2"/>
      <c r="B3237" s="52">
        <v>10.0</v>
      </c>
      <c r="C3237" s="59"/>
      <c r="D3237" s="60"/>
      <c r="E3237" s="59"/>
      <c r="F3237" s="59"/>
      <c r="G3237" s="61"/>
      <c r="H3237" s="61"/>
      <c r="I3237" s="61"/>
      <c r="J3237" s="61"/>
      <c r="K3237" s="59"/>
      <c r="L3237" s="59"/>
      <c r="M3237" s="59"/>
      <c r="N3237" s="59"/>
      <c r="O3237" s="59"/>
      <c r="P3237" s="61">
        <f t="shared" si="263"/>
        <v>0</v>
      </c>
      <c r="Q3237" s="59"/>
      <c r="R3237" s="62">
        <f t="shared" si="264"/>
        <v>0</v>
      </c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</row>
    <row r="3238">
      <c r="A3238" s="2"/>
      <c r="B3238" s="11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66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</row>
    <row r="3239">
      <c r="A3239" s="2"/>
      <c r="B3239" s="72" t="s">
        <v>64</v>
      </c>
      <c r="C3239" s="68"/>
      <c r="D3239" s="73" t="str">
        <f>MONEYTEXT(R3239, "INR")</f>
        <v>Twelve thousand four hundred seven Indian rupees and ninety-eight paise</v>
      </c>
      <c r="E3239" s="68"/>
      <c r="F3239" s="68"/>
      <c r="G3239" s="68"/>
      <c r="H3239" s="68"/>
      <c r="I3239" s="68"/>
      <c r="J3239" s="68"/>
      <c r="K3239" s="68"/>
      <c r="L3239" s="68"/>
      <c r="M3239" s="68"/>
      <c r="N3239" s="74" t="s">
        <v>65</v>
      </c>
      <c r="O3239" s="4"/>
      <c r="P3239" s="75">
        <f t="shared" ref="P3239:R3239" si="265">SUM(P3228:P3237)</f>
        <v>11902.98</v>
      </c>
      <c r="Q3239" s="75">
        <f t="shared" si="265"/>
        <v>505</v>
      </c>
      <c r="R3239" s="75">
        <f t="shared" si="265"/>
        <v>12407.98</v>
      </c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</row>
    <row r="3240">
      <c r="A3240" s="2"/>
      <c r="B3240" s="72" t="s">
        <v>66</v>
      </c>
      <c r="C3240" s="68"/>
      <c r="D3240" s="68"/>
      <c r="E3240" s="68"/>
      <c r="F3240" s="68"/>
      <c r="G3240" s="68"/>
      <c r="H3240" s="68"/>
      <c r="I3240" s="68"/>
      <c r="J3240" s="68"/>
      <c r="K3240" s="68"/>
      <c r="L3240" s="68"/>
      <c r="M3240" s="68"/>
      <c r="N3240" s="68"/>
      <c r="O3240" s="76"/>
      <c r="P3240" s="78" t="s">
        <v>67</v>
      </c>
      <c r="Q3240" s="31"/>
      <c r="R3240" s="3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</row>
    <row r="3241">
      <c r="A3241" s="2"/>
      <c r="B3241" s="81" t="s">
        <v>68</v>
      </c>
      <c r="P3241" s="29"/>
      <c r="Q3241" s="29"/>
      <c r="R3241" s="8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</row>
    <row r="3242">
      <c r="A3242" s="2"/>
      <c r="B3242" s="81" t="s">
        <v>70</v>
      </c>
      <c r="P3242" s="29"/>
      <c r="Q3242" s="29"/>
      <c r="R3242" s="8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</row>
    <row r="3243">
      <c r="A3243" s="2"/>
      <c r="B3243" s="11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66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</row>
    <row r="3244">
      <c r="A3244" s="2"/>
      <c r="B3244" s="11"/>
      <c r="C3244" s="2"/>
      <c r="D3244" s="2"/>
      <c r="E3244" s="2"/>
      <c r="F3244" s="2"/>
      <c r="G3244" s="2"/>
      <c r="H3244" s="2"/>
      <c r="I3244" s="2"/>
      <c r="J3244" s="2"/>
      <c r="K3244" s="87" t="s">
        <v>71</v>
      </c>
      <c r="L3244" s="2"/>
      <c r="M3244" s="2"/>
      <c r="N3244" s="2"/>
      <c r="O3244" s="2"/>
      <c r="P3244" s="12" t="s">
        <v>72</v>
      </c>
      <c r="R3244" s="10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</row>
    <row r="3245">
      <c r="A3245" s="2"/>
      <c r="B3245" s="90"/>
      <c r="C3245" s="36"/>
      <c r="D3245" s="36"/>
      <c r="E3245" s="36"/>
      <c r="F3245" s="36"/>
      <c r="G3245" s="36"/>
      <c r="H3245" s="36"/>
      <c r="I3245" s="36"/>
      <c r="J3245" s="36"/>
      <c r="K3245" s="36"/>
      <c r="L3245" s="36"/>
      <c r="M3245" s="36"/>
      <c r="N3245" s="36"/>
      <c r="O3245" s="36"/>
      <c r="P3245" s="36"/>
      <c r="Q3245" s="36"/>
      <c r="R3245" s="91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</row>
    <row r="3246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</row>
    <row r="3247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</row>
    <row r="3248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</row>
    <row r="3249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</row>
    <row r="3250">
      <c r="A3250" s="2"/>
      <c r="B3250" s="3" t="s">
        <v>1</v>
      </c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5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</row>
    <row r="3251">
      <c r="A3251" s="2"/>
      <c r="B3251" s="11"/>
      <c r="F3251" s="12"/>
      <c r="G3251" s="12"/>
      <c r="H3251" s="12"/>
      <c r="I3251" s="12"/>
      <c r="J3251" s="12" t="s">
        <v>2</v>
      </c>
      <c r="N3251" s="2"/>
      <c r="R3251" s="10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</row>
    <row r="3252">
      <c r="A3252" s="2"/>
      <c r="B3252" s="14"/>
      <c r="F3252" s="12"/>
      <c r="G3252" s="12"/>
      <c r="H3252" s="12"/>
      <c r="I3252" s="12"/>
      <c r="J3252" s="12" t="s">
        <v>3</v>
      </c>
      <c r="N3252" s="2"/>
      <c r="R3252" s="10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</row>
    <row r="3253">
      <c r="A3253" s="2"/>
      <c r="B3253" s="14" t="s">
        <v>4</v>
      </c>
      <c r="R3253" s="10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</row>
    <row r="3254">
      <c r="A3254" s="2"/>
      <c r="B3254" s="21" t="s">
        <v>5</v>
      </c>
      <c r="C3254" s="22" t="s">
        <v>6</v>
      </c>
      <c r="D3254" s="4"/>
      <c r="E3254" s="4"/>
      <c r="F3254" s="4"/>
      <c r="G3254" s="4"/>
      <c r="H3254" s="4"/>
      <c r="I3254" s="4"/>
      <c r="J3254" s="4"/>
      <c r="K3254" s="5"/>
      <c r="L3254" s="23" t="s">
        <v>7</v>
      </c>
      <c r="M3254" s="24"/>
      <c r="N3254" s="24"/>
      <c r="O3254" s="4"/>
      <c r="P3254" s="4"/>
      <c r="Q3254" s="4"/>
      <c r="R3254" s="5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</row>
    <row r="3255">
      <c r="A3255" s="2"/>
      <c r="B3255" s="28"/>
      <c r="C3255" s="29" t="s">
        <v>8</v>
      </c>
      <c r="K3255" s="10"/>
      <c r="L3255" s="23" t="s">
        <v>9</v>
      </c>
      <c r="M3255" s="2"/>
      <c r="N3255" s="2"/>
      <c r="R3255" s="10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</row>
    <row r="3256">
      <c r="A3256" s="2"/>
      <c r="B3256" s="21" t="s">
        <v>11</v>
      </c>
      <c r="C3256" s="35" t="s">
        <v>12</v>
      </c>
      <c r="D3256" s="31"/>
      <c r="E3256" s="31"/>
      <c r="F3256" s="31"/>
      <c r="G3256" s="31"/>
      <c r="H3256" s="31"/>
      <c r="I3256" s="31"/>
      <c r="J3256" s="31"/>
      <c r="K3256" s="32"/>
      <c r="L3256" s="23" t="s">
        <v>13</v>
      </c>
      <c r="M3256" s="36"/>
      <c r="N3256" s="36"/>
      <c r="O3256" s="31"/>
      <c r="P3256" s="31"/>
      <c r="Q3256" s="31"/>
      <c r="R3256" s="3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</row>
    <row r="3257">
      <c r="A3257" s="2"/>
      <c r="B3257" s="11"/>
      <c r="R3257" s="10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</row>
    <row r="3258">
      <c r="A3258" s="2"/>
      <c r="B3258" s="46" t="s">
        <v>15</v>
      </c>
      <c r="C3258" s="47" t="s">
        <v>16</v>
      </c>
      <c r="D3258" s="48" t="s">
        <v>17</v>
      </c>
      <c r="E3258" s="48" t="s">
        <v>18</v>
      </c>
      <c r="F3258" s="49" t="s">
        <v>19</v>
      </c>
      <c r="G3258" s="43"/>
      <c r="H3258" s="43"/>
      <c r="I3258" s="43"/>
      <c r="J3258" s="44"/>
      <c r="K3258" s="48" t="s">
        <v>20</v>
      </c>
      <c r="L3258" s="48" t="s">
        <v>21</v>
      </c>
      <c r="M3258" s="48" t="s">
        <v>22</v>
      </c>
      <c r="N3258" s="48" t="s">
        <v>23</v>
      </c>
      <c r="O3258" s="48" t="s">
        <v>24</v>
      </c>
      <c r="P3258" s="48" t="s">
        <v>25</v>
      </c>
      <c r="Q3258" s="48" t="s">
        <v>26</v>
      </c>
      <c r="R3258" s="50" t="s">
        <v>27</v>
      </c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</row>
    <row r="3259">
      <c r="A3259" s="2"/>
      <c r="B3259" s="58"/>
      <c r="C3259" s="59"/>
      <c r="D3259" s="60"/>
      <c r="E3259" s="59"/>
      <c r="F3259" s="59"/>
      <c r="G3259" s="59"/>
      <c r="H3259" s="59"/>
      <c r="I3259" s="61"/>
      <c r="J3259" s="61"/>
      <c r="K3259" s="59"/>
      <c r="L3259" s="59"/>
      <c r="M3259" s="59"/>
      <c r="N3259" s="59"/>
      <c r="O3259" s="59"/>
      <c r="P3259" s="61">
        <f t="shared" ref="P3259:P3268" si="266">N3259*O3259</f>
        <v>0</v>
      </c>
      <c r="Q3259" s="59"/>
      <c r="R3259" s="6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</row>
    <row r="3260">
      <c r="A3260" s="2"/>
      <c r="B3260" s="58"/>
      <c r="C3260" s="59"/>
      <c r="D3260" s="60"/>
      <c r="E3260" s="59"/>
      <c r="F3260" s="59"/>
      <c r="G3260" s="59"/>
      <c r="H3260" s="59"/>
      <c r="I3260" s="61"/>
      <c r="J3260" s="61"/>
      <c r="K3260" s="59"/>
      <c r="L3260" s="59"/>
      <c r="M3260" s="59"/>
      <c r="N3260" s="59"/>
      <c r="O3260" s="59"/>
      <c r="P3260" s="61">
        <f t="shared" si="266"/>
        <v>0</v>
      </c>
      <c r="Q3260" s="61"/>
      <c r="R3260" s="62">
        <f t="shared" ref="R3260:R3268" si="267">P3260+Q3260</f>
        <v>0</v>
      </c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</row>
    <row r="3261">
      <c r="A3261" s="2"/>
      <c r="B3261" s="58"/>
      <c r="C3261" s="59"/>
      <c r="D3261" s="60"/>
      <c r="E3261" s="59"/>
      <c r="F3261" s="59"/>
      <c r="G3261" s="59"/>
      <c r="H3261" s="61"/>
      <c r="I3261" s="61"/>
      <c r="J3261" s="61"/>
      <c r="K3261" s="59"/>
      <c r="L3261" s="59"/>
      <c r="M3261" s="59"/>
      <c r="N3261" s="59"/>
      <c r="O3261" s="59"/>
      <c r="P3261" s="61">
        <f t="shared" si="266"/>
        <v>0</v>
      </c>
      <c r="Q3261" s="61"/>
      <c r="R3261" s="62">
        <f t="shared" si="267"/>
        <v>0</v>
      </c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</row>
    <row r="3262">
      <c r="A3262" s="2"/>
      <c r="B3262" s="58"/>
      <c r="C3262" s="59"/>
      <c r="D3262" s="60"/>
      <c r="E3262" s="59"/>
      <c r="F3262" s="59"/>
      <c r="G3262" s="59"/>
      <c r="H3262" s="61"/>
      <c r="I3262" s="61"/>
      <c r="J3262" s="61"/>
      <c r="K3262" s="59"/>
      <c r="L3262" s="59"/>
      <c r="M3262" s="59"/>
      <c r="N3262" s="59"/>
      <c r="O3262" s="59"/>
      <c r="P3262" s="61">
        <f t="shared" si="266"/>
        <v>0</v>
      </c>
      <c r="Q3262" s="61"/>
      <c r="R3262" s="62">
        <f t="shared" si="267"/>
        <v>0</v>
      </c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</row>
    <row r="3263">
      <c r="A3263" s="2"/>
      <c r="B3263" s="58"/>
      <c r="C3263" s="59"/>
      <c r="D3263" s="60"/>
      <c r="E3263" s="59"/>
      <c r="F3263" s="59"/>
      <c r="G3263" s="59"/>
      <c r="H3263" s="61"/>
      <c r="I3263" s="61"/>
      <c r="J3263" s="61"/>
      <c r="K3263" s="59"/>
      <c r="L3263" s="59"/>
      <c r="M3263" s="59"/>
      <c r="N3263" s="59"/>
      <c r="O3263" s="59"/>
      <c r="P3263" s="61">
        <f t="shared" si="266"/>
        <v>0</v>
      </c>
      <c r="Q3263" s="61"/>
      <c r="R3263" s="62">
        <f t="shared" si="267"/>
        <v>0</v>
      </c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</row>
    <row r="3264">
      <c r="A3264" s="2"/>
      <c r="B3264" s="58"/>
      <c r="C3264" s="59"/>
      <c r="D3264" s="60"/>
      <c r="E3264" s="59"/>
      <c r="F3264" s="59"/>
      <c r="G3264" s="61"/>
      <c r="H3264" s="61"/>
      <c r="I3264" s="61"/>
      <c r="J3264" s="61"/>
      <c r="K3264" s="59"/>
      <c r="L3264" s="59"/>
      <c r="M3264" s="59"/>
      <c r="N3264" s="59"/>
      <c r="O3264" s="59"/>
      <c r="P3264" s="61">
        <f t="shared" si="266"/>
        <v>0</v>
      </c>
      <c r="Q3264" s="61"/>
      <c r="R3264" s="62">
        <f t="shared" si="267"/>
        <v>0</v>
      </c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</row>
    <row r="3265">
      <c r="A3265" s="2"/>
      <c r="B3265" s="58"/>
      <c r="C3265" s="59"/>
      <c r="D3265" s="60"/>
      <c r="E3265" s="59"/>
      <c r="F3265" s="59"/>
      <c r="G3265" s="59"/>
      <c r="H3265" s="59"/>
      <c r="I3265" s="61"/>
      <c r="J3265" s="61"/>
      <c r="K3265" s="59"/>
      <c r="L3265" s="59"/>
      <c r="M3265" s="59"/>
      <c r="N3265" s="59"/>
      <c r="O3265" s="59"/>
      <c r="P3265" s="61">
        <f t="shared" si="266"/>
        <v>0</v>
      </c>
      <c r="Q3265" s="61"/>
      <c r="R3265" s="62">
        <f t="shared" si="267"/>
        <v>0</v>
      </c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</row>
    <row r="3266">
      <c r="A3266" s="2"/>
      <c r="B3266" s="58"/>
      <c r="C3266" s="59"/>
      <c r="D3266" s="60"/>
      <c r="E3266" s="59"/>
      <c r="F3266" s="59"/>
      <c r="G3266" s="59"/>
      <c r="H3266" s="59"/>
      <c r="I3266" s="61"/>
      <c r="J3266" s="61"/>
      <c r="K3266" s="59"/>
      <c r="L3266" s="59"/>
      <c r="M3266" s="59"/>
      <c r="N3266" s="59"/>
      <c r="O3266" s="59"/>
      <c r="P3266" s="61">
        <f t="shared" si="266"/>
        <v>0</v>
      </c>
      <c r="Q3266" s="61"/>
      <c r="R3266" s="62">
        <f t="shared" si="267"/>
        <v>0</v>
      </c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</row>
    <row r="3267">
      <c r="A3267" s="2"/>
      <c r="B3267" s="58"/>
      <c r="C3267" s="59"/>
      <c r="D3267" s="60"/>
      <c r="E3267" s="59"/>
      <c r="F3267" s="59"/>
      <c r="G3267" s="61"/>
      <c r="H3267" s="59"/>
      <c r="I3267" s="61"/>
      <c r="J3267" s="61"/>
      <c r="K3267" s="59"/>
      <c r="L3267" s="59"/>
      <c r="M3267" s="59"/>
      <c r="N3267" s="59"/>
      <c r="O3267" s="59"/>
      <c r="P3267" s="61">
        <f t="shared" si="266"/>
        <v>0</v>
      </c>
      <c r="Q3267" s="59"/>
      <c r="R3267" s="62">
        <f t="shared" si="267"/>
        <v>0</v>
      </c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</row>
    <row r="3268">
      <c r="A3268" s="2"/>
      <c r="B3268" s="58"/>
      <c r="C3268" s="59"/>
      <c r="D3268" s="60"/>
      <c r="E3268" s="59"/>
      <c r="F3268" s="59"/>
      <c r="G3268" s="61"/>
      <c r="H3268" s="61"/>
      <c r="I3268" s="61"/>
      <c r="J3268" s="61"/>
      <c r="K3268" s="59"/>
      <c r="L3268" s="59"/>
      <c r="M3268" s="59"/>
      <c r="N3268" s="59"/>
      <c r="O3268" s="59"/>
      <c r="P3268" s="61">
        <f t="shared" si="266"/>
        <v>0</v>
      </c>
      <c r="Q3268" s="59"/>
      <c r="R3268" s="62">
        <f t="shared" si="267"/>
        <v>0</v>
      </c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</row>
    <row r="3269">
      <c r="A3269" s="2"/>
      <c r="B3269" s="11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66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</row>
    <row r="3270">
      <c r="A3270" s="2"/>
      <c r="B3270" s="72" t="s">
        <v>64</v>
      </c>
      <c r="C3270" s="68"/>
      <c r="D3270" s="73" t="str">
        <f>MONEYTEXT(R3270, "INR")</f>
        <v>Zero Indian rupees</v>
      </c>
      <c r="E3270" s="68"/>
      <c r="F3270" s="68"/>
      <c r="G3270" s="68"/>
      <c r="H3270" s="68"/>
      <c r="I3270" s="68"/>
      <c r="J3270" s="68"/>
      <c r="K3270" s="68"/>
      <c r="L3270" s="68"/>
      <c r="M3270" s="68"/>
      <c r="N3270" s="74" t="s">
        <v>65</v>
      </c>
      <c r="O3270" s="4"/>
      <c r="P3270" s="75">
        <f t="shared" ref="P3270:R3270" si="268">SUM(P3259:P3268)</f>
        <v>0</v>
      </c>
      <c r="Q3270" s="75">
        <f t="shared" si="268"/>
        <v>0</v>
      </c>
      <c r="R3270" s="75">
        <f t="shared" si="268"/>
        <v>0</v>
      </c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</row>
    <row r="3271">
      <c r="A3271" s="2"/>
      <c r="B3271" s="72" t="s">
        <v>66</v>
      </c>
      <c r="C3271" s="68"/>
      <c r="D3271" s="68"/>
      <c r="E3271" s="68"/>
      <c r="F3271" s="68"/>
      <c r="G3271" s="68"/>
      <c r="H3271" s="68"/>
      <c r="I3271" s="68"/>
      <c r="J3271" s="68"/>
      <c r="K3271" s="68"/>
      <c r="L3271" s="68"/>
      <c r="M3271" s="68"/>
      <c r="N3271" s="68"/>
      <c r="O3271" s="76"/>
      <c r="P3271" s="78" t="s">
        <v>67</v>
      </c>
      <c r="Q3271" s="31"/>
      <c r="R3271" s="3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</row>
    <row r="3272">
      <c r="A3272" s="2"/>
      <c r="B3272" s="81" t="s">
        <v>68</v>
      </c>
      <c r="P3272" s="29"/>
      <c r="Q3272" s="29"/>
      <c r="R3272" s="8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</row>
    <row r="3273">
      <c r="A3273" s="2"/>
      <c r="B3273" s="81" t="s">
        <v>70</v>
      </c>
      <c r="P3273" s="29"/>
      <c r="Q3273" s="29"/>
      <c r="R3273" s="8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</row>
    <row r="3274">
      <c r="A3274" s="2"/>
      <c r="B3274" s="11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66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</row>
    <row r="3275">
      <c r="A3275" s="2"/>
      <c r="B3275" s="11"/>
      <c r="C3275" s="2"/>
      <c r="D3275" s="2"/>
      <c r="E3275" s="2"/>
      <c r="F3275" s="2"/>
      <c r="G3275" s="2"/>
      <c r="H3275" s="2"/>
      <c r="I3275" s="2"/>
      <c r="J3275" s="2"/>
      <c r="K3275" s="87" t="s">
        <v>71</v>
      </c>
      <c r="L3275" s="2"/>
      <c r="M3275" s="2"/>
      <c r="N3275" s="2"/>
      <c r="O3275" s="2"/>
      <c r="P3275" s="12" t="s">
        <v>72</v>
      </c>
      <c r="R3275" s="10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</row>
    <row r="3276">
      <c r="A3276" s="2"/>
      <c r="B3276" s="90"/>
      <c r="C3276" s="36"/>
      <c r="D3276" s="36"/>
      <c r="E3276" s="36"/>
      <c r="F3276" s="36"/>
      <c r="G3276" s="36"/>
      <c r="H3276" s="36"/>
      <c r="I3276" s="36"/>
      <c r="J3276" s="36"/>
      <c r="K3276" s="36"/>
      <c r="L3276" s="36"/>
      <c r="M3276" s="36"/>
      <c r="N3276" s="36"/>
      <c r="O3276" s="36"/>
      <c r="P3276" s="36"/>
      <c r="Q3276" s="36"/>
      <c r="R3276" s="91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</row>
    <row r="3277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</row>
    <row r="3278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</row>
    <row r="3279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</row>
    <row r="3280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</row>
    <row r="3281">
      <c r="A3281" s="2"/>
      <c r="B3281" s="3" t="s">
        <v>1</v>
      </c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5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</row>
    <row r="3282">
      <c r="A3282" s="2"/>
      <c r="B3282" s="11"/>
      <c r="F3282" s="12"/>
      <c r="G3282" s="12"/>
      <c r="H3282" s="12"/>
      <c r="I3282" s="12"/>
      <c r="J3282" s="12" t="s">
        <v>2</v>
      </c>
      <c r="N3282" s="2"/>
      <c r="R3282" s="10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</row>
    <row r="3283">
      <c r="A3283" s="2"/>
      <c r="B3283" s="14"/>
      <c r="F3283" s="12"/>
      <c r="G3283" s="12"/>
      <c r="H3283" s="12"/>
      <c r="I3283" s="12"/>
      <c r="J3283" s="12" t="s">
        <v>3</v>
      </c>
      <c r="N3283" s="2"/>
      <c r="R3283" s="10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</row>
    <row r="3284">
      <c r="A3284" s="2"/>
      <c r="B3284" s="14" t="s">
        <v>4</v>
      </c>
      <c r="R3284" s="10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</row>
    <row r="3285">
      <c r="A3285" s="2"/>
      <c r="B3285" s="21" t="s">
        <v>5</v>
      </c>
      <c r="C3285" s="22" t="s">
        <v>6</v>
      </c>
      <c r="D3285" s="4"/>
      <c r="E3285" s="4"/>
      <c r="F3285" s="4"/>
      <c r="G3285" s="4"/>
      <c r="H3285" s="4"/>
      <c r="I3285" s="4"/>
      <c r="J3285" s="4"/>
      <c r="K3285" s="5"/>
      <c r="L3285" s="23" t="s">
        <v>7</v>
      </c>
      <c r="M3285" s="24"/>
      <c r="N3285" s="24"/>
      <c r="O3285" s="4"/>
      <c r="P3285" s="4"/>
      <c r="Q3285" s="4"/>
      <c r="R3285" s="5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</row>
    <row r="3286">
      <c r="A3286" s="2"/>
      <c r="B3286" s="28"/>
      <c r="C3286" s="29" t="s">
        <v>8</v>
      </c>
      <c r="K3286" s="10"/>
      <c r="L3286" s="23" t="s">
        <v>9</v>
      </c>
      <c r="M3286" s="2"/>
      <c r="N3286" s="2"/>
      <c r="R3286" s="10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</row>
    <row r="3287">
      <c r="A3287" s="2"/>
      <c r="B3287" s="21" t="s">
        <v>11</v>
      </c>
      <c r="C3287" s="35" t="s">
        <v>12</v>
      </c>
      <c r="D3287" s="31"/>
      <c r="E3287" s="31"/>
      <c r="F3287" s="31"/>
      <c r="G3287" s="31"/>
      <c r="H3287" s="31"/>
      <c r="I3287" s="31"/>
      <c r="J3287" s="31"/>
      <c r="K3287" s="32"/>
      <c r="L3287" s="23" t="s">
        <v>13</v>
      </c>
      <c r="M3287" s="36"/>
      <c r="N3287" s="36"/>
      <c r="O3287" s="31"/>
      <c r="P3287" s="31"/>
      <c r="Q3287" s="31"/>
      <c r="R3287" s="3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</row>
    <row r="3288">
      <c r="A3288" s="2"/>
      <c r="B3288" s="11"/>
      <c r="R3288" s="10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</row>
    <row r="3289">
      <c r="A3289" s="2"/>
      <c r="B3289" s="46" t="s">
        <v>15</v>
      </c>
      <c r="C3289" s="47" t="s">
        <v>16</v>
      </c>
      <c r="D3289" s="48" t="s">
        <v>17</v>
      </c>
      <c r="E3289" s="48" t="s">
        <v>18</v>
      </c>
      <c r="F3289" s="49" t="s">
        <v>19</v>
      </c>
      <c r="G3289" s="43"/>
      <c r="H3289" s="43"/>
      <c r="I3289" s="43"/>
      <c r="J3289" s="44"/>
      <c r="K3289" s="48" t="s">
        <v>20</v>
      </c>
      <c r="L3289" s="48" t="s">
        <v>21</v>
      </c>
      <c r="M3289" s="48" t="s">
        <v>22</v>
      </c>
      <c r="N3289" s="48" t="s">
        <v>23</v>
      </c>
      <c r="O3289" s="48" t="s">
        <v>24</v>
      </c>
      <c r="P3289" s="48" t="s">
        <v>25</v>
      </c>
      <c r="Q3289" s="48" t="s">
        <v>26</v>
      </c>
      <c r="R3289" s="50" t="s">
        <v>27</v>
      </c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2"/>
    </row>
    <row r="3290">
      <c r="A3290" s="2"/>
      <c r="B3290" s="58"/>
      <c r="C3290" s="59"/>
      <c r="D3290" s="60"/>
      <c r="E3290" s="59"/>
      <c r="F3290" s="59"/>
      <c r="G3290" s="59"/>
      <c r="H3290" s="59"/>
      <c r="I3290" s="61"/>
      <c r="J3290" s="61"/>
      <c r="K3290" s="59"/>
      <c r="L3290" s="59"/>
      <c r="M3290" s="59"/>
      <c r="N3290" s="59"/>
      <c r="O3290" s="59"/>
      <c r="P3290" s="61">
        <f t="shared" ref="P3290:P3299" si="269">N3290*O3290</f>
        <v>0</v>
      </c>
      <c r="Q3290" s="59"/>
      <c r="R3290" s="6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</row>
    <row r="3291">
      <c r="A3291" s="2"/>
      <c r="B3291" s="58"/>
      <c r="C3291" s="59"/>
      <c r="D3291" s="60"/>
      <c r="E3291" s="59"/>
      <c r="F3291" s="59"/>
      <c r="G3291" s="59"/>
      <c r="H3291" s="59"/>
      <c r="I3291" s="61"/>
      <c r="J3291" s="61"/>
      <c r="K3291" s="59"/>
      <c r="L3291" s="59"/>
      <c r="M3291" s="59"/>
      <c r="N3291" s="59"/>
      <c r="O3291" s="59"/>
      <c r="P3291" s="61">
        <f t="shared" si="269"/>
        <v>0</v>
      </c>
      <c r="Q3291" s="61"/>
      <c r="R3291" s="62">
        <f t="shared" ref="R3291:R3299" si="270">P3291+Q3291</f>
        <v>0</v>
      </c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</row>
    <row r="3292">
      <c r="A3292" s="2"/>
      <c r="B3292" s="58"/>
      <c r="C3292" s="59"/>
      <c r="D3292" s="60"/>
      <c r="E3292" s="59"/>
      <c r="F3292" s="59"/>
      <c r="G3292" s="59"/>
      <c r="H3292" s="61"/>
      <c r="I3292" s="61"/>
      <c r="J3292" s="61"/>
      <c r="K3292" s="59"/>
      <c r="L3292" s="59"/>
      <c r="M3292" s="59"/>
      <c r="N3292" s="59"/>
      <c r="O3292" s="59"/>
      <c r="P3292" s="61">
        <f t="shared" si="269"/>
        <v>0</v>
      </c>
      <c r="Q3292" s="61"/>
      <c r="R3292" s="62">
        <f t="shared" si="270"/>
        <v>0</v>
      </c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</row>
    <row r="3293">
      <c r="A3293" s="2"/>
      <c r="B3293" s="58"/>
      <c r="C3293" s="59"/>
      <c r="D3293" s="60"/>
      <c r="E3293" s="59"/>
      <c r="F3293" s="59"/>
      <c r="G3293" s="59"/>
      <c r="H3293" s="61"/>
      <c r="I3293" s="61"/>
      <c r="J3293" s="61"/>
      <c r="K3293" s="59"/>
      <c r="L3293" s="59"/>
      <c r="M3293" s="59"/>
      <c r="N3293" s="59"/>
      <c r="O3293" s="59"/>
      <c r="P3293" s="61">
        <f t="shared" si="269"/>
        <v>0</v>
      </c>
      <c r="Q3293" s="61"/>
      <c r="R3293" s="62">
        <f t="shared" si="270"/>
        <v>0</v>
      </c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</row>
    <row r="3294">
      <c r="A3294" s="2"/>
      <c r="B3294" s="58"/>
      <c r="C3294" s="59"/>
      <c r="D3294" s="60"/>
      <c r="E3294" s="59"/>
      <c r="F3294" s="59"/>
      <c r="G3294" s="59"/>
      <c r="H3294" s="61"/>
      <c r="I3294" s="61"/>
      <c r="J3294" s="61"/>
      <c r="K3294" s="59"/>
      <c r="L3294" s="59"/>
      <c r="M3294" s="59"/>
      <c r="N3294" s="59"/>
      <c r="O3294" s="59"/>
      <c r="P3294" s="61">
        <f t="shared" si="269"/>
        <v>0</v>
      </c>
      <c r="Q3294" s="61"/>
      <c r="R3294" s="62">
        <f t="shared" si="270"/>
        <v>0</v>
      </c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</row>
    <row r="3295">
      <c r="A3295" s="2"/>
      <c r="B3295" s="58"/>
      <c r="C3295" s="59"/>
      <c r="D3295" s="60"/>
      <c r="E3295" s="59"/>
      <c r="F3295" s="59"/>
      <c r="G3295" s="61"/>
      <c r="H3295" s="61"/>
      <c r="I3295" s="61"/>
      <c r="J3295" s="61"/>
      <c r="K3295" s="59"/>
      <c r="L3295" s="59"/>
      <c r="M3295" s="59"/>
      <c r="N3295" s="59"/>
      <c r="O3295" s="59"/>
      <c r="P3295" s="61">
        <f t="shared" si="269"/>
        <v>0</v>
      </c>
      <c r="Q3295" s="61"/>
      <c r="R3295" s="62">
        <f t="shared" si="270"/>
        <v>0</v>
      </c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</row>
    <row r="3296">
      <c r="A3296" s="2"/>
      <c r="B3296" s="58"/>
      <c r="C3296" s="59"/>
      <c r="D3296" s="60"/>
      <c r="E3296" s="59"/>
      <c r="F3296" s="59"/>
      <c r="G3296" s="59"/>
      <c r="H3296" s="59"/>
      <c r="I3296" s="61"/>
      <c r="J3296" s="61"/>
      <c r="K3296" s="59"/>
      <c r="L3296" s="59"/>
      <c r="M3296" s="59"/>
      <c r="N3296" s="59"/>
      <c r="O3296" s="59"/>
      <c r="P3296" s="61">
        <f t="shared" si="269"/>
        <v>0</v>
      </c>
      <c r="Q3296" s="61"/>
      <c r="R3296" s="62">
        <f t="shared" si="270"/>
        <v>0</v>
      </c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</row>
    <row r="3297">
      <c r="A3297" s="2"/>
      <c r="B3297" s="58"/>
      <c r="C3297" s="59"/>
      <c r="D3297" s="60"/>
      <c r="E3297" s="59"/>
      <c r="F3297" s="59"/>
      <c r="G3297" s="59"/>
      <c r="H3297" s="59"/>
      <c r="I3297" s="61"/>
      <c r="J3297" s="61"/>
      <c r="K3297" s="59"/>
      <c r="L3297" s="59"/>
      <c r="M3297" s="59"/>
      <c r="N3297" s="59"/>
      <c r="O3297" s="59"/>
      <c r="P3297" s="61">
        <f t="shared" si="269"/>
        <v>0</v>
      </c>
      <c r="Q3297" s="61"/>
      <c r="R3297" s="62">
        <f t="shared" si="270"/>
        <v>0</v>
      </c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</row>
    <row r="3298">
      <c r="A3298" s="2"/>
      <c r="B3298" s="58"/>
      <c r="C3298" s="59"/>
      <c r="D3298" s="60"/>
      <c r="E3298" s="59"/>
      <c r="F3298" s="59"/>
      <c r="G3298" s="61"/>
      <c r="H3298" s="59"/>
      <c r="I3298" s="61"/>
      <c r="J3298" s="61"/>
      <c r="K3298" s="59"/>
      <c r="L3298" s="59"/>
      <c r="M3298" s="59"/>
      <c r="N3298" s="59"/>
      <c r="O3298" s="59"/>
      <c r="P3298" s="61">
        <f t="shared" si="269"/>
        <v>0</v>
      </c>
      <c r="Q3298" s="59"/>
      <c r="R3298" s="62">
        <f t="shared" si="270"/>
        <v>0</v>
      </c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</row>
    <row r="3299">
      <c r="A3299" s="2"/>
      <c r="B3299" s="58"/>
      <c r="C3299" s="59"/>
      <c r="D3299" s="60"/>
      <c r="E3299" s="59"/>
      <c r="F3299" s="59"/>
      <c r="G3299" s="61"/>
      <c r="H3299" s="61"/>
      <c r="I3299" s="61"/>
      <c r="J3299" s="61"/>
      <c r="K3299" s="59"/>
      <c r="L3299" s="59"/>
      <c r="M3299" s="59"/>
      <c r="N3299" s="59"/>
      <c r="O3299" s="59"/>
      <c r="P3299" s="61">
        <f t="shared" si="269"/>
        <v>0</v>
      </c>
      <c r="Q3299" s="59"/>
      <c r="R3299" s="62">
        <f t="shared" si="270"/>
        <v>0</v>
      </c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</row>
    <row r="3300">
      <c r="A3300" s="2"/>
      <c r="B3300" s="11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66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</row>
    <row r="3301">
      <c r="A3301" s="2"/>
      <c r="B3301" s="72" t="s">
        <v>64</v>
      </c>
      <c r="C3301" s="68"/>
      <c r="D3301" s="73" t="str">
        <f>MONEYTEXT(R3301, "INR")</f>
        <v>Zero Indian rupees</v>
      </c>
      <c r="E3301" s="68"/>
      <c r="F3301" s="68"/>
      <c r="G3301" s="68"/>
      <c r="H3301" s="68"/>
      <c r="I3301" s="68"/>
      <c r="J3301" s="68"/>
      <c r="K3301" s="68"/>
      <c r="L3301" s="68"/>
      <c r="M3301" s="68"/>
      <c r="N3301" s="74" t="s">
        <v>65</v>
      </c>
      <c r="O3301" s="4"/>
      <c r="P3301" s="75">
        <f t="shared" ref="P3301:R3301" si="271">SUM(P3290:P3299)</f>
        <v>0</v>
      </c>
      <c r="Q3301" s="75">
        <f t="shared" si="271"/>
        <v>0</v>
      </c>
      <c r="R3301" s="75">
        <f t="shared" si="271"/>
        <v>0</v>
      </c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</row>
    <row r="3302">
      <c r="A3302" s="2"/>
      <c r="B3302" s="72" t="s">
        <v>66</v>
      </c>
      <c r="C3302" s="68"/>
      <c r="D3302" s="68"/>
      <c r="E3302" s="68"/>
      <c r="F3302" s="68"/>
      <c r="G3302" s="68"/>
      <c r="H3302" s="68"/>
      <c r="I3302" s="68"/>
      <c r="J3302" s="68"/>
      <c r="K3302" s="68"/>
      <c r="L3302" s="68"/>
      <c r="M3302" s="68"/>
      <c r="N3302" s="68"/>
      <c r="O3302" s="76"/>
      <c r="P3302" s="78" t="s">
        <v>67</v>
      </c>
      <c r="Q3302" s="31"/>
      <c r="R3302" s="3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</row>
    <row r="3303">
      <c r="A3303" s="2"/>
      <c r="B3303" s="81" t="s">
        <v>68</v>
      </c>
      <c r="P3303" s="29"/>
      <c r="Q3303" s="29"/>
      <c r="R3303" s="8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</row>
    <row r="3304">
      <c r="A3304" s="2"/>
      <c r="B3304" s="81" t="s">
        <v>70</v>
      </c>
      <c r="P3304" s="29"/>
      <c r="Q3304" s="29"/>
      <c r="R3304" s="8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</row>
    <row r="3305">
      <c r="A3305" s="2"/>
      <c r="B3305" s="11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66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</row>
    <row r="3306">
      <c r="A3306" s="2"/>
      <c r="B3306" s="11"/>
      <c r="C3306" s="2"/>
      <c r="D3306" s="2"/>
      <c r="E3306" s="2"/>
      <c r="F3306" s="2"/>
      <c r="G3306" s="2"/>
      <c r="H3306" s="2"/>
      <c r="I3306" s="2"/>
      <c r="J3306" s="2"/>
      <c r="K3306" s="87" t="s">
        <v>71</v>
      </c>
      <c r="L3306" s="2"/>
      <c r="M3306" s="2"/>
      <c r="N3306" s="2"/>
      <c r="O3306" s="2"/>
      <c r="P3306" s="12" t="s">
        <v>72</v>
      </c>
      <c r="R3306" s="10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</row>
    <row r="3307">
      <c r="A3307" s="2"/>
      <c r="B3307" s="90"/>
      <c r="C3307" s="36"/>
      <c r="D3307" s="36"/>
      <c r="E3307" s="36"/>
      <c r="F3307" s="36"/>
      <c r="G3307" s="36"/>
      <c r="H3307" s="36"/>
      <c r="I3307" s="36"/>
      <c r="J3307" s="36"/>
      <c r="K3307" s="36"/>
      <c r="L3307" s="36"/>
      <c r="M3307" s="36"/>
      <c r="N3307" s="36"/>
      <c r="O3307" s="36"/>
      <c r="P3307" s="36"/>
      <c r="Q3307" s="36"/>
      <c r="R3307" s="91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</row>
    <row r="3308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</row>
    <row r="3309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</row>
    <row r="3310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</row>
    <row r="3311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</row>
    <row r="3312">
      <c r="A3312" s="2"/>
      <c r="B3312" s="3" t="s">
        <v>1</v>
      </c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5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</row>
    <row r="3313">
      <c r="A3313" s="2"/>
      <c r="B3313" s="11"/>
      <c r="F3313" s="12"/>
      <c r="G3313" s="12"/>
      <c r="H3313" s="12"/>
      <c r="I3313" s="12"/>
      <c r="J3313" s="12" t="s">
        <v>2</v>
      </c>
      <c r="N3313" s="2"/>
      <c r="R3313" s="10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</row>
    <row r="3314">
      <c r="A3314" s="2"/>
      <c r="B3314" s="14"/>
      <c r="F3314" s="12"/>
      <c r="G3314" s="12"/>
      <c r="H3314" s="12"/>
      <c r="I3314" s="12"/>
      <c r="J3314" s="12" t="s">
        <v>3</v>
      </c>
      <c r="N3314" s="2"/>
      <c r="R3314" s="10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</row>
    <row r="3315">
      <c r="A3315" s="2"/>
      <c r="B3315" s="14" t="s">
        <v>4</v>
      </c>
      <c r="R3315" s="10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</row>
    <row r="3316">
      <c r="A3316" s="2"/>
      <c r="B3316" s="21" t="s">
        <v>5</v>
      </c>
      <c r="C3316" s="22" t="s">
        <v>6</v>
      </c>
      <c r="D3316" s="4"/>
      <c r="E3316" s="4"/>
      <c r="F3316" s="4"/>
      <c r="G3316" s="4"/>
      <c r="H3316" s="4"/>
      <c r="I3316" s="4"/>
      <c r="J3316" s="4"/>
      <c r="K3316" s="5"/>
      <c r="L3316" s="23" t="s">
        <v>7</v>
      </c>
      <c r="M3316" s="24"/>
      <c r="N3316" s="24"/>
      <c r="O3316" s="4"/>
      <c r="P3316" s="4"/>
      <c r="Q3316" s="4"/>
      <c r="R3316" s="5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</row>
    <row r="3317">
      <c r="A3317" s="2"/>
      <c r="B3317" s="28"/>
      <c r="C3317" s="29" t="s">
        <v>8</v>
      </c>
      <c r="K3317" s="10"/>
      <c r="L3317" s="23" t="s">
        <v>9</v>
      </c>
      <c r="M3317" s="2"/>
      <c r="N3317" s="2"/>
      <c r="R3317" s="10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</row>
    <row r="3318">
      <c r="A3318" s="2"/>
      <c r="B3318" s="21" t="s">
        <v>11</v>
      </c>
      <c r="C3318" s="35" t="s">
        <v>12</v>
      </c>
      <c r="D3318" s="31"/>
      <c r="E3318" s="31"/>
      <c r="F3318" s="31"/>
      <c r="G3318" s="31"/>
      <c r="H3318" s="31"/>
      <c r="I3318" s="31"/>
      <c r="J3318" s="31"/>
      <c r="K3318" s="32"/>
      <c r="L3318" s="23" t="s">
        <v>13</v>
      </c>
      <c r="M3318" s="36"/>
      <c r="N3318" s="36"/>
      <c r="O3318" s="31"/>
      <c r="P3318" s="31"/>
      <c r="Q3318" s="31"/>
      <c r="R3318" s="3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</row>
    <row r="3319">
      <c r="A3319" s="2"/>
      <c r="B3319" s="11"/>
      <c r="R3319" s="10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</row>
    <row r="3320">
      <c r="A3320" s="2"/>
      <c r="B3320" s="46" t="s">
        <v>15</v>
      </c>
      <c r="C3320" s="47" t="s">
        <v>16</v>
      </c>
      <c r="D3320" s="48" t="s">
        <v>17</v>
      </c>
      <c r="E3320" s="48" t="s">
        <v>18</v>
      </c>
      <c r="F3320" s="49" t="s">
        <v>19</v>
      </c>
      <c r="G3320" s="43"/>
      <c r="H3320" s="43"/>
      <c r="I3320" s="43"/>
      <c r="J3320" s="44"/>
      <c r="K3320" s="48" t="s">
        <v>20</v>
      </c>
      <c r="L3320" s="48" t="s">
        <v>21</v>
      </c>
      <c r="M3320" s="48" t="s">
        <v>22</v>
      </c>
      <c r="N3320" s="48" t="s">
        <v>23</v>
      </c>
      <c r="O3320" s="48" t="s">
        <v>24</v>
      </c>
      <c r="P3320" s="48" t="s">
        <v>25</v>
      </c>
      <c r="Q3320" s="48" t="s">
        <v>26</v>
      </c>
      <c r="R3320" s="50" t="s">
        <v>27</v>
      </c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</row>
    <row r="3321">
      <c r="A3321" s="2"/>
      <c r="B3321" s="58"/>
      <c r="C3321" s="59"/>
      <c r="D3321" s="60"/>
      <c r="E3321" s="59"/>
      <c r="F3321" s="59"/>
      <c r="G3321" s="59"/>
      <c r="H3321" s="59"/>
      <c r="I3321" s="61"/>
      <c r="J3321" s="61"/>
      <c r="K3321" s="59"/>
      <c r="L3321" s="59"/>
      <c r="M3321" s="59"/>
      <c r="N3321" s="59"/>
      <c r="O3321" s="59"/>
      <c r="P3321" s="61">
        <f t="shared" ref="P3321:P3330" si="272">N3321*O3321</f>
        <v>0</v>
      </c>
      <c r="Q3321" s="59"/>
      <c r="R3321" s="6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</row>
    <row r="3322">
      <c r="A3322" s="2"/>
      <c r="B3322" s="58"/>
      <c r="C3322" s="59"/>
      <c r="D3322" s="60"/>
      <c r="E3322" s="59"/>
      <c r="F3322" s="59"/>
      <c r="G3322" s="59"/>
      <c r="H3322" s="59"/>
      <c r="I3322" s="61"/>
      <c r="J3322" s="61"/>
      <c r="K3322" s="59"/>
      <c r="L3322" s="59"/>
      <c r="M3322" s="59"/>
      <c r="N3322" s="59"/>
      <c r="O3322" s="59"/>
      <c r="P3322" s="61">
        <f t="shared" si="272"/>
        <v>0</v>
      </c>
      <c r="Q3322" s="61"/>
      <c r="R3322" s="62">
        <f t="shared" ref="R3322:R3330" si="273">P3322+Q3322</f>
        <v>0</v>
      </c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</row>
    <row r="3323">
      <c r="A3323" s="2"/>
      <c r="B3323" s="58"/>
      <c r="C3323" s="59"/>
      <c r="D3323" s="60"/>
      <c r="E3323" s="59"/>
      <c r="F3323" s="59"/>
      <c r="G3323" s="59"/>
      <c r="H3323" s="61"/>
      <c r="I3323" s="61"/>
      <c r="J3323" s="61"/>
      <c r="K3323" s="59"/>
      <c r="L3323" s="59"/>
      <c r="M3323" s="59"/>
      <c r="N3323" s="59"/>
      <c r="O3323" s="59"/>
      <c r="P3323" s="61">
        <f t="shared" si="272"/>
        <v>0</v>
      </c>
      <c r="Q3323" s="61"/>
      <c r="R3323" s="62">
        <f t="shared" si="273"/>
        <v>0</v>
      </c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</row>
    <row r="3324">
      <c r="A3324" s="2"/>
      <c r="B3324" s="58"/>
      <c r="C3324" s="59"/>
      <c r="D3324" s="60"/>
      <c r="E3324" s="59"/>
      <c r="F3324" s="59"/>
      <c r="G3324" s="59"/>
      <c r="H3324" s="61"/>
      <c r="I3324" s="61"/>
      <c r="J3324" s="61"/>
      <c r="K3324" s="59"/>
      <c r="L3324" s="59"/>
      <c r="M3324" s="59"/>
      <c r="N3324" s="59"/>
      <c r="O3324" s="59"/>
      <c r="P3324" s="61">
        <f t="shared" si="272"/>
        <v>0</v>
      </c>
      <c r="Q3324" s="61"/>
      <c r="R3324" s="62">
        <f t="shared" si="273"/>
        <v>0</v>
      </c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</row>
    <row r="3325">
      <c r="A3325" s="2"/>
      <c r="B3325" s="58"/>
      <c r="C3325" s="59"/>
      <c r="D3325" s="60"/>
      <c r="E3325" s="59"/>
      <c r="F3325" s="59"/>
      <c r="G3325" s="59"/>
      <c r="H3325" s="61"/>
      <c r="I3325" s="61"/>
      <c r="J3325" s="61"/>
      <c r="K3325" s="59"/>
      <c r="L3325" s="59"/>
      <c r="M3325" s="59"/>
      <c r="N3325" s="59"/>
      <c r="O3325" s="59"/>
      <c r="P3325" s="61">
        <f t="shared" si="272"/>
        <v>0</v>
      </c>
      <c r="Q3325" s="61"/>
      <c r="R3325" s="62">
        <f t="shared" si="273"/>
        <v>0</v>
      </c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</row>
    <row r="3326">
      <c r="A3326" s="2"/>
      <c r="B3326" s="58"/>
      <c r="C3326" s="59"/>
      <c r="D3326" s="60"/>
      <c r="E3326" s="59"/>
      <c r="F3326" s="59"/>
      <c r="G3326" s="61"/>
      <c r="H3326" s="61"/>
      <c r="I3326" s="61"/>
      <c r="J3326" s="61"/>
      <c r="K3326" s="59"/>
      <c r="L3326" s="59"/>
      <c r="M3326" s="59"/>
      <c r="N3326" s="59"/>
      <c r="O3326" s="59"/>
      <c r="P3326" s="61">
        <f t="shared" si="272"/>
        <v>0</v>
      </c>
      <c r="Q3326" s="61"/>
      <c r="R3326" s="62">
        <f t="shared" si="273"/>
        <v>0</v>
      </c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</row>
    <row r="3327">
      <c r="A3327" s="2"/>
      <c r="B3327" s="58"/>
      <c r="C3327" s="59"/>
      <c r="D3327" s="60"/>
      <c r="E3327" s="59"/>
      <c r="F3327" s="59"/>
      <c r="G3327" s="59"/>
      <c r="H3327" s="59"/>
      <c r="I3327" s="61"/>
      <c r="J3327" s="61"/>
      <c r="K3327" s="59"/>
      <c r="L3327" s="59"/>
      <c r="M3327" s="59"/>
      <c r="N3327" s="59"/>
      <c r="O3327" s="59"/>
      <c r="P3327" s="61">
        <f t="shared" si="272"/>
        <v>0</v>
      </c>
      <c r="Q3327" s="61"/>
      <c r="R3327" s="62">
        <f t="shared" si="273"/>
        <v>0</v>
      </c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</row>
    <row r="3328">
      <c r="A3328" s="2"/>
      <c r="B3328" s="58"/>
      <c r="C3328" s="59"/>
      <c r="D3328" s="60"/>
      <c r="E3328" s="59"/>
      <c r="F3328" s="59"/>
      <c r="G3328" s="59"/>
      <c r="H3328" s="59"/>
      <c r="I3328" s="61"/>
      <c r="J3328" s="61"/>
      <c r="K3328" s="59"/>
      <c r="L3328" s="59"/>
      <c r="M3328" s="59"/>
      <c r="N3328" s="59"/>
      <c r="O3328" s="59"/>
      <c r="P3328" s="61">
        <f t="shared" si="272"/>
        <v>0</v>
      </c>
      <c r="Q3328" s="61"/>
      <c r="R3328" s="62">
        <f t="shared" si="273"/>
        <v>0</v>
      </c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</row>
    <row r="3329">
      <c r="A3329" s="2"/>
      <c r="B3329" s="58"/>
      <c r="C3329" s="59"/>
      <c r="D3329" s="60"/>
      <c r="E3329" s="59"/>
      <c r="F3329" s="59"/>
      <c r="G3329" s="61"/>
      <c r="H3329" s="59"/>
      <c r="I3329" s="61"/>
      <c r="J3329" s="61"/>
      <c r="K3329" s="59"/>
      <c r="L3329" s="59"/>
      <c r="M3329" s="59"/>
      <c r="N3329" s="59"/>
      <c r="O3329" s="59"/>
      <c r="P3329" s="61">
        <f t="shared" si="272"/>
        <v>0</v>
      </c>
      <c r="Q3329" s="59"/>
      <c r="R3329" s="62">
        <f t="shared" si="273"/>
        <v>0</v>
      </c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</row>
    <row r="3330">
      <c r="A3330" s="2"/>
      <c r="B3330" s="58"/>
      <c r="C3330" s="59"/>
      <c r="D3330" s="60"/>
      <c r="E3330" s="59"/>
      <c r="F3330" s="59"/>
      <c r="G3330" s="61"/>
      <c r="H3330" s="61"/>
      <c r="I3330" s="61"/>
      <c r="J3330" s="61"/>
      <c r="K3330" s="59"/>
      <c r="L3330" s="59"/>
      <c r="M3330" s="59"/>
      <c r="N3330" s="59"/>
      <c r="O3330" s="59"/>
      <c r="P3330" s="61">
        <f t="shared" si="272"/>
        <v>0</v>
      </c>
      <c r="Q3330" s="59"/>
      <c r="R3330" s="62">
        <f t="shared" si="273"/>
        <v>0</v>
      </c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</row>
    <row r="3331">
      <c r="A3331" s="2"/>
      <c r="B3331" s="11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66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</row>
    <row r="3332">
      <c r="A3332" s="2"/>
      <c r="B3332" s="72" t="s">
        <v>64</v>
      </c>
      <c r="C3332" s="68"/>
      <c r="D3332" s="73" t="str">
        <f>MONEYTEXT(R3332, "INR")</f>
        <v>Zero Indian rupees</v>
      </c>
      <c r="E3332" s="68"/>
      <c r="F3332" s="68"/>
      <c r="G3332" s="68"/>
      <c r="H3332" s="68"/>
      <c r="I3332" s="68"/>
      <c r="J3332" s="68"/>
      <c r="K3332" s="68"/>
      <c r="L3332" s="68"/>
      <c r="M3332" s="68"/>
      <c r="N3332" s="74" t="s">
        <v>65</v>
      </c>
      <c r="O3332" s="4"/>
      <c r="P3332" s="75">
        <f t="shared" ref="P3332:R3332" si="274">SUM(P3321:P3330)</f>
        <v>0</v>
      </c>
      <c r="Q3332" s="75">
        <f t="shared" si="274"/>
        <v>0</v>
      </c>
      <c r="R3332" s="75">
        <f t="shared" si="274"/>
        <v>0</v>
      </c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</row>
    <row r="3333">
      <c r="A3333" s="2"/>
      <c r="B3333" s="72" t="s">
        <v>66</v>
      </c>
      <c r="C3333" s="68"/>
      <c r="D3333" s="68"/>
      <c r="E3333" s="68"/>
      <c r="F3333" s="68"/>
      <c r="G3333" s="68"/>
      <c r="H3333" s="68"/>
      <c r="I3333" s="68"/>
      <c r="J3333" s="68"/>
      <c r="K3333" s="68"/>
      <c r="L3333" s="68"/>
      <c r="M3333" s="68"/>
      <c r="N3333" s="68"/>
      <c r="O3333" s="76"/>
      <c r="P3333" s="78" t="s">
        <v>67</v>
      </c>
      <c r="Q3333" s="31"/>
      <c r="R3333" s="3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</row>
    <row r="3334">
      <c r="A3334" s="2"/>
      <c r="B3334" s="81" t="s">
        <v>68</v>
      </c>
      <c r="P3334" s="29"/>
      <c r="Q3334" s="29"/>
      <c r="R3334" s="8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</row>
    <row r="3335">
      <c r="A3335" s="2"/>
      <c r="B3335" s="81" t="s">
        <v>70</v>
      </c>
      <c r="P3335" s="29"/>
      <c r="Q3335" s="29"/>
      <c r="R3335" s="8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</row>
    <row r="3336">
      <c r="A3336" s="2"/>
      <c r="B3336" s="11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66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</row>
    <row r="3337">
      <c r="A3337" s="2"/>
      <c r="B3337" s="11"/>
      <c r="C3337" s="2"/>
      <c r="D3337" s="2"/>
      <c r="E3337" s="2"/>
      <c r="F3337" s="2"/>
      <c r="G3337" s="2"/>
      <c r="H3337" s="2"/>
      <c r="I3337" s="2"/>
      <c r="J3337" s="2"/>
      <c r="K3337" s="87" t="s">
        <v>71</v>
      </c>
      <c r="L3337" s="2"/>
      <c r="M3337" s="2"/>
      <c r="N3337" s="2"/>
      <c r="O3337" s="2"/>
      <c r="P3337" s="12" t="s">
        <v>72</v>
      </c>
      <c r="R3337" s="10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</row>
    <row r="3338">
      <c r="A3338" s="2"/>
      <c r="B3338" s="90"/>
      <c r="C3338" s="36"/>
      <c r="D3338" s="36"/>
      <c r="E3338" s="36"/>
      <c r="F3338" s="36"/>
      <c r="G3338" s="36"/>
      <c r="H3338" s="36"/>
      <c r="I3338" s="36"/>
      <c r="J3338" s="36"/>
      <c r="K3338" s="36"/>
      <c r="L3338" s="36"/>
      <c r="M3338" s="36"/>
      <c r="N3338" s="36"/>
      <c r="O3338" s="36"/>
      <c r="P3338" s="36"/>
      <c r="Q3338" s="36"/>
      <c r="R3338" s="91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</row>
    <row r="3339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</row>
    <row r="3340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</row>
    <row r="3341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</row>
    <row r="3342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</row>
    <row r="3343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</row>
    <row r="3344">
      <c r="A3344" s="2"/>
      <c r="B3344" s="3" t="s">
        <v>1</v>
      </c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5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</row>
    <row r="3345">
      <c r="A3345" s="2"/>
      <c r="B3345" s="11"/>
      <c r="F3345" s="12"/>
      <c r="G3345" s="12"/>
      <c r="H3345" s="12"/>
      <c r="I3345" s="12"/>
      <c r="J3345" s="12" t="s">
        <v>2</v>
      </c>
      <c r="N3345" s="2"/>
      <c r="R3345" s="10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</row>
    <row r="3346">
      <c r="A3346" s="2"/>
      <c r="B3346" s="14"/>
      <c r="F3346" s="12"/>
      <c r="G3346" s="12"/>
      <c r="H3346" s="12"/>
      <c r="I3346" s="12"/>
      <c r="J3346" s="12" t="s">
        <v>3</v>
      </c>
      <c r="N3346" s="2"/>
      <c r="R3346" s="10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</row>
    <row r="3347">
      <c r="A3347" s="2"/>
      <c r="B3347" s="14" t="s">
        <v>4</v>
      </c>
      <c r="R3347" s="10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</row>
    <row r="3348">
      <c r="A3348" s="2"/>
      <c r="B3348" s="21" t="s">
        <v>5</v>
      </c>
      <c r="C3348" s="22" t="s">
        <v>6</v>
      </c>
      <c r="D3348" s="4"/>
      <c r="E3348" s="4"/>
      <c r="F3348" s="4"/>
      <c r="G3348" s="4"/>
      <c r="H3348" s="4"/>
      <c r="I3348" s="4"/>
      <c r="J3348" s="4"/>
      <c r="K3348" s="5"/>
      <c r="L3348" s="23" t="s">
        <v>7</v>
      </c>
      <c r="M3348" s="24"/>
      <c r="N3348" s="24"/>
      <c r="O3348" s="4"/>
      <c r="P3348" s="4"/>
      <c r="Q3348" s="4"/>
      <c r="R3348" s="5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</row>
    <row r="3349">
      <c r="A3349" s="2"/>
      <c r="B3349" s="28"/>
      <c r="C3349" s="29" t="s">
        <v>8</v>
      </c>
      <c r="K3349" s="10"/>
      <c r="L3349" s="23" t="s">
        <v>9</v>
      </c>
      <c r="M3349" s="2"/>
      <c r="N3349" s="2"/>
      <c r="R3349" s="10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</row>
    <row r="3350">
      <c r="A3350" s="2"/>
      <c r="B3350" s="21" t="s">
        <v>11</v>
      </c>
      <c r="C3350" s="35" t="s">
        <v>12</v>
      </c>
      <c r="D3350" s="31"/>
      <c r="E3350" s="31"/>
      <c r="F3350" s="31"/>
      <c r="G3350" s="31"/>
      <c r="H3350" s="31"/>
      <c r="I3350" s="31"/>
      <c r="J3350" s="31"/>
      <c r="K3350" s="32"/>
      <c r="L3350" s="23" t="s">
        <v>13</v>
      </c>
      <c r="M3350" s="36"/>
      <c r="N3350" s="36"/>
      <c r="O3350" s="31"/>
      <c r="P3350" s="31"/>
      <c r="Q3350" s="31"/>
      <c r="R3350" s="3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</row>
    <row r="3351">
      <c r="A3351" s="2"/>
      <c r="B3351" s="11"/>
      <c r="R3351" s="10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</row>
    <row r="3352">
      <c r="A3352" s="2"/>
      <c r="B3352" s="46" t="s">
        <v>15</v>
      </c>
      <c r="C3352" s="47" t="s">
        <v>16</v>
      </c>
      <c r="D3352" s="48" t="s">
        <v>17</v>
      </c>
      <c r="E3352" s="48" t="s">
        <v>18</v>
      </c>
      <c r="F3352" s="49" t="s">
        <v>19</v>
      </c>
      <c r="G3352" s="43"/>
      <c r="H3352" s="43"/>
      <c r="I3352" s="43"/>
      <c r="J3352" s="44"/>
      <c r="K3352" s="48" t="s">
        <v>20</v>
      </c>
      <c r="L3352" s="48" t="s">
        <v>21</v>
      </c>
      <c r="M3352" s="48" t="s">
        <v>22</v>
      </c>
      <c r="N3352" s="48" t="s">
        <v>23</v>
      </c>
      <c r="O3352" s="48" t="s">
        <v>24</v>
      </c>
      <c r="P3352" s="48" t="s">
        <v>25</v>
      </c>
      <c r="Q3352" s="48" t="s">
        <v>26</v>
      </c>
      <c r="R3352" s="50" t="s">
        <v>27</v>
      </c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</row>
    <row r="3353">
      <c r="A3353" s="2"/>
      <c r="B3353" s="58"/>
      <c r="C3353" s="59"/>
      <c r="D3353" s="60"/>
      <c r="E3353" s="59"/>
      <c r="F3353" s="59"/>
      <c r="G3353" s="59"/>
      <c r="H3353" s="59"/>
      <c r="I3353" s="61"/>
      <c r="J3353" s="61"/>
      <c r="K3353" s="59"/>
      <c r="L3353" s="59"/>
      <c r="M3353" s="59"/>
      <c r="N3353" s="59"/>
      <c r="O3353" s="59"/>
      <c r="P3353" s="61">
        <f t="shared" ref="P3353:P3362" si="275">N3353*O3353</f>
        <v>0</v>
      </c>
      <c r="Q3353" s="59"/>
      <c r="R3353" s="6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</row>
    <row r="3354">
      <c r="A3354" s="2"/>
      <c r="B3354" s="58"/>
      <c r="C3354" s="59"/>
      <c r="D3354" s="60"/>
      <c r="E3354" s="59"/>
      <c r="F3354" s="59"/>
      <c r="G3354" s="59"/>
      <c r="H3354" s="59"/>
      <c r="I3354" s="61"/>
      <c r="J3354" s="61"/>
      <c r="K3354" s="59"/>
      <c r="L3354" s="59"/>
      <c r="M3354" s="59"/>
      <c r="N3354" s="59"/>
      <c r="O3354" s="59"/>
      <c r="P3354" s="61">
        <f t="shared" si="275"/>
        <v>0</v>
      </c>
      <c r="Q3354" s="61"/>
      <c r="R3354" s="62">
        <f t="shared" ref="R3354:R3362" si="276">P3354+Q3354</f>
        <v>0</v>
      </c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</row>
    <row r="3355">
      <c r="A3355" s="2"/>
      <c r="B3355" s="58"/>
      <c r="C3355" s="59"/>
      <c r="D3355" s="60"/>
      <c r="E3355" s="59"/>
      <c r="F3355" s="59"/>
      <c r="G3355" s="59"/>
      <c r="H3355" s="61"/>
      <c r="I3355" s="61"/>
      <c r="J3355" s="61"/>
      <c r="K3355" s="59"/>
      <c r="L3355" s="59"/>
      <c r="M3355" s="59"/>
      <c r="N3355" s="59"/>
      <c r="O3355" s="59"/>
      <c r="P3355" s="61">
        <f t="shared" si="275"/>
        <v>0</v>
      </c>
      <c r="Q3355" s="61"/>
      <c r="R3355" s="62">
        <f t="shared" si="276"/>
        <v>0</v>
      </c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</row>
    <row r="3356">
      <c r="A3356" s="2"/>
      <c r="B3356" s="58"/>
      <c r="C3356" s="59"/>
      <c r="D3356" s="60"/>
      <c r="E3356" s="59"/>
      <c r="F3356" s="59"/>
      <c r="G3356" s="59"/>
      <c r="H3356" s="61"/>
      <c r="I3356" s="61"/>
      <c r="J3356" s="61"/>
      <c r="K3356" s="59"/>
      <c r="L3356" s="59"/>
      <c r="M3356" s="59"/>
      <c r="N3356" s="59"/>
      <c r="O3356" s="59"/>
      <c r="P3356" s="61">
        <f t="shared" si="275"/>
        <v>0</v>
      </c>
      <c r="Q3356" s="61"/>
      <c r="R3356" s="62">
        <f t="shared" si="276"/>
        <v>0</v>
      </c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</row>
    <row r="3357">
      <c r="A3357" s="2"/>
      <c r="B3357" s="58"/>
      <c r="C3357" s="59"/>
      <c r="D3357" s="60"/>
      <c r="E3357" s="59"/>
      <c r="F3357" s="59"/>
      <c r="G3357" s="59"/>
      <c r="H3357" s="61"/>
      <c r="I3357" s="61"/>
      <c r="J3357" s="61"/>
      <c r="K3357" s="59"/>
      <c r="L3357" s="59"/>
      <c r="M3357" s="59"/>
      <c r="N3357" s="59"/>
      <c r="O3357" s="59"/>
      <c r="P3357" s="61">
        <f t="shared" si="275"/>
        <v>0</v>
      </c>
      <c r="Q3357" s="61"/>
      <c r="R3357" s="62">
        <f t="shared" si="276"/>
        <v>0</v>
      </c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</row>
    <row r="3358">
      <c r="A3358" s="2"/>
      <c r="B3358" s="58"/>
      <c r="C3358" s="59"/>
      <c r="D3358" s="60"/>
      <c r="E3358" s="59"/>
      <c r="F3358" s="59"/>
      <c r="G3358" s="61"/>
      <c r="H3358" s="61"/>
      <c r="I3358" s="61"/>
      <c r="J3358" s="61"/>
      <c r="K3358" s="59"/>
      <c r="L3358" s="59"/>
      <c r="M3358" s="59"/>
      <c r="N3358" s="59"/>
      <c r="O3358" s="59"/>
      <c r="P3358" s="61">
        <f t="shared" si="275"/>
        <v>0</v>
      </c>
      <c r="Q3358" s="61"/>
      <c r="R3358" s="62">
        <f t="shared" si="276"/>
        <v>0</v>
      </c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</row>
    <row r="3359">
      <c r="A3359" s="2"/>
      <c r="B3359" s="58"/>
      <c r="C3359" s="59"/>
      <c r="D3359" s="60"/>
      <c r="E3359" s="59"/>
      <c r="F3359" s="59"/>
      <c r="G3359" s="59"/>
      <c r="H3359" s="59"/>
      <c r="I3359" s="61"/>
      <c r="J3359" s="61"/>
      <c r="K3359" s="59"/>
      <c r="L3359" s="59"/>
      <c r="M3359" s="59"/>
      <c r="N3359" s="59"/>
      <c r="O3359" s="59"/>
      <c r="P3359" s="61">
        <f t="shared" si="275"/>
        <v>0</v>
      </c>
      <c r="Q3359" s="61"/>
      <c r="R3359" s="62">
        <f t="shared" si="276"/>
        <v>0</v>
      </c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/>
    </row>
    <row r="3360">
      <c r="A3360" s="2"/>
      <c r="B3360" s="58"/>
      <c r="C3360" s="59"/>
      <c r="D3360" s="60"/>
      <c r="E3360" s="59"/>
      <c r="F3360" s="59"/>
      <c r="G3360" s="59"/>
      <c r="H3360" s="59"/>
      <c r="I3360" s="61"/>
      <c r="J3360" s="61"/>
      <c r="K3360" s="59"/>
      <c r="L3360" s="59"/>
      <c r="M3360" s="59"/>
      <c r="N3360" s="59"/>
      <c r="O3360" s="59"/>
      <c r="P3360" s="61">
        <f t="shared" si="275"/>
        <v>0</v>
      </c>
      <c r="Q3360" s="61"/>
      <c r="R3360" s="62">
        <f t="shared" si="276"/>
        <v>0</v>
      </c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</row>
    <row r="3361">
      <c r="A3361" s="2"/>
      <c r="B3361" s="58"/>
      <c r="C3361" s="59"/>
      <c r="D3361" s="60"/>
      <c r="E3361" s="59"/>
      <c r="F3361" s="59"/>
      <c r="G3361" s="61"/>
      <c r="H3361" s="59"/>
      <c r="I3361" s="61"/>
      <c r="J3361" s="61"/>
      <c r="K3361" s="59"/>
      <c r="L3361" s="59"/>
      <c r="M3361" s="59"/>
      <c r="N3361" s="59"/>
      <c r="O3361" s="59"/>
      <c r="P3361" s="61">
        <f t="shared" si="275"/>
        <v>0</v>
      </c>
      <c r="Q3361" s="59"/>
      <c r="R3361" s="62">
        <f t="shared" si="276"/>
        <v>0</v>
      </c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</row>
    <row r="3362">
      <c r="A3362" s="2"/>
      <c r="B3362" s="58"/>
      <c r="C3362" s="59"/>
      <c r="D3362" s="60"/>
      <c r="E3362" s="59"/>
      <c r="F3362" s="59"/>
      <c r="G3362" s="61"/>
      <c r="H3362" s="61"/>
      <c r="I3362" s="61"/>
      <c r="J3362" s="61"/>
      <c r="K3362" s="59"/>
      <c r="L3362" s="59"/>
      <c r="M3362" s="59"/>
      <c r="N3362" s="59"/>
      <c r="O3362" s="59"/>
      <c r="P3362" s="61">
        <f t="shared" si="275"/>
        <v>0</v>
      </c>
      <c r="Q3362" s="59"/>
      <c r="R3362" s="62">
        <f t="shared" si="276"/>
        <v>0</v>
      </c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</row>
    <row r="3363">
      <c r="A3363" s="2"/>
      <c r="B3363" s="11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66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</row>
    <row r="3364">
      <c r="A3364" s="2"/>
      <c r="B3364" s="72" t="s">
        <v>64</v>
      </c>
      <c r="C3364" s="68"/>
      <c r="D3364" s="73" t="str">
        <f>MONEYTEXT(R3364, "INR")</f>
        <v>Zero Indian rupees</v>
      </c>
      <c r="E3364" s="68"/>
      <c r="F3364" s="68"/>
      <c r="G3364" s="68"/>
      <c r="H3364" s="68"/>
      <c r="I3364" s="68"/>
      <c r="J3364" s="68"/>
      <c r="K3364" s="68"/>
      <c r="L3364" s="68"/>
      <c r="M3364" s="68"/>
      <c r="N3364" s="74" t="s">
        <v>65</v>
      </c>
      <c r="O3364" s="4"/>
      <c r="P3364" s="75">
        <f t="shared" ref="P3364:R3364" si="277">SUM(P3353:P3362)</f>
        <v>0</v>
      </c>
      <c r="Q3364" s="75">
        <f t="shared" si="277"/>
        <v>0</v>
      </c>
      <c r="R3364" s="75">
        <f t="shared" si="277"/>
        <v>0</v>
      </c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</row>
    <row r="3365">
      <c r="A3365" s="2"/>
      <c r="B3365" s="72" t="s">
        <v>66</v>
      </c>
      <c r="C3365" s="68"/>
      <c r="D3365" s="68"/>
      <c r="E3365" s="68"/>
      <c r="F3365" s="68"/>
      <c r="G3365" s="68"/>
      <c r="H3365" s="68"/>
      <c r="I3365" s="68"/>
      <c r="J3365" s="68"/>
      <c r="K3365" s="68"/>
      <c r="L3365" s="68"/>
      <c r="M3365" s="68"/>
      <c r="N3365" s="68"/>
      <c r="O3365" s="76"/>
      <c r="P3365" s="78" t="s">
        <v>67</v>
      </c>
      <c r="Q3365" s="31"/>
      <c r="R3365" s="3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</row>
    <row r="3366">
      <c r="A3366" s="2"/>
      <c r="B3366" s="81" t="s">
        <v>68</v>
      </c>
      <c r="P3366" s="29"/>
      <c r="Q3366" s="29"/>
      <c r="R3366" s="8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/>
    </row>
    <row r="3367">
      <c r="A3367" s="2"/>
      <c r="B3367" s="81" t="s">
        <v>70</v>
      </c>
      <c r="P3367" s="29"/>
      <c r="Q3367" s="29"/>
      <c r="R3367" s="8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</row>
    <row r="3368">
      <c r="A3368" s="2"/>
      <c r="B3368" s="11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66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</row>
    <row r="3369">
      <c r="A3369" s="2"/>
      <c r="B3369" s="11"/>
      <c r="C3369" s="2"/>
      <c r="D3369" s="2"/>
      <c r="E3369" s="2"/>
      <c r="F3369" s="2"/>
      <c r="G3369" s="2"/>
      <c r="H3369" s="2"/>
      <c r="I3369" s="2"/>
      <c r="J3369" s="2"/>
      <c r="K3369" s="87" t="s">
        <v>71</v>
      </c>
      <c r="L3369" s="2"/>
      <c r="M3369" s="2"/>
      <c r="N3369" s="2"/>
      <c r="O3369" s="2"/>
      <c r="P3369" s="12" t="s">
        <v>72</v>
      </c>
      <c r="R3369" s="10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</row>
    <row r="3370">
      <c r="A3370" s="2"/>
      <c r="B3370" s="90"/>
      <c r="C3370" s="36"/>
      <c r="D3370" s="36"/>
      <c r="E3370" s="36"/>
      <c r="F3370" s="36"/>
      <c r="G3370" s="36"/>
      <c r="H3370" s="36"/>
      <c r="I3370" s="36"/>
      <c r="J3370" s="36"/>
      <c r="K3370" s="36"/>
      <c r="L3370" s="36"/>
      <c r="M3370" s="36"/>
      <c r="N3370" s="36"/>
      <c r="O3370" s="36"/>
      <c r="P3370" s="36"/>
      <c r="Q3370" s="36"/>
      <c r="R3370" s="91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</row>
    <row r="3371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</row>
    <row r="3372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</row>
    <row r="3373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</row>
    <row r="3374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</row>
    <row r="337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</row>
    <row r="3376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</row>
    <row r="3377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</row>
    <row r="3378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</row>
    <row r="3379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</row>
    <row r="3380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</row>
    <row r="3381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</row>
    <row r="3382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</row>
    <row r="3383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</row>
    <row r="3384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</row>
    <row r="338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</row>
    <row r="3386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</row>
    <row r="3387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</row>
    <row r="3388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</row>
    <row r="3389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</row>
    <row r="3390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</row>
    <row r="3391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</row>
    <row r="3392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</row>
    <row r="3393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</row>
    <row r="3394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</row>
    <row r="339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</row>
    <row r="3396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</row>
    <row r="3397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</row>
    <row r="3398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</row>
    <row r="3399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</row>
    <row r="3400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</row>
    <row r="3401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</row>
    <row r="3402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</row>
    <row r="3403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</row>
    <row r="3404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</row>
    <row r="340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</row>
    <row r="3406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</row>
    <row r="3407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</row>
    <row r="3408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</row>
    <row r="3409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</row>
    <row r="3410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</row>
    <row r="3411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</row>
    <row r="3412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</row>
    <row r="3413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</row>
    <row r="3414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</row>
    <row r="341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</row>
    <row r="3416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</row>
    <row r="3417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</row>
    <row r="3418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</row>
    <row r="3419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</row>
    <row r="3420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</row>
    <row r="3421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</row>
    <row r="3422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</row>
    <row r="3423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</row>
    <row r="3424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</row>
    <row r="3425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</row>
    <row r="3426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</row>
    <row r="3427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</row>
    <row r="3428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</row>
    <row r="3429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</row>
    <row r="3430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</row>
    <row r="3431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</row>
    <row r="3432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</row>
    <row r="3433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</row>
    <row r="3434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</row>
    <row r="3435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</row>
    <row r="3436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</row>
    <row r="3437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</row>
    <row r="3438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</row>
    <row r="3439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</row>
    <row r="3440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</row>
    <row r="3441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</row>
    <row r="3442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</row>
    <row r="3443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</row>
    <row r="3444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</row>
    <row r="3445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</row>
    <row r="3446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</row>
    <row r="3447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</row>
    <row r="3448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</row>
    <row r="3449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</row>
    <row r="3450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</row>
    <row r="3451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</row>
    <row r="3452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</row>
    <row r="3453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</row>
    <row r="3454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</row>
    <row r="345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</row>
    <row r="3456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</row>
    <row r="3457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</row>
    <row r="3458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</row>
    <row r="3459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</row>
    <row r="3460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</row>
    <row r="3461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</row>
    <row r="3462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</row>
    <row r="3463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</row>
    <row r="3464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</row>
    <row r="346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</row>
    <row r="3466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</row>
    <row r="3467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</row>
    <row r="3468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</row>
    <row r="3469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</row>
    <row r="3470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</row>
    <row r="3471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</row>
    <row r="3472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</row>
    <row r="3473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</row>
    <row r="3474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</row>
    <row r="3475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</row>
    <row r="3476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</row>
    <row r="3477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</row>
    <row r="3478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</row>
    <row r="3479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</row>
    <row r="3480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</row>
    <row r="3481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</row>
    <row r="3482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</row>
    <row r="3483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</row>
    <row r="3484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</row>
    <row r="3485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</row>
    <row r="3486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</row>
    <row r="3487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</row>
    <row r="3488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</row>
    <row r="3489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</row>
    <row r="3490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2"/>
    </row>
    <row r="3491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</row>
    <row r="3492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</row>
    <row r="3493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</row>
    <row r="3494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</row>
    <row r="349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</row>
    <row r="3496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</row>
    <row r="3497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</row>
    <row r="3498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</row>
    <row r="3499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</row>
    <row r="3500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</row>
    <row r="3501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</row>
    <row r="3502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2"/>
      <c r="AE3502" s="2"/>
      <c r="AF3502" s="2"/>
      <c r="AG3502" s="2"/>
      <c r="AH3502" s="2"/>
      <c r="AI3502" s="2"/>
      <c r="AJ3502" s="2"/>
      <c r="AK3502" s="2"/>
    </row>
    <row r="3503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  <c r="AJ3503" s="2"/>
      <c r="AK3503" s="2"/>
    </row>
    <row r="3504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  <c r="AF3504" s="2"/>
      <c r="AG3504" s="2"/>
      <c r="AH3504" s="2"/>
      <c r="AI3504" s="2"/>
      <c r="AJ3504" s="2"/>
      <c r="AK3504" s="2"/>
    </row>
    <row r="3505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  <c r="AE3505" s="2"/>
      <c r="AF3505" s="2"/>
      <c r="AG3505" s="2"/>
      <c r="AH3505" s="2"/>
      <c r="AI3505" s="2"/>
      <c r="AJ3505" s="2"/>
      <c r="AK3505" s="2"/>
    </row>
    <row r="3506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  <c r="AE3506" s="2"/>
      <c r="AF3506" s="2"/>
      <c r="AG3506" s="2"/>
      <c r="AH3506" s="2"/>
      <c r="AI3506" s="2"/>
      <c r="AJ3506" s="2"/>
      <c r="AK3506" s="2"/>
    </row>
    <row r="3507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  <c r="AE3507" s="2"/>
      <c r="AF3507" s="2"/>
      <c r="AG3507" s="2"/>
      <c r="AH3507" s="2"/>
      <c r="AI3507" s="2"/>
      <c r="AJ3507" s="2"/>
      <c r="AK3507" s="2"/>
    </row>
    <row r="3508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  <c r="AF3508" s="2"/>
      <c r="AG3508" s="2"/>
      <c r="AH3508" s="2"/>
      <c r="AI3508" s="2"/>
      <c r="AJ3508" s="2"/>
      <c r="AK3508" s="2"/>
    </row>
    <row r="3509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  <c r="AE3509" s="2"/>
      <c r="AF3509" s="2"/>
      <c r="AG3509" s="2"/>
      <c r="AH3509" s="2"/>
      <c r="AI3509" s="2"/>
      <c r="AJ3509" s="2"/>
      <c r="AK3509" s="2"/>
    </row>
    <row r="3510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  <c r="AE3510" s="2"/>
      <c r="AF3510" s="2"/>
      <c r="AG3510" s="2"/>
      <c r="AH3510" s="2"/>
      <c r="AI3510" s="2"/>
      <c r="AJ3510" s="2"/>
      <c r="AK3510" s="2"/>
    </row>
    <row r="3511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/>
      <c r="AF3511" s="2"/>
      <c r="AG3511" s="2"/>
      <c r="AH3511" s="2"/>
      <c r="AI3511" s="2"/>
      <c r="AJ3511" s="2"/>
      <c r="AK3511" s="2"/>
    </row>
    <row r="3512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  <c r="AE3512" s="2"/>
      <c r="AF3512" s="2"/>
      <c r="AG3512" s="2"/>
      <c r="AH3512" s="2"/>
      <c r="AI3512" s="2"/>
      <c r="AJ3512" s="2"/>
      <c r="AK3512" s="2"/>
    </row>
    <row r="3513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/>
      <c r="AE3513" s="2"/>
      <c r="AF3513" s="2"/>
      <c r="AG3513" s="2"/>
      <c r="AH3513" s="2"/>
      <c r="AI3513" s="2"/>
      <c r="AJ3513" s="2"/>
      <c r="AK3513" s="2"/>
    </row>
    <row r="3514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  <c r="AF3514" s="2"/>
      <c r="AG3514" s="2"/>
      <c r="AH3514" s="2"/>
      <c r="AI3514" s="2"/>
      <c r="AJ3514" s="2"/>
      <c r="AK3514" s="2"/>
    </row>
    <row r="3515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/>
      <c r="AE3515" s="2"/>
      <c r="AF3515" s="2"/>
      <c r="AG3515" s="2"/>
      <c r="AH3515" s="2"/>
      <c r="AI3515" s="2"/>
      <c r="AJ3515" s="2"/>
      <c r="AK3515" s="2"/>
    </row>
    <row r="3516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2"/>
      <c r="AG3516" s="2"/>
      <c r="AH3516" s="2"/>
      <c r="AI3516" s="2"/>
      <c r="AJ3516" s="2"/>
      <c r="AK3516" s="2"/>
    </row>
    <row r="3517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2"/>
      <c r="AG3517" s="2"/>
      <c r="AH3517" s="2"/>
      <c r="AI3517" s="2"/>
      <c r="AJ3517" s="2"/>
      <c r="AK3517" s="2"/>
    </row>
    <row r="3518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/>
      <c r="AE3518" s="2"/>
      <c r="AF3518" s="2"/>
      <c r="AG3518" s="2"/>
      <c r="AH3518" s="2"/>
      <c r="AI3518" s="2"/>
      <c r="AJ3518" s="2"/>
      <c r="AK3518" s="2"/>
    </row>
    <row r="3519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  <c r="AK3519" s="2"/>
    </row>
    <row r="3520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  <c r="AE3520" s="2"/>
      <c r="AF3520" s="2"/>
      <c r="AG3520" s="2"/>
      <c r="AH3520" s="2"/>
      <c r="AI3520" s="2"/>
      <c r="AJ3520" s="2"/>
      <c r="AK3520" s="2"/>
    </row>
    <row r="3521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2"/>
      <c r="AG3521" s="2"/>
      <c r="AH3521" s="2"/>
      <c r="AI3521" s="2"/>
      <c r="AJ3521" s="2"/>
      <c r="AK3521" s="2"/>
    </row>
    <row r="3522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  <c r="AG3522" s="2"/>
      <c r="AH3522" s="2"/>
      <c r="AI3522" s="2"/>
      <c r="AJ3522" s="2"/>
      <c r="AK3522" s="2"/>
    </row>
    <row r="3523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/>
      <c r="AE3523" s="2"/>
      <c r="AF3523" s="2"/>
      <c r="AG3523" s="2"/>
      <c r="AH3523" s="2"/>
      <c r="AI3523" s="2"/>
      <c r="AJ3523" s="2"/>
      <c r="AK3523" s="2"/>
    </row>
    <row r="3524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  <c r="AE3524" s="2"/>
      <c r="AF3524" s="2"/>
      <c r="AG3524" s="2"/>
      <c r="AH3524" s="2"/>
      <c r="AI3524" s="2"/>
      <c r="AJ3524" s="2"/>
      <c r="AK3524" s="2"/>
    </row>
    <row r="3525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  <c r="AF3525" s="2"/>
      <c r="AG3525" s="2"/>
      <c r="AH3525" s="2"/>
      <c r="AI3525" s="2"/>
      <c r="AJ3525" s="2"/>
      <c r="AK3525" s="2"/>
    </row>
    <row r="3526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  <c r="AF3526" s="2"/>
      <c r="AG3526" s="2"/>
      <c r="AH3526" s="2"/>
      <c r="AI3526" s="2"/>
      <c r="AJ3526" s="2"/>
      <c r="AK3526" s="2"/>
    </row>
    <row r="3527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  <c r="AE3527" s="2"/>
      <c r="AF3527" s="2"/>
      <c r="AG3527" s="2"/>
      <c r="AH3527" s="2"/>
      <c r="AI3527" s="2"/>
      <c r="AJ3527" s="2"/>
      <c r="AK3527" s="2"/>
    </row>
    <row r="3528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  <c r="AE3528" s="2"/>
      <c r="AF3528" s="2"/>
      <c r="AG3528" s="2"/>
      <c r="AH3528" s="2"/>
      <c r="AI3528" s="2"/>
      <c r="AJ3528" s="2"/>
      <c r="AK3528" s="2"/>
    </row>
    <row r="3529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  <c r="AD3529" s="2"/>
      <c r="AE3529" s="2"/>
      <c r="AF3529" s="2"/>
      <c r="AG3529" s="2"/>
      <c r="AH3529" s="2"/>
      <c r="AI3529" s="2"/>
      <c r="AJ3529" s="2"/>
      <c r="AK3529" s="2"/>
    </row>
    <row r="3530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  <c r="AE3530" s="2"/>
      <c r="AF3530" s="2"/>
      <c r="AG3530" s="2"/>
      <c r="AH3530" s="2"/>
      <c r="AI3530" s="2"/>
      <c r="AJ3530" s="2"/>
      <c r="AK3530" s="2"/>
    </row>
    <row r="3531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  <c r="AE3531" s="2"/>
      <c r="AF3531" s="2"/>
      <c r="AG3531" s="2"/>
      <c r="AH3531" s="2"/>
      <c r="AI3531" s="2"/>
      <c r="AJ3531" s="2"/>
      <c r="AK3531" s="2"/>
    </row>
    <row r="3532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  <c r="AE3532" s="2"/>
      <c r="AF3532" s="2"/>
      <c r="AG3532" s="2"/>
      <c r="AH3532" s="2"/>
      <c r="AI3532" s="2"/>
      <c r="AJ3532" s="2"/>
      <c r="AK3532" s="2"/>
    </row>
    <row r="3533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  <c r="AE3533" s="2"/>
      <c r="AF3533" s="2"/>
      <c r="AG3533" s="2"/>
      <c r="AH3533" s="2"/>
      <c r="AI3533" s="2"/>
      <c r="AJ3533" s="2"/>
      <c r="AK3533" s="2"/>
    </row>
    <row r="3534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  <c r="AE3534" s="2"/>
      <c r="AF3534" s="2"/>
      <c r="AG3534" s="2"/>
      <c r="AH3534" s="2"/>
      <c r="AI3534" s="2"/>
      <c r="AJ3534" s="2"/>
      <c r="AK3534" s="2"/>
    </row>
    <row r="3535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  <c r="AF3535" s="2"/>
      <c r="AG3535" s="2"/>
      <c r="AH3535" s="2"/>
      <c r="AI3535" s="2"/>
      <c r="AJ3535" s="2"/>
      <c r="AK3535" s="2"/>
    </row>
    <row r="3536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  <c r="AF3536" s="2"/>
      <c r="AG3536" s="2"/>
      <c r="AH3536" s="2"/>
      <c r="AI3536" s="2"/>
      <c r="AJ3536" s="2"/>
      <c r="AK3536" s="2"/>
    </row>
    <row r="3537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  <c r="AE3537" s="2"/>
      <c r="AF3537" s="2"/>
      <c r="AG3537" s="2"/>
      <c r="AH3537" s="2"/>
      <c r="AI3537" s="2"/>
      <c r="AJ3537" s="2"/>
      <c r="AK3537" s="2"/>
    </row>
    <row r="3538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  <c r="AE3538" s="2"/>
      <c r="AF3538" s="2"/>
      <c r="AG3538" s="2"/>
      <c r="AH3538" s="2"/>
      <c r="AI3538" s="2"/>
      <c r="AJ3538" s="2"/>
      <c r="AK3538" s="2"/>
    </row>
    <row r="3539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  <c r="AE3539" s="2"/>
      <c r="AF3539" s="2"/>
      <c r="AG3539" s="2"/>
      <c r="AH3539" s="2"/>
      <c r="AI3539" s="2"/>
      <c r="AJ3539" s="2"/>
      <c r="AK3539" s="2"/>
    </row>
    <row r="3540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2"/>
      <c r="AG3540" s="2"/>
      <c r="AH3540" s="2"/>
      <c r="AI3540" s="2"/>
      <c r="AJ3540" s="2"/>
      <c r="AK3540" s="2"/>
    </row>
    <row r="3541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  <c r="AD3541" s="2"/>
      <c r="AE3541" s="2"/>
      <c r="AF3541" s="2"/>
      <c r="AG3541" s="2"/>
      <c r="AH3541" s="2"/>
      <c r="AI3541" s="2"/>
      <c r="AJ3541" s="2"/>
      <c r="AK3541" s="2"/>
    </row>
    <row r="3542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  <c r="AF3542" s="2"/>
      <c r="AG3542" s="2"/>
      <c r="AH3542" s="2"/>
      <c r="AI3542" s="2"/>
      <c r="AJ3542" s="2"/>
      <c r="AK3542" s="2"/>
    </row>
    <row r="3543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  <c r="AG3543" s="2"/>
      <c r="AH3543" s="2"/>
      <c r="AI3543" s="2"/>
      <c r="AJ3543" s="2"/>
      <c r="AK3543" s="2"/>
    </row>
    <row r="3544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  <c r="AE3544" s="2"/>
      <c r="AF3544" s="2"/>
      <c r="AG3544" s="2"/>
      <c r="AH3544" s="2"/>
      <c r="AI3544" s="2"/>
      <c r="AJ3544" s="2"/>
      <c r="AK3544" s="2"/>
    </row>
    <row r="3545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  <c r="AE3545" s="2"/>
      <c r="AF3545" s="2"/>
      <c r="AG3545" s="2"/>
      <c r="AH3545" s="2"/>
      <c r="AI3545" s="2"/>
      <c r="AJ3545" s="2"/>
      <c r="AK3545" s="2"/>
    </row>
    <row r="3546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  <c r="AE3546" s="2"/>
      <c r="AF3546" s="2"/>
      <c r="AG3546" s="2"/>
      <c r="AH3546" s="2"/>
      <c r="AI3546" s="2"/>
      <c r="AJ3546" s="2"/>
      <c r="AK3546" s="2"/>
    </row>
    <row r="3547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2"/>
      <c r="AG3547" s="2"/>
      <c r="AH3547" s="2"/>
      <c r="AI3547" s="2"/>
      <c r="AJ3547" s="2"/>
      <c r="AK3547" s="2"/>
    </row>
    <row r="3548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  <c r="AE3548" s="2"/>
      <c r="AF3548" s="2"/>
      <c r="AG3548" s="2"/>
      <c r="AH3548" s="2"/>
      <c r="AI3548" s="2"/>
      <c r="AJ3548" s="2"/>
      <c r="AK3548" s="2"/>
    </row>
    <row r="3549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  <c r="AG3549" s="2"/>
      <c r="AH3549" s="2"/>
      <c r="AI3549" s="2"/>
      <c r="AJ3549" s="2"/>
      <c r="AK3549" s="2"/>
    </row>
    <row r="3550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  <c r="AG3550" s="2"/>
      <c r="AH3550" s="2"/>
      <c r="AI3550" s="2"/>
      <c r="AJ3550" s="2"/>
      <c r="AK3550" s="2"/>
    </row>
    <row r="3551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2"/>
      <c r="AG3551" s="2"/>
      <c r="AH3551" s="2"/>
      <c r="AI3551" s="2"/>
      <c r="AJ3551" s="2"/>
      <c r="AK3551" s="2"/>
    </row>
    <row r="3552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  <c r="AE3552" s="2"/>
      <c r="AF3552" s="2"/>
      <c r="AG3552" s="2"/>
      <c r="AH3552" s="2"/>
      <c r="AI3552" s="2"/>
      <c r="AJ3552" s="2"/>
      <c r="AK3552" s="2"/>
    </row>
    <row r="3553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  <c r="AF3553" s="2"/>
      <c r="AG3553" s="2"/>
      <c r="AH3553" s="2"/>
      <c r="AI3553" s="2"/>
      <c r="AJ3553" s="2"/>
      <c r="AK3553" s="2"/>
    </row>
    <row r="3554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  <c r="AE3554" s="2"/>
      <c r="AF3554" s="2"/>
      <c r="AG3554" s="2"/>
      <c r="AH3554" s="2"/>
      <c r="AI3554" s="2"/>
      <c r="AJ3554" s="2"/>
      <c r="AK3554" s="2"/>
    </row>
    <row r="3555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  <c r="AE3555" s="2"/>
      <c r="AF3555" s="2"/>
      <c r="AG3555" s="2"/>
      <c r="AH3555" s="2"/>
      <c r="AI3555" s="2"/>
      <c r="AJ3555" s="2"/>
      <c r="AK3555" s="2"/>
    </row>
    <row r="3556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  <c r="AE3556" s="2"/>
      <c r="AF3556" s="2"/>
      <c r="AG3556" s="2"/>
      <c r="AH3556" s="2"/>
      <c r="AI3556" s="2"/>
      <c r="AJ3556" s="2"/>
      <c r="AK3556" s="2"/>
    </row>
    <row r="3557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  <c r="AE3557" s="2"/>
      <c r="AF3557" s="2"/>
      <c r="AG3557" s="2"/>
      <c r="AH3557" s="2"/>
      <c r="AI3557" s="2"/>
      <c r="AJ3557" s="2"/>
      <c r="AK3557" s="2"/>
    </row>
    <row r="3558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/>
      <c r="AE3558" s="2"/>
      <c r="AF3558" s="2"/>
      <c r="AG3558" s="2"/>
      <c r="AH3558" s="2"/>
      <c r="AI3558" s="2"/>
      <c r="AJ3558" s="2"/>
      <c r="AK3558" s="2"/>
    </row>
    <row r="3559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  <c r="AE3559" s="2"/>
      <c r="AF3559" s="2"/>
      <c r="AG3559" s="2"/>
      <c r="AH3559" s="2"/>
      <c r="AI3559" s="2"/>
      <c r="AJ3559" s="2"/>
      <c r="AK3559" s="2"/>
    </row>
    <row r="3560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2"/>
      <c r="AG3560" s="2"/>
      <c r="AH3560" s="2"/>
      <c r="AI3560" s="2"/>
      <c r="AJ3560" s="2"/>
      <c r="AK3560" s="2"/>
    </row>
    <row r="3561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  <c r="AF3561" s="2"/>
      <c r="AG3561" s="2"/>
      <c r="AH3561" s="2"/>
      <c r="AI3561" s="2"/>
      <c r="AJ3561" s="2"/>
      <c r="AK3561" s="2"/>
    </row>
    <row r="3562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  <c r="AF3562" s="2"/>
      <c r="AG3562" s="2"/>
      <c r="AH3562" s="2"/>
      <c r="AI3562" s="2"/>
      <c r="AJ3562" s="2"/>
      <c r="AK3562" s="2"/>
    </row>
    <row r="3563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2"/>
      <c r="AH3563" s="2"/>
      <c r="AI3563" s="2"/>
      <c r="AJ3563" s="2"/>
      <c r="AK3563" s="2"/>
    </row>
    <row r="3564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  <c r="AE3564" s="2"/>
      <c r="AF3564" s="2"/>
      <c r="AG3564" s="2"/>
      <c r="AH3564" s="2"/>
      <c r="AI3564" s="2"/>
      <c r="AJ3564" s="2"/>
      <c r="AK3564" s="2"/>
    </row>
    <row r="3565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2"/>
      <c r="AG3565" s="2"/>
      <c r="AH3565" s="2"/>
      <c r="AI3565" s="2"/>
      <c r="AJ3565" s="2"/>
      <c r="AK3565" s="2"/>
    </row>
    <row r="3566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  <c r="AE3566" s="2"/>
      <c r="AF3566" s="2"/>
      <c r="AG3566" s="2"/>
      <c r="AH3566" s="2"/>
      <c r="AI3566" s="2"/>
      <c r="AJ3566" s="2"/>
      <c r="AK3566" s="2"/>
    </row>
    <row r="3567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  <c r="AF3567" s="2"/>
      <c r="AG3567" s="2"/>
      <c r="AH3567" s="2"/>
      <c r="AI3567" s="2"/>
      <c r="AJ3567" s="2"/>
      <c r="AK3567" s="2"/>
    </row>
    <row r="3568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  <c r="AE3568" s="2"/>
      <c r="AF3568" s="2"/>
      <c r="AG3568" s="2"/>
      <c r="AH3568" s="2"/>
      <c r="AI3568" s="2"/>
      <c r="AJ3568" s="2"/>
      <c r="AK3568" s="2"/>
    </row>
    <row r="3569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2"/>
      <c r="AG3569" s="2"/>
      <c r="AH3569" s="2"/>
      <c r="AI3569" s="2"/>
      <c r="AJ3569" s="2"/>
      <c r="AK3569" s="2"/>
    </row>
    <row r="3570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  <c r="AF3570" s="2"/>
      <c r="AG3570" s="2"/>
      <c r="AH3570" s="2"/>
      <c r="AI3570" s="2"/>
      <c r="AJ3570" s="2"/>
      <c r="AK3570" s="2"/>
    </row>
    <row r="3571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  <c r="AG3571" s="2"/>
      <c r="AH3571" s="2"/>
      <c r="AI3571" s="2"/>
      <c r="AJ3571" s="2"/>
      <c r="AK3571" s="2"/>
    </row>
    <row r="3572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2"/>
      <c r="AG3572" s="2"/>
      <c r="AH3572" s="2"/>
      <c r="AI3572" s="2"/>
      <c r="AJ3572" s="2"/>
      <c r="AK3572" s="2"/>
    </row>
    <row r="3573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  <c r="AG3573" s="2"/>
      <c r="AH3573" s="2"/>
      <c r="AI3573" s="2"/>
      <c r="AJ3573" s="2"/>
      <c r="AK3573" s="2"/>
    </row>
    <row r="3574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2"/>
      <c r="AG3574" s="2"/>
      <c r="AH3574" s="2"/>
      <c r="AI3574" s="2"/>
      <c r="AJ3574" s="2"/>
      <c r="AK3574" s="2"/>
    </row>
    <row r="3575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  <c r="AE3575" s="2"/>
      <c r="AF3575" s="2"/>
      <c r="AG3575" s="2"/>
      <c r="AH3575" s="2"/>
      <c r="AI3575" s="2"/>
      <c r="AJ3575" s="2"/>
      <c r="AK3575" s="2"/>
    </row>
    <row r="3576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  <c r="AE3576" s="2"/>
      <c r="AF3576" s="2"/>
      <c r="AG3576" s="2"/>
      <c r="AH3576" s="2"/>
      <c r="AI3576" s="2"/>
      <c r="AJ3576" s="2"/>
      <c r="AK3576" s="2"/>
    </row>
    <row r="3577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  <c r="AE3577" s="2"/>
      <c r="AF3577" s="2"/>
      <c r="AG3577" s="2"/>
      <c r="AH3577" s="2"/>
      <c r="AI3577" s="2"/>
      <c r="AJ3577" s="2"/>
      <c r="AK3577" s="2"/>
    </row>
    <row r="3578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/>
      <c r="AE3578" s="2"/>
      <c r="AF3578" s="2"/>
      <c r="AG3578" s="2"/>
      <c r="AH3578" s="2"/>
      <c r="AI3578" s="2"/>
      <c r="AJ3578" s="2"/>
      <c r="AK3578" s="2"/>
    </row>
    <row r="3579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  <c r="AE3579" s="2"/>
      <c r="AF3579" s="2"/>
      <c r="AG3579" s="2"/>
      <c r="AH3579" s="2"/>
      <c r="AI3579" s="2"/>
      <c r="AJ3579" s="2"/>
      <c r="AK3579" s="2"/>
    </row>
    <row r="3580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  <c r="AE3580" s="2"/>
      <c r="AF3580" s="2"/>
      <c r="AG3580" s="2"/>
      <c r="AH3580" s="2"/>
      <c r="AI3580" s="2"/>
      <c r="AJ3580" s="2"/>
      <c r="AK3580" s="2"/>
    </row>
    <row r="3581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2"/>
      <c r="AG3581" s="2"/>
      <c r="AH3581" s="2"/>
      <c r="AI3581" s="2"/>
      <c r="AJ3581" s="2"/>
      <c r="AK3581" s="2"/>
    </row>
    <row r="3582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  <c r="AE3582" s="2"/>
      <c r="AF3582" s="2"/>
      <c r="AG3582" s="2"/>
      <c r="AH3582" s="2"/>
      <c r="AI3582" s="2"/>
      <c r="AJ3582" s="2"/>
      <c r="AK3582" s="2"/>
    </row>
    <row r="3583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  <c r="AJ3583" s="2"/>
      <c r="AK3583" s="2"/>
    </row>
    <row r="3584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  <c r="AE3584" s="2"/>
      <c r="AF3584" s="2"/>
      <c r="AG3584" s="2"/>
      <c r="AH3584" s="2"/>
      <c r="AI3584" s="2"/>
      <c r="AJ3584" s="2"/>
      <c r="AK3584" s="2"/>
    </row>
    <row r="3585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  <c r="AJ3585" s="2"/>
      <c r="AK3585" s="2"/>
    </row>
    <row r="3586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  <c r="AE3586" s="2"/>
      <c r="AF3586" s="2"/>
      <c r="AG3586" s="2"/>
      <c r="AH3586" s="2"/>
      <c r="AI3586" s="2"/>
      <c r="AJ3586" s="2"/>
      <c r="AK3586" s="2"/>
    </row>
    <row r="3587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  <c r="AF3587" s="2"/>
      <c r="AG3587" s="2"/>
      <c r="AH3587" s="2"/>
      <c r="AI3587" s="2"/>
      <c r="AJ3587" s="2"/>
      <c r="AK3587" s="2"/>
    </row>
    <row r="3588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  <c r="AF3588" s="2"/>
      <c r="AG3588" s="2"/>
      <c r="AH3588" s="2"/>
      <c r="AI3588" s="2"/>
      <c r="AJ3588" s="2"/>
      <c r="AK3588" s="2"/>
    </row>
    <row r="3589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  <c r="AE3589" s="2"/>
      <c r="AF3589" s="2"/>
      <c r="AG3589" s="2"/>
      <c r="AH3589" s="2"/>
      <c r="AI3589" s="2"/>
      <c r="AJ3589" s="2"/>
      <c r="AK3589" s="2"/>
    </row>
    <row r="3590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  <c r="AE3590" s="2"/>
      <c r="AF3590" s="2"/>
      <c r="AG3590" s="2"/>
      <c r="AH3590" s="2"/>
      <c r="AI3590" s="2"/>
      <c r="AJ3590" s="2"/>
      <c r="AK3590" s="2"/>
    </row>
    <row r="3591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  <c r="AE3591" s="2"/>
      <c r="AF3591" s="2"/>
      <c r="AG3591" s="2"/>
      <c r="AH3591" s="2"/>
      <c r="AI3591" s="2"/>
      <c r="AJ3591" s="2"/>
      <c r="AK3591" s="2"/>
    </row>
    <row r="3592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  <c r="AE3592" s="2"/>
      <c r="AF3592" s="2"/>
      <c r="AG3592" s="2"/>
      <c r="AH3592" s="2"/>
      <c r="AI3592" s="2"/>
      <c r="AJ3592" s="2"/>
      <c r="AK3592" s="2"/>
    </row>
    <row r="3593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  <c r="AE3593" s="2"/>
      <c r="AF3593" s="2"/>
      <c r="AG3593" s="2"/>
      <c r="AH3593" s="2"/>
      <c r="AI3593" s="2"/>
      <c r="AJ3593" s="2"/>
      <c r="AK3593" s="2"/>
    </row>
    <row r="3594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  <c r="AJ3594" s="2"/>
      <c r="AK3594" s="2"/>
    </row>
    <row r="3595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  <c r="AJ3595" s="2"/>
      <c r="AK3595" s="2"/>
    </row>
    <row r="3596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  <c r="AJ3596" s="2"/>
      <c r="AK3596" s="2"/>
    </row>
    <row r="3597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  <c r="AE3597" s="2"/>
      <c r="AF3597" s="2"/>
      <c r="AG3597" s="2"/>
      <c r="AH3597" s="2"/>
      <c r="AI3597" s="2"/>
      <c r="AJ3597" s="2"/>
      <c r="AK3597" s="2"/>
    </row>
    <row r="3598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  <c r="AE3598" s="2"/>
      <c r="AF3598" s="2"/>
      <c r="AG3598" s="2"/>
      <c r="AH3598" s="2"/>
      <c r="AI3598" s="2"/>
      <c r="AJ3598" s="2"/>
      <c r="AK3598" s="2"/>
    </row>
    <row r="3599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  <c r="AJ3599" s="2"/>
      <c r="AK3599" s="2"/>
    </row>
    <row r="3600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  <c r="AE3600" s="2"/>
      <c r="AF3600" s="2"/>
      <c r="AG3600" s="2"/>
      <c r="AH3600" s="2"/>
      <c r="AI3600" s="2"/>
      <c r="AJ3600" s="2"/>
      <c r="AK3600" s="2"/>
    </row>
    <row r="3601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  <c r="AE3601" s="2"/>
      <c r="AF3601" s="2"/>
      <c r="AG3601" s="2"/>
      <c r="AH3601" s="2"/>
      <c r="AI3601" s="2"/>
      <c r="AJ3601" s="2"/>
      <c r="AK3601" s="2"/>
    </row>
    <row r="3602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  <c r="AF3602" s="2"/>
      <c r="AG3602" s="2"/>
      <c r="AH3602" s="2"/>
      <c r="AI3602" s="2"/>
      <c r="AJ3602" s="2"/>
      <c r="AK3602" s="2"/>
    </row>
    <row r="3603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  <c r="AJ3603" s="2"/>
      <c r="AK3603" s="2"/>
    </row>
    <row r="3604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  <c r="AF3604" s="2"/>
      <c r="AG3604" s="2"/>
      <c r="AH3604" s="2"/>
      <c r="AI3604" s="2"/>
      <c r="AJ3604" s="2"/>
      <c r="AK3604" s="2"/>
    </row>
    <row r="3605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2"/>
      <c r="AG3605" s="2"/>
      <c r="AH3605" s="2"/>
      <c r="AI3605" s="2"/>
      <c r="AJ3605" s="2"/>
      <c r="AK3605" s="2"/>
    </row>
    <row r="3606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  <c r="AE3606" s="2"/>
      <c r="AF3606" s="2"/>
      <c r="AG3606" s="2"/>
      <c r="AH3606" s="2"/>
      <c r="AI3606" s="2"/>
      <c r="AJ3606" s="2"/>
      <c r="AK3606" s="2"/>
    </row>
    <row r="3607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  <c r="AJ3607" s="2"/>
      <c r="AK3607" s="2"/>
    </row>
    <row r="3608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2"/>
      <c r="AE3608" s="2"/>
      <c r="AF3608" s="2"/>
      <c r="AG3608" s="2"/>
      <c r="AH3608" s="2"/>
      <c r="AI3608" s="2"/>
      <c r="AJ3608" s="2"/>
      <c r="AK3608" s="2"/>
    </row>
    <row r="3609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  <c r="AJ3609" s="2"/>
      <c r="AK3609" s="2"/>
    </row>
    <row r="3610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  <c r="AE3610" s="2"/>
      <c r="AF3610" s="2"/>
      <c r="AG3610" s="2"/>
      <c r="AH3610" s="2"/>
      <c r="AI3610" s="2"/>
      <c r="AJ3610" s="2"/>
      <c r="AK3610" s="2"/>
    </row>
    <row r="3611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  <c r="AE3611" s="2"/>
      <c r="AF3611" s="2"/>
      <c r="AG3611" s="2"/>
      <c r="AH3611" s="2"/>
      <c r="AI3611" s="2"/>
      <c r="AJ3611" s="2"/>
      <c r="AK3611" s="2"/>
    </row>
    <row r="3612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2"/>
      <c r="AE3612" s="2"/>
      <c r="AF3612" s="2"/>
      <c r="AG3612" s="2"/>
      <c r="AH3612" s="2"/>
      <c r="AI3612" s="2"/>
      <c r="AJ3612" s="2"/>
      <c r="AK3612" s="2"/>
    </row>
    <row r="3613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2"/>
      <c r="AE3613" s="2"/>
      <c r="AF3613" s="2"/>
      <c r="AG3613" s="2"/>
      <c r="AH3613" s="2"/>
      <c r="AI3613" s="2"/>
      <c r="AJ3613" s="2"/>
      <c r="AK3613" s="2"/>
    </row>
    <row r="3614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  <c r="AE3614" s="2"/>
      <c r="AF3614" s="2"/>
      <c r="AG3614" s="2"/>
      <c r="AH3614" s="2"/>
      <c r="AI3614" s="2"/>
      <c r="AJ3614" s="2"/>
      <c r="AK3614" s="2"/>
    </row>
    <row r="3615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  <c r="AJ3615" s="2"/>
      <c r="AK3615" s="2"/>
    </row>
    <row r="3616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  <c r="AF3616" s="2"/>
      <c r="AG3616" s="2"/>
      <c r="AH3616" s="2"/>
      <c r="AI3616" s="2"/>
      <c r="AJ3616" s="2"/>
      <c r="AK3616" s="2"/>
    </row>
    <row r="3617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2"/>
      <c r="AG3617" s="2"/>
      <c r="AH3617" s="2"/>
      <c r="AI3617" s="2"/>
      <c r="AJ3617" s="2"/>
      <c r="AK3617" s="2"/>
    </row>
    <row r="3618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  <c r="AF3618" s="2"/>
      <c r="AG3618" s="2"/>
      <c r="AH3618" s="2"/>
      <c r="AI3618" s="2"/>
      <c r="AJ3618" s="2"/>
      <c r="AK3618" s="2"/>
    </row>
    <row r="3619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  <c r="AE3619" s="2"/>
      <c r="AF3619" s="2"/>
      <c r="AG3619" s="2"/>
      <c r="AH3619" s="2"/>
      <c r="AI3619" s="2"/>
      <c r="AJ3619" s="2"/>
      <c r="AK3619" s="2"/>
    </row>
    <row r="3620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  <c r="AJ3620" s="2"/>
      <c r="AK3620" s="2"/>
    </row>
    <row r="3621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  <c r="AE3621" s="2"/>
      <c r="AF3621" s="2"/>
      <c r="AG3621" s="2"/>
      <c r="AH3621" s="2"/>
      <c r="AI3621" s="2"/>
      <c r="AJ3621" s="2"/>
      <c r="AK3621" s="2"/>
    </row>
    <row r="3622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2"/>
      <c r="AE3622" s="2"/>
      <c r="AF3622" s="2"/>
      <c r="AG3622" s="2"/>
      <c r="AH3622" s="2"/>
      <c r="AI3622" s="2"/>
      <c r="AJ3622" s="2"/>
      <c r="AK3622" s="2"/>
    </row>
    <row r="3623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  <c r="AE3623" s="2"/>
      <c r="AF3623" s="2"/>
      <c r="AG3623" s="2"/>
      <c r="AH3623" s="2"/>
      <c r="AI3623" s="2"/>
      <c r="AJ3623" s="2"/>
      <c r="AK3623" s="2"/>
    </row>
    <row r="3624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  <c r="AE3624" s="2"/>
      <c r="AF3624" s="2"/>
      <c r="AG3624" s="2"/>
      <c r="AH3624" s="2"/>
      <c r="AI3624" s="2"/>
      <c r="AJ3624" s="2"/>
      <c r="AK3624" s="2"/>
    </row>
    <row r="3625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  <c r="AJ3625" s="2"/>
      <c r="AK3625" s="2"/>
    </row>
    <row r="3626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  <c r="AE3626" s="2"/>
      <c r="AF3626" s="2"/>
      <c r="AG3626" s="2"/>
      <c r="AH3626" s="2"/>
      <c r="AI3626" s="2"/>
      <c r="AJ3626" s="2"/>
      <c r="AK3626" s="2"/>
    </row>
    <row r="3627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  <c r="AJ3627" s="2"/>
      <c r="AK3627" s="2"/>
    </row>
    <row r="3628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  <c r="AE3628" s="2"/>
      <c r="AF3628" s="2"/>
      <c r="AG3628" s="2"/>
      <c r="AH3628" s="2"/>
      <c r="AI3628" s="2"/>
      <c r="AJ3628" s="2"/>
      <c r="AK3628" s="2"/>
    </row>
    <row r="3629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  <c r="AE3629" s="2"/>
      <c r="AF3629" s="2"/>
      <c r="AG3629" s="2"/>
      <c r="AH3629" s="2"/>
      <c r="AI3629" s="2"/>
      <c r="AJ3629" s="2"/>
      <c r="AK3629" s="2"/>
    </row>
    <row r="3630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2"/>
      <c r="AE3630" s="2"/>
      <c r="AF3630" s="2"/>
      <c r="AG3630" s="2"/>
      <c r="AH3630" s="2"/>
      <c r="AI3630" s="2"/>
      <c r="AJ3630" s="2"/>
      <c r="AK3630" s="2"/>
    </row>
    <row r="3631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2"/>
    </row>
    <row r="3632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  <c r="AF3632" s="2"/>
      <c r="AG3632" s="2"/>
      <c r="AH3632" s="2"/>
      <c r="AI3632" s="2"/>
      <c r="AJ3632" s="2"/>
      <c r="AK3632" s="2"/>
    </row>
    <row r="3633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  <c r="AE3633" s="2"/>
      <c r="AF3633" s="2"/>
      <c r="AG3633" s="2"/>
      <c r="AH3633" s="2"/>
      <c r="AI3633" s="2"/>
      <c r="AJ3633" s="2"/>
      <c r="AK3633" s="2"/>
    </row>
    <row r="3634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  <c r="AE3634" s="2"/>
      <c r="AF3634" s="2"/>
      <c r="AG3634" s="2"/>
      <c r="AH3634" s="2"/>
      <c r="AI3634" s="2"/>
      <c r="AJ3634" s="2"/>
      <c r="AK3634" s="2"/>
    </row>
    <row r="3635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2"/>
      <c r="AE3635" s="2"/>
      <c r="AF3635" s="2"/>
      <c r="AG3635" s="2"/>
      <c r="AH3635" s="2"/>
      <c r="AI3635" s="2"/>
      <c r="AJ3635" s="2"/>
      <c r="AK3635" s="2"/>
    </row>
    <row r="3636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  <c r="AE3636" s="2"/>
      <c r="AF3636" s="2"/>
      <c r="AG3636" s="2"/>
      <c r="AH3636" s="2"/>
      <c r="AI3636" s="2"/>
      <c r="AJ3636" s="2"/>
      <c r="AK3636" s="2"/>
    </row>
    <row r="3637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  <c r="AG3637" s="2"/>
      <c r="AH3637" s="2"/>
      <c r="AI3637" s="2"/>
      <c r="AJ3637" s="2"/>
      <c r="AK3637" s="2"/>
    </row>
    <row r="3638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  <c r="AG3638" s="2"/>
      <c r="AH3638" s="2"/>
      <c r="AI3638" s="2"/>
      <c r="AJ3638" s="2"/>
      <c r="AK3638" s="2"/>
    </row>
    <row r="3639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/>
      <c r="AE3639" s="2"/>
      <c r="AF3639" s="2"/>
      <c r="AG3639" s="2"/>
      <c r="AH3639" s="2"/>
      <c r="AI3639" s="2"/>
      <c r="AJ3639" s="2"/>
      <c r="AK3639" s="2"/>
    </row>
    <row r="3640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2"/>
      <c r="AG3640" s="2"/>
      <c r="AH3640" s="2"/>
      <c r="AI3640" s="2"/>
      <c r="AJ3640" s="2"/>
      <c r="AK3640" s="2"/>
    </row>
    <row r="3641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  <c r="AE3641" s="2"/>
      <c r="AF3641" s="2"/>
      <c r="AG3641" s="2"/>
      <c r="AH3641" s="2"/>
      <c r="AI3641" s="2"/>
      <c r="AJ3641" s="2"/>
      <c r="AK3641" s="2"/>
    </row>
    <row r="3642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  <c r="AG3642" s="2"/>
      <c r="AH3642" s="2"/>
      <c r="AI3642" s="2"/>
      <c r="AJ3642" s="2"/>
      <c r="AK3642" s="2"/>
    </row>
    <row r="3643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  <c r="AG3643" s="2"/>
      <c r="AH3643" s="2"/>
      <c r="AI3643" s="2"/>
      <c r="AJ3643" s="2"/>
      <c r="AK3643" s="2"/>
    </row>
    <row r="3644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  <c r="AE3644" s="2"/>
      <c r="AF3644" s="2"/>
      <c r="AG3644" s="2"/>
      <c r="AH3644" s="2"/>
      <c r="AI3644" s="2"/>
      <c r="AJ3644" s="2"/>
      <c r="AK3644" s="2"/>
    </row>
    <row r="3645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  <c r="AF3645" s="2"/>
      <c r="AG3645" s="2"/>
      <c r="AH3645" s="2"/>
      <c r="AI3645" s="2"/>
      <c r="AJ3645" s="2"/>
      <c r="AK3645" s="2"/>
    </row>
    <row r="3646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  <c r="AE3646" s="2"/>
      <c r="AF3646" s="2"/>
      <c r="AG3646" s="2"/>
      <c r="AH3646" s="2"/>
      <c r="AI3646" s="2"/>
      <c r="AJ3646" s="2"/>
      <c r="AK3646" s="2"/>
    </row>
    <row r="3647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  <c r="AE3647" s="2"/>
      <c r="AF3647" s="2"/>
      <c r="AG3647" s="2"/>
      <c r="AH3647" s="2"/>
      <c r="AI3647" s="2"/>
      <c r="AJ3647" s="2"/>
      <c r="AK3647" s="2"/>
    </row>
    <row r="3648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  <c r="AJ3648" s="2"/>
      <c r="AK3648" s="2"/>
    </row>
    <row r="3649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  <c r="AJ3649" s="2"/>
      <c r="AK3649" s="2"/>
    </row>
    <row r="3650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  <c r="AE3650" s="2"/>
      <c r="AF3650" s="2"/>
      <c r="AG3650" s="2"/>
      <c r="AH3650" s="2"/>
      <c r="AI3650" s="2"/>
      <c r="AJ3650" s="2"/>
      <c r="AK3650" s="2"/>
    </row>
    <row r="3651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  <c r="AJ3651" s="2"/>
      <c r="AK3651" s="2"/>
    </row>
    <row r="3652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  <c r="AE3652" s="2"/>
      <c r="AF3652" s="2"/>
      <c r="AG3652" s="2"/>
      <c r="AH3652" s="2"/>
      <c r="AI3652" s="2"/>
      <c r="AJ3652" s="2"/>
      <c r="AK3652" s="2"/>
    </row>
    <row r="3653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  <c r="AJ3653" s="2"/>
      <c r="AK3653" s="2"/>
    </row>
    <row r="3654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  <c r="AF3654" s="2"/>
      <c r="AG3654" s="2"/>
      <c r="AH3654" s="2"/>
      <c r="AI3654" s="2"/>
      <c r="AJ3654" s="2"/>
      <c r="AK3654" s="2"/>
    </row>
    <row r="3655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  <c r="AF3655" s="2"/>
      <c r="AG3655" s="2"/>
      <c r="AH3655" s="2"/>
      <c r="AI3655" s="2"/>
      <c r="AJ3655" s="2"/>
      <c r="AK3655" s="2"/>
    </row>
    <row r="3656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  <c r="AE3656" s="2"/>
      <c r="AF3656" s="2"/>
      <c r="AG3656" s="2"/>
      <c r="AH3656" s="2"/>
      <c r="AI3656" s="2"/>
      <c r="AJ3656" s="2"/>
      <c r="AK3656" s="2"/>
    </row>
    <row r="3657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  <c r="AK3657" s="2"/>
    </row>
    <row r="3658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2"/>
      <c r="AG3658" s="2"/>
      <c r="AH3658" s="2"/>
      <c r="AI3658" s="2"/>
      <c r="AJ3658" s="2"/>
      <c r="AK3658" s="2"/>
    </row>
    <row r="3659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  <c r="AF3659" s="2"/>
      <c r="AG3659" s="2"/>
      <c r="AH3659" s="2"/>
      <c r="AI3659" s="2"/>
      <c r="AJ3659" s="2"/>
      <c r="AK3659" s="2"/>
    </row>
    <row r="3660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  <c r="AE3660" s="2"/>
      <c r="AF3660" s="2"/>
      <c r="AG3660" s="2"/>
      <c r="AH3660" s="2"/>
      <c r="AI3660" s="2"/>
      <c r="AJ3660" s="2"/>
      <c r="AK3660" s="2"/>
    </row>
    <row r="3661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2"/>
      <c r="AG3661" s="2"/>
      <c r="AH3661" s="2"/>
      <c r="AI3661" s="2"/>
      <c r="AJ3661" s="2"/>
      <c r="AK3661" s="2"/>
    </row>
    <row r="3662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  <c r="AE3662" s="2"/>
      <c r="AF3662" s="2"/>
      <c r="AG3662" s="2"/>
      <c r="AH3662" s="2"/>
      <c r="AI3662" s="2"/>
      <c r="AJ3662" s="2"/>
      <c r="AK3662" s="2"/>
    </row>
    <row r="3663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  <c r="AE3663" s="2"/>
      <c r="AF3663" s="2"/>
      <c r="AG3663" s="2"/>
      <c r="AH3663" s="2"/>
      <c r="AI3663" s="2"/>
      <c r="AJ3663" s="2"/>
      <c r="AK3663" s="2"/>
    </row>
    <row r="3664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2"/>
      <c r="AG3664" s="2"/>
      <c r="AH3664" s="2"/>
      <c r="AI3664" s="2"/>
      <c r="AJ3664" s="2"/>
      <c r="AK3664" s="2"/>
    </row>
    <row r="3665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  <c r="AE3665" s="2"/>
      <c r="AF3665" s="2"/>
      <c r="AG3665" s="2"/>
      <c r="AH3665" s="2"/>
      <c r="AI3665" s="2"/>
      <c r="AJ3665" s="2"/>
      <c r="AK3665" s="2"/>
    </row>
    <row r="3666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  <c r="AE3666" s="2"/>
      <c r="AF3666" s="2"/>
      <c r="AG3666" s="2"/>
      <c r="AH3666" s="2"/>
      <c r="AI3666" s="2"/>
      <c r="AJ3666" s="2"/>
      <c r="AK3666" s="2"/>
    </row>
    <row r="3667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  <c r="AE3667" s="2"/>
      <c r="AF3667" s="2"/>
      <c r="AG3667" s="2"/>
      <c r="AH3667" s="2"/>
      <c r="AI3667" s="2"/>
      <c r="AJ3667" s="2"/>
      <c r="AK3667" s="2"/>
    </row>
    <row r="3668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2"/>
      <c r="AE3668" s="2"/>
      <c r="AF3668" s="2"/>
      <c r="AG3668" s="2"/>
      <c r="AH3668" s="2"/>
      <c r="AI3668" s="2"/>
      <c r="AJ3668" s="2"/>
      <c r="AK3668" s="2"/>
    </row>
    <row r="3669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  <c r="AE3669" s="2"/>
      <c r="AF3669" s="2"/>
      <c r="AG3669" s="2"/>
      <c r="AH3669" s="2"/>
      <c r="AI3669" s="2"/>
      <c r="AJ3669" s="2"/>
      <c r="AK3669" s="2"/>
    </row>
    <row r="3670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/>
      <c r="AE3670" s="2"/>
      <c r="AF3670" s="2"/>
      <c r="AG3670" s="2"/>
      <c r="AH3670" s="2"/>
      <c r="AI3670" s="2"/>
      <c r="AJ3670" s="2"/>
      <c r="AK3670" s="2"/>
    </row>
    <row r="3671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  <c r="AE3671" s="2"/>
      <c r="AF3671" s="2"/>
      <c r="AG3671" s="2"/>
      <c r="AH3671" s="2"/>
      <c r="AI3671" s="2"/>
      <c r="AJ3671" s="2"/>
      <c r="AK3671" s="2"/>
    </row>
    <row r="3672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  <c r="AD3672" s="2"/>
      <c r="AE3672" s="2"/>
      <c r="AF3672" s="2"/>
      <c r="AG3672" s="2"/>
      <c r="AH3672" s="2"/>
      <c r="AI3672" s="2"/>
      <c r="AJ3672" s="2"/>
      <c r="AK3672" s="2"/>
    </row>
    <row r="3673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  <c r="AE3673" s="2"/>
      <c r="AF3673" s="2"/>
      <c r="AG3673" s="2"/>
      <c r="AH3673" s="2"/>
      <c r="AI3673" s="2"/>
      <c r="AJ3673" s="2"/>
      <c r="AK3673" s="2"/>
    </row>
    <row r="3674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  <c r="AE3674" s="2"/>
      <c r="AF3674" s="2"/>
      <c r="AG3674" s="2"/>
      <c r="AH3674" s="2"/>
      <c r="AI3674" s="2"/>
      <c r="AJ3674" s="2"/>
      <c r="AK3674" s="2"/>
    </row>
    <row r="3675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2"/>
      <c r="AG3675" s="2"/>
      <c r="AH3675" s="2"/>
      <c r="AI3675" s="2"/>
      <c r="AJ3675" s="2"/>
      <c r="AK3675" s="2"/>
    </row>
    <row r="3676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  <c r="AE3676" s="2"/>
      <c r="AF3676" s="2"/>
      <c r="AG3676" s="2"/>
      <c r="AH3676" s="2"/>
      <c r="AI3676" s="2"/>
      <c r="AJ3676" s="2"/>
      <c r="AK3676" s="2"/>
    </row>
    <row r="3677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2"/>
      <c r="AE3677" s="2"/>
      <c r="AF3677" s="2"/>
      <c r="AG3677" s="2"/>
      <c r="AH3677" s="2"/>
      <c r="AI3677" s="2"/>
      <c r="AJ3677" s="2"/>
      <c r="AK3677" s="2"/>
    </row>
    <row r="3678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2"/>
      <c r="AE3678" s="2"/>
      <c r="AF3678" s="2"/>
      <c r="AG3678" s="2"/>
      <c r="AH3678" s="2"/>
      <c r="AI3678" s="2"/>
      <c r="AJ3678" s="2"/>
      <c r="AK3678" s="2"/>
    </row>
    <row r="3679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2"/>
      <c r="AE3679" s="2"/>
      <c r="AF3679" s="2"/>
      <c r="AG3679" s="2"/>
      <c r="AH3679" s="2"/>
      <c r="AI3679" s="2"/>
      <c r="AJ3679" s="2"/>
      <c r="AK3679" s="2"/>
    </row>
    <row r="3680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  <c r="AE3680" s="2"/>
      <c r="AF3680" s="2"/>
      <c r="AG3680" s="2"/>
      <c r="AH3680" s="2"/>
      <c r="AI3680" s="2"/>
      <c r="AJ3680" s="2"/>
      <c r="AK3680" s="2"/>
    </row>
    <row r="3681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  <c r="AF3681" s="2"/>
      <c r="AG3681" s="2"/>
      <c r="AH3681" s="2"/>
      <c r="AI3681" s="2"/>
      <c r="AJ3681" s="2"/>
      <c r="AK3681" s="2"/>
    </row>
    <row r="3682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  <c r="AF3682" s="2"/>
      <c r="AG3682" s="2"/>
      <c r="AH3682" s="2"/>
      <c r="AI3682" s="2"/>
      <c r="AJ3682" s="2"/>
      <c r="AK3682" s="2"/>
    </row>
    <row r="3683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2"/>
      <c r="AE3683" s="2"/>
      <c r="AF3683" s="2"/>
      <c r="AG3683" s="2"/>
      <c r="AH3683" s="2"/>
      <c r="AI3683" s="2"/>
      <c r="AJ3683" s="2"/>
      <c r="AK3683" s="2"/>
    </row>
    <row r="3684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  <c r="AF3684" s="2"/>
      <c r="AG3684" s="2"/>
      <c r="AH3684" s="2"/>
      <c r="AI3684" s="2"/>
      <c r="AJ3684" s="2"/>
      <c r="AK3684" s="2"/>
    </row>
    <row r="3685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/>
      <c r="AE3685" s="2"/>
      <c r="AF3685" s="2"/>
      <c r="AG3685" s="2"/>
      <c r="AH3685" s="2"/>
      <c r="AI3685" s="2"/>
      <c r="AJ3685" s="2"/>
      <c r="AK3685" s="2"/>
    </row>
    <row r="3686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  <c r="AD3686" s="2"/>
      <c r="AE3686" s="2"/>
      <c r="AF3686" s="2"/>
      <c r="AG3686" s="2"/>
      <c r="AH3686" s="2"/>
      <c r="AI3686" s="2"/>
      <c r="AJ3686" s="2"/>
      <c r="AK3686" s="2"/>
    </row>
    <row r="3687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  <c r="AE3687" s="2"/>
      <c r="AF3687" s="2"/>
      <c r="AG3687" s="2"/>
      <c r="AH3687" s="2"/>
      <c r="AI3687" s="2"/>
      <c r="AJ3687" s="2"/>
      <c r="AK3687" s="2"/>
    </row>
    <row r="3688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/>
      <c r="AE3688" s="2"/>
      <c r="AF3688" s="2"/>
      <c r="AG3688" s="2"/>
      <c r="AH3688" s="2"/>
      <c r="AI3688" s="2"/>
      <c r="AJ3688" s="2"/>
      <c r="AK3688" s="2"/>
    </row>
    <row r="3689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  <c r="AE3689" s="2"/>
      <c r="AF3689" s="2"/>
      <c r="AG3689" s="2"/>
      <c r="AH3689" s="2"/>
      <c r="AI3689" s="2"/>
      <c r="AJ3689" s="2"/>
      <c r="AK3689" s="2"/>
    </row>
    <row r="3690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  <c r="AE3690" s="2"/>
      <c r="AF3690" s="2"/>
      <c r="AG3690" s="2"/>
      <c r="AH3690" s="2"/>
      <c r="AI3690" s="2"/>
      <c r="AJ3690" s="2"/>
      <c r="AK3690" s="2"/>
    </row>
    <row r="3691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  <c r="AE3691" s="2"/>
      <c r="AF3691" s="2"/>
      <c r="AG3691" s="2"/>
      <c r="AH3691" s="2"/>
      <c r="AI3691" s="2"/>
      <c r="AJ3691" s="2"/>
      <c r="AK3691" s="2"/>
    </row>
    <row r="3692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/>
      <c r="AE3692" s="2"/>
      <c r="AF3692" s="2"/>
      <c r="AG3692" s="2"/>
      <c r="AH3692" s="2"/>
      <c r="AI3692" s="2"/>
      <c r="AJ3692" s="2"/>
      <c r="AK3692" s="2"/>
    </row>
    <row r="3693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  <c r="AD3693" s="2"/>
      <c r="AE3693" s="2"/>
      <c r="AF3693" s="2"/>
      <c r="AG3693" s="2"/>
      <c r="AH3693" s="2"/>
      <c r="AI3693" s="2"/>
      <c r="AJ3693" s="2"/>
      <c r="AK3693" s="2"/>
    </row>
    <row r="3694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  <c r="AE3694" s="2"/>
      <c r="AF3694" s="2"/>
      <c r="AG3694" s="2"/>
      <c r="AH3694" s="2"/>
      <c r="AI3694" s="2"/>
      <c r="AJ3694" s="2"/>
      <c r="AK3694" s="2"/>
    </row>
    <row r="3695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  <c r="AD3695" s="2"/>
      <c r="AE3695" s="2"/>
      <c r="AF3695" s="2"/>
      <c r="AG3695" s="2"/>
      <c r="AH3695" s="2"/>
      <c r="AI3695" s="2"/>
      <c r="AJ3695" s="2"/>
      <c r="AK3695" s="2"/>
    </row>
    <row r="3696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/>
      <c r="AE3696" s="2"/>
      <c r="AF3696" s="2"/>
      <c r="AG3696" s="2"/>
      <c r="AH3696" s="2"/>
      <c r="AI3696" s="2"/>
      <c r="AJ3696" s="2"/>
      <c r="AK3696" s="2"/>
    </row>
    <row r="3697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  <c r="AF3697" s="2"/>
      <c r="AG3697" s="2"/>
      <c r="AH3697" s="2"/>
      <c r="AI3697" s="2"/>
      <c r="AJ3697" s="2"/>
      <c r="AK3697" s="2"/>
    </row>
    <row r="3698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  <c r="AG3698" s="2"/>
      <c r="AH3698" s="2"/>
      <c r="AI3698" s="2"/>
      <c r="AJ3698" s="2"/>
      <c r="AK3698" s="2"/>
    </row>
    <row r="3699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  <c r="AE3699" s="2"/>
      <c r="AF3699" s="2"/>
      <c r="AG3699" s="2"/>
      <c r="AH3699" s="2"/>
      <c r="AI3699" s="2"/>
      <c r="AJ3699" s="2"/>
      <c r="AK3699" s="2"/>
    </row>
    <row r="3700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/>
      <c r="AE3700" s="2"/>
      <c r="AF3700" s="2"/>
      <c r="AG3700" s="2"/>
      <c r="AH3700" s="2"/>
      <c r="AI3700" s="2"/>
      <c r="AJ3700" s="2"/>
      <c r="AK3700" s="2"/>
    </row>
    <row r="3701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  <c r="AE3701" s="2"/>
      <c r="AF3701" s="2"/>
      <c r="AG3701" s="2"/>
      <c r="AH3701" s="2"/>
      <c r="AI3701" s="2"/>
      <c r="AJ3701" s="2"/>
      <c r="AK3701" s="2"/>
    </row>
    <row r="3702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/>
      <c r="AE3702" s="2"/>
      <c r="AF3702" s="2"/>
      <c r="AG3702" s="2"/>
      <c r="AH3702" s="2"/>
      <c r="AI3702" s="2"/>
      <c r="AJ3702" s="2"/>
      <c r="AK3702" s="2"/>
    </row>
    <row r="3703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  <c r="AE3703" s="2"/>
      <c r="AF3703" s="2"/>
      <c r="AG3703" s="2"/>
      <c r="AH3703" s="2"/>
      <c r="AI3703" s="2"/>
      <c r="AJ3703" s="2"/>
      <c r="AK3703" s="2"/>
    </row>
    <row r="3704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/>
      <c r="AE3704" s="2"/>
      <c r="AF3704" s="2"/>
      <c r="AG3704" s="2"/>
      <c r="AH3704" s="2"/>
      <c r="AI3704" s="2"/>
      <c r="AJ3704" s="2"/>
      <c r="AK3704" s="2"/>
    </row>
    <row r="3705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  <c r="AF3705" s="2"/>
      <c r="AG3705" s="2"/>
      <c r="AH3705" s="2"/>
      <c r="AI3705" s="2"/>
      <c r="AJ3705" s="2"/>
      <c r="AK3705" s="2"/>
    </row>
    <row r="3706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  <c r="AE3706" s="2"/>
      <c r="AF3706" s="2"/>
      <c r="AG3706" s="2"/>
      <c r="AH3706" s="2"/>
      <c r="AI3706" s="2"/>
      <c r="AJ3706" s="2"/>
      <c r="AK3706" s="2"/>
    </row>
    <row r="3707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  <c r="AF3707" s="2"/>
      <c r="AG3707" s="2"/>
      <c r="AH3707" s="2"/>
      <c r="AI3707" s="2"/>
      <c r="AJ3707" s="2"/>
      <c r="AK3707" s="2"/>
    </row>
    <row r="3708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/>
      <c r="AE3708" s="2"/>
      <c r="AF3708" s="2"/>
      <c r="AG3708" s="2"/>
      <c r="AH3708" s="2"/>
      <c r="AI3708" s="2"/>
      <c r="AJ3708" s="2"/>
      <c r="AK3708" s="2"/>
    </row>
    <row r="3709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  <c r="AE3709" s="2"/>
      <c r="AF3709" s="2"/>
      <c r="AG3709" s="2"/>
      <c r="AH3709" s="2"/>
      <c r="AI3709" s="2"/>
      <c r="AJ3709" s="2"/>
      <c r="AK3709" s="2"/>
    </row>
    <row r="3710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  <c r="AE3710" s="2"/>
      <c r="AF3710" s="2"/>
      <c r="AG3710" s="2"/>
      <c r="AH3710" s="2"/>
      <c r="AI3710" s="2"/>
      <c r="AJ3710" s="2"/>
      <c r="AK3710" s="2"/>
    </row>
    <row r="3711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/>
      <c r="AE3711" s="2"/>
      <c r="AF3711" s="2"/>
      <c r="AG3711" s="2"/>
      <c r="AH3711" s="2"/>
      <c r="AI3711" s="2"/>
      <c r="AJ3711" s="2"/>
      <c r="AK3711" s="2"/>
    </row>
    <row r="3712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2"/>
      <c r="AE3712" s="2"/>
      <c r="AF3712" s="2"/>
      <c r="AG3712" s="2"/>
      <c r="AH3712" s="2"/>
      <c r="AI3712" s="2"/>
      <c r="AJ3712" s="2"/>
      <c r="AK3712" s="2"/>
    </row>
    <row r="3713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  <c r="AE3713" s="2"/>
      <c r="AF3713" s="2"/>
      <c r="AG3713" s="2"/>
      <c r="AH3713" s="2"/>
      <c r="AI3713" s="2"/>
      <c r="AJ3713" s="2"/>
      <c r="AK3713" s="2"/>
    </row>
    <row r="3714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/>
      <c r="AE3714" s="2"/>
      <c r="AF3714" s="2"/>
      <c r="AG3714" s="2"/>
      <c r="AH3714" s="2"/>
      <c r="AI3714" s="2"/>
      <c r="AJ3714" s="2"/>
      <c r="AK3714" s="2"/>
    </row>
    <row r="3715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  <c r="AE3715" s="2"/>
      <c r="AF3715" s="2"/>
      <c r="AG3715" s="2"/>
      <c r="AH3715" s="2"/>
      <c r="AI3715" s="2"/>
      <c r="AJ3715" s="2"/>
      <c r="AK3715" s="2"/>
    </row>
    <row r="3716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  <c r="AE3716" s="2"/>
      <c r="AF3716" s="2"/>
      <c r="AG3716" s="2"/>
      <c r="AH3716" s="2"/>
      <c r="AI3716" s="2"/>
      <c r="AJ3716" s="2"/>
      <c r="AK3716" s="2"/>
    </row>
    <row r="3717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  <c r="AG3717" s="2"/>
      <c r="AH3717" s="2"/>
      <c r="AI3717" s="2"/>
      <c r="AJ3717" s="2"/>
      <c r="AK3717" s="2"/>
    </row>
    <row r="3718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/>
      <c r="AE3718" s="2"/>
      <c r="AF3718" s="2"/>
      <c r="AG3718" s="2"/>
      <c r="AH3718" s="2"/>
      <c r="AI3718" s="2"/>
      <c r="AJ3718" s="2"/>
      <c r="AK3718" s="2"/>
    </row>
    <row r="3719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/>
      <c r="AE3719" s="2"/>
      <c r="AF3719" s="2"/>
      <c r="AG3719" s="2"/>
      <c r="AH3719" s="2"/>
      <c r="AI3719" s="2"/>
      <c r="AJ3719" s="2"/>
      <c r="AK3719" s="2"/>
    </row>
    <row r="3720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  <c r="AE3720" s="2"/>
      <c r="AF3720" s="2"/>
      <c r="AG3720" s="2"/>
      <c r="AH3720" s="2"/>
      <c r="AI3720" s="2"/>
      <c r="AJ3720" s="2"/>
      <c r="AK3720" s="2"/>
    </row>
    <row r="3721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  <c r="AE3721" s="2"/>
      <c r="AF3721" s="2"/>
      <c r="AG3721" s="2"/>
      <c r="AH3721" s="2"/>
      <c r="AI3721" s="2"/>
      <c r="AJ3721" s="2"/>
      <c r="AK3721" s="2"/>
    </row>
    <row r="3722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  <c r="AE3722" s="2"/>
      <c r="AF3722" s="2"/>
      <c r="AG3722" s="2"/>
      <c r="AH3722" s="2"/>
      <c r="AI3722" s="2"/>
      <c r="AJ3722" s="2"/>
      <c r="AK3722" s="2"/>
    </row>
    <row r="3723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/>
      <c r="AE3723" s="2"/>
      <c r="AF3723" s="2"/>
      <c r="AG3723" s="2"/>
      <c r="AH3723" s="2"/>
      <c r="AI3723" s="2"/>
      <c r="AJ3723" s="2"/>
      <c r="AK3723" s="2"/>
    </row>
    <row r="3724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  <c r="AE3724" s="2"/>
      <c r="AF3724" s="2"/>
      <c r="AG3724" s="2"/>
      <c r="AH3724" s="2"/>
      <c r="AI3724" s="2"/>
      <c r="AJ3724" s="2"/>
      <c r="AK3724" s="2"/>
    </row>
    <row r="3725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  <c r="AE3725" s="2"/>
      <c r="AF3725" s="2"/>
      <c r="AG3725" s="2"/>
      <c r="AH3725" s="2"/>
      <c r="AI3725" s="2"/>
      <c r="AJ3725" s="2"/>
      <c r="AK3725" s="2"/>
    </row>
    <row r="3726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2"/>
      <c r="AG3726" s="2"/>
      <c r="AH3726" s="2"/>
      <c r="AI3726" s="2"/>
      <c r="AJ3726" s="2"/>
      <c r="AK3726" s="2"/>
    </row>
    <row r="3727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  <c r="AE3727" s="2"/>
      <c r="AF3727" s="2"/>
      <c r="AG3727" s="2"/>
      <c r="AH3727" s="2"/>
      <c r="AI3727" s="2"/>
      <c r="AJ3727" s="2"/>
      <c r="AK3727" s="2"/>
    </row>
    <row r="3728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  <c r="AE3728" s="2"/>
      <c r="AF3728" s="2"/>
      <c r="AG3728" s="2"/>
      <c r="AH3728" s="2"/>
      <c r="AI3728" s="2"/>
      <c r="AJ3728" s="2"/>
      <c r="AK3728" s="2"/>
    </row>
    <row r="3729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/>
      <c r="AE3729" s="2"/>
      <c r="AF3729" s="2"/>
      <c r="AG3729" s="2"/>
      <c r="AH3729" s="2"/>
      <c r="AI3729" s="2"/>
      <c r="AJ3729" s="2"/>
      <c r="AK3729" s="2"/>
    </row>
    <row r="3730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  <c r="AE3730" s="2"/>
      <c r="AF3730" s="2"/>
      <c r="AG3730" s="2"/>
      <c r="AH3730" s="2"/>
      <c r="AI3730" s="2"/>
      <c r="AJ3730" s="2"/>
      <c r="AK3730" s="2"/>
    </row>
    <row r="3731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  <c r="AF3731" s="2"/>
      <c r="AG3731" s="2"/>
      <c r="AH3731" s="2"/>
      <c r="AI3731" s="2"/>
      <c r="AJ3731" s="2"/>
      <c r="AK3731" s="2"/>
    </row>
    <row r="3732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  <c r="AD3732" s="2"/>
      <c r="AE3732" s="2"/>
      <c r="AF3732" s="2"/>
      <c r="AG3732" s="2"/>
      <c r="AH3732" s="2"/>
      <c r="AI3732" s="2"/>
      <c r="AJ3732" s="2"/>
      <c r="AK3732" s="2"/>
    </row>
    <row r="3733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  <c r="AE3733" s="2"/>
      <c r="AF3733" s="2"/>
      <c r="AG3733" s="2"/>
      <c r="AH3733" s="2"/>
      <c r="AI3733" s="2"/>
      <c r="AJ3733" s="2"/>
      <c r="AK3733" s="2"/>
    </row>
    <row r="3734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  <c r="AE3734" s="2"/>
      <c r="AF3734" s="2"/>
      <c r="AG3734" s="2"/>
      <c r="AH3734" s="2"/>
      <c r="AI3734" s="2"/>
      <c r="AJ3734" s="2"/>
      <c r="AK3734" s="2"/>
    </row>
    <row r="3735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  <c r="AE3735" s="2"/>
      <c r="AF3735" s="2"/>
      <c r="AG3735" s="2"/>
      <c r="AH3735" s="2"/>
      <c r="AI3735" s="2"/>
      <c r="AJ3735" s="2"/>
      <c r="AK3735" s="2"/>
    </row>
    <row r="3736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2"/>
      <c r="AG3736" s="2"/>
      <c r="AH3736" s="2"/>
      <c r="AI3736" s="2"/>
      <c r="AJ3736" s="2"/>
      <c r="AK3736" s="2"/>
    </row>
    <row r="3737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  <c r="AE3737" s="2"/>
      <c r="AF3737" s="2"/>
      <c r="AG3737" s="2"/>
      <c r="AH3737" s="2"/>
      <c r="AI3737" s="2"/>
      <c r="AJ3737" s="2"/>
      <c r="AK3737" s="2"/>
    </row>
    <row r="3738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/>
      <c r="AE3738" s="2"/>
      <c r="AF3738" s="2"/>
      <c r="AG3738" s="2"/>
      <c r="AH3738" s="2"/>
      <c r="AI3738" s="2"/>
      <c r="AJ3738" s="2"/>
      <c r="AK3738" s="2"/>
    </row>
    <row r="3739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  <c r="AE3739" s="2"/>
      <c r="AF3739" s="2"/>
      <c r="AG3739" s="2"/>
      <c r="AH3739" s="2"/>
      <c r="AI3739" s="2"/>
      <c r="AJ3739" s="2"/>
      <c r="AK3739" s="2"/>
    </row>
    <row r="3740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  <c r="AE3740" s="2"/>
      <c r="AF3740" s="2"/>
      <c r="AG3740" s="2"/>
      <c r="AH3740" s="2"/>
      <c r="AI3740" s="2"/>
      <c r="AJ3740" s="2"/>
      <c r="AK3740" s="2"/>
    </row>
    <row r="3741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  <c r="AJ3741" s="2"/>
      <c r="AK3741" s="2"/>
    </row>
    <row r="3742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  <c r="AD3742" s="2"/>
      <c r="AE3742" s="2"/>
      <c r="AF3742" s="2"/>
      <c r="AG3742" s="2"/>
      <c r="AH3742" s="2"/>
      <c r="AI3742" s="2"/>
      <c r="AJ3742" s="2"/>
      <c r="AK3742" s="2"/>
    </row>
    <row r="3743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  <c r="AE3743" s="2"/>
      <c r="AF3743" s="2"/>
      <c r="AG3743" s="2"/>
      <c r="AH3743" s="2"/>
      <c r="AI3743" s="2"/>
      <c r="AJ3743" s="2"/>
      <c r="AK3743" s="2"/>
    </row>
    <row r="3744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  <c r="AD3744" s="2"/>
      <c r="AE3744" s="2"/>
      <c r="AF3744" s="2"/>
      <c r="AG3744" s="2"/>
      <c r="AH3744" s="2"/>
      <c r="AI3744" s="2"/>
      <c r="AJ3744" s="2"/>
      <c r="AK3744" s="2"/>
    </row>
    <row r="3745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  <c r="AE3745" s="2"/>
      <c r="AF3745" s="2"/>
      <c r="AG3745" s="2"/>
      <c r="AH3745" s="2"/>
      <c r="AI3745" s="2"/>
      <c r="AJ3745" s="2"/>
      <c r="AK3745" s="2"/>
    </row>
    <row r="3746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/>
      <c r="AE3746" s="2"/>
      <c r="AF3746" s="2"/>
      <c r="AG3746" s="2"/>
      <c r="AH3746" s="2"/>
      <c r="AI3746" s="2"/>
      <c r="AJ3746" s="2"/>
      <c r="AK3746" s="2"/>
    </row>
    <row r="3747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  <c r="AD3747" s="2"/>
      <c r="AE3747" s="2"/>
      <c r="AF3747" s="2"/>
      <c r="AG3747" s="2"/>
      <c r="AH3747" s="2"/>
      <c r="AI3747" s="2"/>
      <c r="AJ3747" s="2"/>
      <c r="AK3747" s="2"/>
    </row>
    <row r="3748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  <c r="AE3748" s="2"/>
      <c r="AF3748" s="2"/>
      <c r="AG3748" s="2"/>
      <c r="AH3748" s="2"/>
      <c r="AI3748" s="2"/>
      <c r="AJ3748" s="2"/>
      <c r="AK3748" s="2"/>
    </row>
    <row r="3749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  <c r="AD3749" s="2"/>
      <c r="AE3749" s="2"/>
      <c r="AF3749" s="2"/>
      <c r="AG3749" s="2"/>
      <c r="AH3749" s="2"/>
      <c r="AI3749" s="2"/>
      <c r="AJ3749" s="2"/>
      <c r="AK3749" s="2"/>
    </row>
    <row r="3750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  <c r="AE3750" s="2"/>
      <c r="AF3750" s="2"/>
      <c r="AG3750" s="2"/>
      <c r="AH3750" s="2"/>
      <c r="AI3750" s="2"/>
      <c r="AJ3750" s="2"/>
      <c r="AK3750" s="2"/>
    </row>
    <row r="3751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  <c r="AD3751" s="2"/>
      <c r="AE3751" s="2"/>
      <c r="AF3751" s="2"/>
      <c r="AG3751" s="2"/>
      <c r="AH3751" s="2"/>
      <c r="AI3751" s="2"/>
      <c r="AJ3751" s="2"/>
      <c r="AK3751" s="2"/>
    </row>
    <row r="3752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2"/>
      <c r="AE3752" s="2"/>
      <c r="AF3752" s="2"/>
      <c r="AG3752" s="2"/>
      <c r="AH3752" s="2"/>
      <c r="AI3752" s="2"/>
      <c r="AJ3752" s="2"/>
      <c r="AK3752" s="2"/>
    </row>
    <row r="3753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  <c r="AD3753" s="2"/>
      <c r="AE3753" s="2"/>
      <c r="AF3753" s="2"/>
      <c r="AG3753" s="2"/>
      <c r="AH3753" s="2"/>
      <c r="AI3753" s="2"/>
      <c r="AJ3753" s="2"/>
      <c r="AK3753" s="2"/>
    </row>
    <row r="3754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2"/>
      <c r="AE3754" s="2"/>
      <c r="AF3754" s="2"/>
      <c r="AG3754" s="2"/>
      <c r="AH3754" s="2"/>
      <c r="AI3754" s="2"/>
      <c r="AJ3754" s="2"/>
      <c r="AK3754" s="2"/>
    </row>
    <row r="3755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  <c r="AE3755" s="2"/>
      <c r="AF3755" s="2"/>
      <c r="AG3755" s="2"/>
      <c r="AH3755" s="2"/>
      <c r="AI3755" s="2"/>
      <c r="AJ3755" s="2"/>
      <c r="AK3755" s="2"/>
    </row>
    <row r="3756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  <c r="AE3756" s="2"/>
      <c r="AF3756" s="2"/>
      <c r="AG3756" s="2"/>
      <c r="AH3756" s="2"/>
      <c r="AI3756" s="2"/>
      <c r="AJ3756" s="2"/>
      <c r="AK3756" s="2"/>
    </row>
    <row r="3757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  <c r="AF3757" s="2"/>
      <c r="AG3757" s="2"/>
      <c r="AH3757" s="2"/>
      <c r="AI3757" s="2"/>
      <c r="AJ3757" s="2"/>
      <c r="AK3757" s="2"/>
    </row>
    <row r="3758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  <c r="AE3758" s="2"/>
      <c r="AF3758" s="2"/>
      <c r="AG3758" s="2"/>
      <c r="AH3758" s="2"/>
      <c r="AI3758" s="2"/>
      <c r="AJ3758" s="2"/>
      <c r="AK3758" s="2"/>
    </row>
    <row r="3759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  <c r="AD3759" s="2"/>
      <c r="AE3759" s="2"/>
      <c r="AF3759" s="2"/>
      <c r="AG3759" s="2"/>
      <c r="AH3759" s="2"/>
      <c r="AI3759" s="2"/>
      <c r="AJ3759" s="2"/>
      <c r="AK3759" s="2"/>
    </row>
    <row r="3760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  <c r="AE3760" s="2"/>
      <c r="AF3760" s="2"/>
      <c r="AG3760" s="2"/>
      <c r="AH3760" s="2"/>
      <c r="AI3760" s="2"/>
      <c r="AJ3760" s="2"/>
      <c r="AK3760" s="2"/>
    </row>
    <row r="3761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  <c r="AE3761" s="2"/>
      <c r="AF3761" s="2"/>
      <c r="AG3761" s="2"/>
      <c r="AH3761" s="2"/>
      <c r="AI3761" s="2"/>
      <c r="AJ3761" s="2"/>
      <c r="AK3761" s="2"/>
    </row>
    <row r="3762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  <c r="AE3762" s="2"/>
      <c r="AF3762" s="2"/>
      <c r="AG3762" s="2"/>
      <c r="AH3762" s="2"/>
      <c r="AI3762" s="2"/>
      <c r="AJ3762" s="2"/>
      <c r="AK3762" s="2"/>
    </row>
    <row r="3763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  <c r="AF3763" s="2"/>
      <c r="AG3763" s="2"/>
      <c r="AH3763" s="2"/>
      <c r="AI3763" s="2"/>
      <c r="AJ3763" s="2"/>
      <c r="AK3763" s="2"/>
    </row>
    <row r="3764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2"/>
      <c r="AG3764" s="2"/>
      <c r="AH3764" s="2"/>
      <c r="AI3764" s="2"/>
      <c r="AJ3764" s="2"/>
      <c r="AK3764" s="2"/>
    </row>
    <row r="3765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  <c r="AD3765" s="2"/>
      <c r="AE3765" s="2"/>
      <c r="AF3765" s="2"/>
      <c r="AG3765" s="2"/>
      <c r="AH3765" s="2"/>
      <c r="AI3765" s="2"/>
      <c r="AJ3765" s="2"/>
      <c r="AK3765" s="2"/>
    </row>
    <row r="3766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  <c r="AE3766" s="2"/>
      <c r="AF3766" s="2"/>
      <c r="AG3766" s="2"/>
      <c r="AH3766" s="2"/>
      <c r="AI3766" s="2"/>
      <c r="AJ3766" s="2"/>
      <c r="AK3766" s="2"/>
    </row>
    <row r="3767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  <c r="AE3767" s="2"/>
      <c r="AF3767" s="2"/>
      <c r="AG3767" s="2"/>
      <c r="AH3767" s="2"/>
      <c r="AI3767" s="2"/>
      <c r="AJ3767" s="2"/>
      <c r="AK3767" s="2"/>
    </row>
    <row r="3768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2"/>
      <c r="AE3768" s="2"/>
      <c r="AF3768" s="2"/>
      <c r="AG3768" s="2"/>
      <c r="AH3768" s="2"/>
      <c r="AI3768" s="2"/>
      <c r="AJ3768" s="2"/>
      <c r="AK3768" s="2"/>
    </row>
    <row r="3769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  <c r="AF3769" s="2"/>
      <c r="AG3769" s="2"/>
      <c r="AH3769" s="2"/>
      <c r="AI3769" s="2"/>
      <c r="AJ3769" s="2"/>
      <c r="AK3769" s="2"/>
    </row>
    <row r="3770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  <c r="AE3770" s="2"/>
      <c r="AF3770" s="2"/>
      <c r="AG3770" s="2"/>
      <c r="AH3770" s="2"/>
      <c r="AI3770" s="2"/>
      <c r="AJ3770" s="2"/>
      <c r="AK3770" s="2"/>
    </row>
    <row r="3771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  <c r="AD3771" s="2"/>
      <c r="AE3771" s="2"/>
      <c r="AF3771" s="2"/>
      <c r="AG3771" s="2"/>
      <c r="AH3771" s="2"/>
      <c r="AI3771" s="2"/>
      <c r="AJ3771" s="2"/>
      <c r="AK3771" s="2"/>
    </row>
    <row r="3772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/>
      <c r="AE3772" s="2"/>
      <c r="AF3772" s="2"/>
      <c r="AG3772" s="2"/>
      <c r="AH3772" s="2"/>
      <c r="AI3772" s="2"/>
      <c r="AJ3772" s="2"/>
      <c r="AK3772" s="2"/>
    </row>
    <row r="3773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  <c r="AD3773" s="2"/>
      <c r="AE3773" s="2"/>
      <c r="AF3773" s="2"/>
      <c r="AG3773" s="2"/>
      <c r="AH3773" s="2"/>
      <c r="AI3773" s="2"/>
      <c r="AJ3773" s="2"/>
      <c r="AK3773" s="2"/>
    </row>
    <row r="3774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/>
      <c r="AE3774" s="2"/>
      <c r="AF3774" s="2"/>
      <c r="AG3774" s="2"/>
      <c r="AH3774" s="2"/>
      <c r="AI3774" s="2"/>
      <c r="AJ3774" s="2"/>
      <c r="AK3774" s="2"/>
    </row>
    <row r="3775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  <c r="AE3775" s="2"/>
      <c r="AF3775" s="2"/>
      <c r="AG3775" s="2"/>
      <c r="AH3775" s="2"/>
      <c r="AI3775" s="2"/>
      <c r="AJ3775" s="2"/>
      <c r="AK3775" s="2"/>
    </row>
    <row r="3776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  <c r="AE3776" s="2"/>
      <c r="AF3776" s="2"/>
      <c r="AG3776" s="2"/>
      <c r="AH3776" s="2"/>
      <c r="AI3776" s="2"/>
      <c r="AJ3776" s="2"/>
      <c r="AK3776" s="2"/>
    </row>
    <row r="3777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  <c r="AD3777" s="2"/>
      <c r="AE3777" s="2"/>
      <c r="AF3777" s="2"/>
      <c r="AG3777" s="2"/>
      <c r="AH3777" s="2"/>
      <c r="AI3777" s="2"/>
      <c r="AJ3777" s="2"/>
      <c r="AK3777" s="2"/>
    </row>
    <row r="3778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  <c r="AE3778" s="2"/>
      <c r="AF3778" s="2"/>
      <c r="AG3778" s="2"/>
      <c r="AH3778" s="2"/>
      <c r="AI3778" s="2"/>
      <c r="AJ3778" s="2"/>
      <c r="AK3778" s="2"/>
    </row>
    <row r="3779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/>
      <c r="AE3779" s="2"/>
      <c r="AF3779" s="2"/>
      <c r="AG3779" s="2"/>
      <c r="AH3779" s="2"/>
      <c r="AI3779" s="2"/>
      <c r="AJ3779" s="2"/>
      <c r="AK3779" s="2"/>
    </row>
    <row r="3780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  <c r="AE3780" s="2"/>
      <c r="AF3780" s="2"/>
      <c r="AG3780" s="2"/>
      <c r="AH3780" s="2"/>
      <c r="AI3780" s="2"/>
      <c r="AJ3780" s="2"/>
      <c r="AK3780" s="2"/>
    </row>
    <row r="3781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  <c r="AE3781" s="2"/>
      <c r="AF3781" s="2"/>
      <c r="AG3781" s="2"/>
      <c r="AH3781" s="2"/>
      <c r="AI3781" s="2"/>
      <c r="AJ3781" s="2"/>
      <c r="AK3781" s="2"/>
    </row>
    <row r="3782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  <c r="AE3782" s="2"/>
      <c r="AF3782" s="2"/>
      <c r="AG3782" s="2"/>
      <c r="AH3782" s="2"/>
      <c r="AI3782" s="2"/>
      <c r="AJ3782" s="2"/>
      <c r="AK3782" s="2"/>
    </row>
    <row r="3783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  <c r="AE3783" s="2"/>
      <c r="AF3783" s="2"/>
      <c r="AG3783" s="2"/>
      <c r="AH3783" s="2"/>
      <c r="AI3783" s="2"/>
      <c r="AJ3783" s="2"/>
      <c r="AK3783" s="2"/>
    </row>
    <row r="3784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  <c r="AD3784" s="2"/>
      <c r="AE3784" s="2"/>
      <c r="AF3784" s="2"/>
      <c r="AG3784" s="2"/>
      <c r="AH3784" s="2"/>
      <c r="AI3784" s="2"/>
      <c r="AJ3784" s="2"/>
      <c r="AK3784" s="2"/>
    </row>
    <row r="3785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  <c r="AE3785" s="2"/>
      <c r="AF3785" s="2"/>
      <c r="AG3785" s="2"/>
      <c r="AH3785" s="2"/>
      <c r="AI3785" s="2"/>
      <c r="AJ3785" s="2"/>
      <c r="AK3785" s="2"/>
    </row>
    <row r="3786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2"/>
      <c r="AE3786" s="2"/>
      <c r="AF3786" s="2"/>
      <c r="AG3786" s="2"/>
      <c r="AH3786" s="2"/>
      <c r="AI3786" s="2"/>
      <c r="AJ3786" s="2"/>
      <c r="AK3786" s="2"/>
    </row>
    <row r="3787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  <c r="AE3787" s="2"/>
      <c r="AF3787" s="2"/>
      <c r="AG3787" s="2"/>
      <c r="AH3787" s="2"/>
      <c r="AI3787" s="2"/>
      <c r="AJ3787" s="2"/>
      <c r="AK3787" s="2"/>
    </row>
    <row r="3788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  <c r="AD3788" s="2"/>
      <c r="AE3788" s="2"/>
      <c r="AF3788" s="2"/>
      <c r="AG3788" s="2"/>
      <c r="AH3788" s="2"/>
      <c r="AI3788" s="2"/>
      <c r="AJ3788" s="2"/>
      <c r="AK3788" s="2"/>
    </row>
    <row r="3789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  <c r="AE3789" s="2"/>
      <c r="AF3789" s="2"/>
      <c r="AG3789" s="2"/>
      <c r="AH3789" s="2"/>
      <c r="AI3789" s="2"/>
      <c r="AJ3789" s="2"/>
      <c r="AK3789" s="2"/>
    </row>
    <row r="3790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  <c r="AE3790" s="2"/>
      <c r="AF3790" s="2"/>
      <c r="AG3790" s="2"/>
      <c r="AH3790" s="2"/>
      <c r="AI3790" s="2"/>
      <c r="AJ3790" s="2"/>
      <c r="AK3790" s="2"/>
    </row>
    <row r="3791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  <c r="AE3791" s="2"/>
      <c r="AF3791" s="2"/>
      <c r="AG3791" s="2"/>
      <c r="AH3791" s="2"/>
      <c r="AI3791" s="2"/>
      <c r="AJ3791" s="2"/>
      <c r="AK3791" s="2"/>
    </row>
    <row r="3792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2"/>
      <c r="AG3792" s="2"/>
      <c r="AH3792" s="2"/>
      <c r="AI3792" s="2"/>
      <c r="AJ3792" s="2"/>
      <c r="AK3792" s="2"/>
    </row>
    <row r="3793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  <c r="AE3793" s="2"/>
      <c r="AF3793" s="2"/>
      <c r="AG3793" s="2"/>
      <c r="AH3793" s="2"/>
      <c r="AI3793" s="2"/>
      <c r="AJ3793" s="2"/>
      <c r="AK3793" s="2"/>
    </row>
    <row r="3794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  <c r="AE3794" s="2"/>
      <c r="AF3794" s="2"/>
      <c r="AG3794" s="2"/>
      <c r="AH3794" s="2"/>
      <c r="AI3794" s="2"/>
      <c r="AJ3794" s="2"/>
      <c r="AK3794" s="2"/>
    </row>
    <row r="3795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  <c r="AD3795" s="2"/>
      <c r="AE3795" s="2"/>
      <c r="AF3795" s="2"/>
      <c r="AG3795" s="2"/>
      <c r="AH3795" s="2"/>
      <c r="AI3795" s="2"/>
      <c r="AJ3795" s="2"/>
      <c r="AK3795" s="2"/>
    </row>
    <row r="3796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  <c r="AE3796" s="2"/>
      <c r="AF3796" s="2"/>
      <c r="AG3796" s="2"/>
      <c r="AH3796" s="2"/>
      <c r="AI3796" s="2"/>
      <c r="AJ3796" s="2"/>
      <c r="AK3796" s="2"/>
    </row>
    <row r="3797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/>
      <c r="AE3797" s="2"/>
      <c r="AF3797" s="2"/>
      <c r="AG3797" s="2"/>
      <c r="AH3797" s="2"/>
      <c r="AI3797" s="2"/>
      <c r="AJ3797" s="2"/>
      <c r="AK3797" s="2"/>
    </row>
    <row r="3798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  <c r="AE3798" s="2"/>
      <c r="AF3798" s="2"/>
      <c r="AG3798" s="2"/>
      <c r="AH3798" s="2"/>
      <c r="AI3798" s="2"/>
      <c r="AJ3798" s="2"/>
      <c r="AK3798" s="2"/>
    </row>
    <row r="3799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  <c r="AD3799" s="2"/>
      <c r="AE3799" s="2"/>
      <c r="AF3799" s="2"/>
      <c r="AG3799" s="2"/>
      <c r="AH3799" s="2"/>
      <c r="AI3799" s="2"/>
      <c r="AJ3799" s="2"/>
      <c r="AK3799" s="2"/>
    </row>
    <row r="3800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2"/>
      <c r="AG3800" s="2"/>
      <c r="AH3800" s="2"/>
      <c r="AI3800" s="2"/>
      <c r="AJ3800" s="2"/>
      <c r="AK3800" s="2"/>
    </row>
    <row r="3801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  <c r="AE3801" s="2"/>
      <c r="AF3801" s="2"/>
      <c r="AG3801" s="2"/>
      <c r="AH3801" s="2"/>
      <c r="AI3801" s="2"/>
      <c r="AJ3801" s="2"/>
      <c r="AK3801" s="2"/>
    </row>
    <row r="3802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  <c r="AE3802" s="2"/>
      <c r="AF3802" s="2"/>
      <c r="AG3802" s="2"/>
      <c r="AH3802" s="2"/>
      <c r="AI3802" s="2"/>
      <c r="AJ3802" s="2"/>
      <c r="AK3802" s="2"/>
    </row>
    <row r="3803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/>
      <c r="AE3803" s="2"/>
      <c r="AF3803" s="2"/>
      <c r="AG3803" s="2"/>
      <c r="AH3803" s="2"/>
      <c r="AI3803" s="2"/>
      <c r="AJ3803" s="2"/>
      <c r="AK3803" s="2"/>
    </row>
    <row r="3804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  <c r="AD3804" s="2"/>
      <c r="AE3804" s="2"/>
      <c r="AF3804" s="2"/>
      <c r="AG3804" s="2"/>
      <c r="AH3804" s="2"/>
      <c r="AI3804" s="2"/>
      <c r="AJ3804" s="2"/>
      <c r="AK3804" s="2"/>
    </row>
    <row r="3805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  <c r="AF3805" s="2"/>
      <c r="AG3805" s="2"/>
      <c r="AH3805" s="2"/>
      <c r="AI3805" s="2"/>
      <c r="AJ3805" s="2"/>
      <c r="AK3805" s="2"/>
    </row>
    <row r="3806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2"/>
      <c r="AE3806" s="2"/>
      <c r="AF3806" s="2"/>
      <c r="AG3806" s="2"/>
      <c r="AH3806" s="2"/>
      <c r="AI3806" s="2"/>
      <c r="AJ3806" s="2"/>
      <c r="AK3806" s="2"/>
    </row>
    <row r="3807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  <c r="AE3807" s="2"/>
      <c r="AF3807" s="2"/>
      <c r="AG3807" s="2"/>
      <c r="AH3807" s="2"/>
      <c r="AI3807" s="2"/>
      <c r="AJ3807" s="2"/>
      <c r="AK3807" s="2"/>
    </row>
    <row r="3808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2"/>
      <c r="AG3808" s="2"/>
      <c r="AH3808" s="2"/>
      <c r="AI3808" s="2"/>
      <c r="AJ3808" s="2"/>
      <c r="AK3808" s="2"/>
    </row>
    <row r="3809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/>
      <c r="AE3809" s="2"/>
      <c r="AF3809" s="2"/>
      <c r="AG3809" s="2"/>
      <c r="AH3809" s="2"/>
      <c r="AI3809" s="2"/>
      <c r="AJ3809" s="2"/>
      <c r="AK3809" s="2"/>
    </row>
    <row r="3810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/>
      <c r="AE3810" s="2"/>
      <c r="AF3810" s="2"/>
      <c r="AG3810" s="2"/>
      <c r="AH3810" s="2"/>
      <c r="AI3810" s="2"/>
      <c r="AJ3810" s="2"/>
      <c r="AK3810" s="2"/>
    </row>
    <row r="3811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  <c r="AE3811" s="2"/>
      <c r="AF3811" s="2"/>
      <c r="AG3811" s="2"/>
      <c r="AH3811" s="2"/>
      <c r="AI3811" s="2"/>
      <c r="AJ3811" s="2"/>
      <c r="AK3811" s="2"/>
    </row>
    <row r="3812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/>
      <c r="AE3812" s="2"/>
      <c r="AF3812" s="2"/>
      <c r="AG3812" s="2"/>
      <c r="AH3812" s="2"/>
      <c r="AI3812" s="2"/>
      <c r="AJ3812" s="2"/>
      <c r="AK3812" s="2"/>
    </row>
    <row r="3813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  <c r="AE3813" s="2"/>
      <c r="AF3813" s="2"/>
      <c r="AG3813" s="2"/>
      <c r="AH3813" s="2"/>
      <c r="AI3813" s="2"/>
      <c r="AJ3813" s="2"/>
      <c r="AK3813" s="2"/>
    </row>
    <row r="3814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  <c r="AE3814" s="2"/>
      <c r="AF3814" s="2"/>
      <c r="AG3814" s="2"/>
      <c r="AH3814" s="2"/>
      <c r="AI3814" s="2"/>
      <c r="AJ3814" s="2"/>
      <c r="AK3814" s="2"/>
    </row>
    <row r="3815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  <c r="AD3815" s="2"/>
      <c r="AE3815" s="2"/>
      <c r="AF3815" s="2"/>
      <c r="AG3815" s="2"/>
      <c r="AH3815" s="2"/>
      <c r="AI3815" s="2"/>
      <c r="AJ3815" s="2"/>
      <c r="AK3815" s="2"/>
    </row>
    <row r="3816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  <c r="AF3816" s="2"/>
      <c r="AG3816" s="2"/>
      <c r="AH3816" s="2"/>
      <c r="AI3816" s="2"/>
      <c r="AJ3816" s="2"/>
      <c r="AK3816" s="2"/>
    </row>
    <row r="3817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  <c r="AD3817" s="2"/>
      <c r="AE3817" s="2"/>
      <c r="AF3817" s="2"/>
      <c r="AG3817" s="2"/>
      <c r="AH3817" s="2"/>
      <c r="AI3817" s="2"/>
      <c r="AJ3817" s="2"/>
      <c r="AK3817" s="2"/>
    </row>
    <row r="3818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  <c r="AE3818" s="2"/>
      <c r="AF3818" s="2"/>
      <c r="AG3818" s="2"/>
      <c r="AH3818" s="2"/>
      <c r="AI3818" s="2"/>
      <c r="AJ3818" s="2"/>
      <c r="AK3818" s="2"/>
    </row>
    <row r="3819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/>
      <c r="AE3819" s="2"/>
      <c r="AF3819" s="2"/>
      <c r="AG3819" s="2"/>
      <c r="AH3819" s="2"/>
      <c r="AI3819" s="2"/>
      <c r="AJ3819" s="2"/>
      <c r="AK3819" s="2"/>
    </row>
    <row r="3820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2"/>
      <c r="AE3820" s="2"/>
      <c r="AF3820" s="2"/>
      <c r="AG3820" s="2"/>
      <c r="AH3820" s="2"/>
      <c r="AI3820" s="2"/>
      <c r="AJ3820" s="2"/>
      <c r="AK3820" s="2"/>
    </row>
    <row r="3821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  <c r="AE3821" s="2"/>
      <c r="AF3821" s="2"/>
      <c r="AG3821" s="2"/>
      <c r="AH3821" s="2"/>
      <c r="AI3821" s="2"/>
      <c r="AJ3821" s="2"/>
      <c r="AK3821" s="2"/>
    </row>
    <row r="3822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  <c r="AE3822" s="2"/>
      <c r="AF3822" s="2"/>
      <c r="AG3822" s="2"/>
      <c r="AH3822" s="2"/>
      <c r="AI3822" s="2"/>
      <c r="AJ3822" s="2"/>
      <c r="AK3822" s="2"/>
    </row>
    <row r="3823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  <c r="AD3823" s="2"/>
      <c r="AE3823" s="2"/>
      <c r="AF3823" s="2"/>
      <c r="AG3823" s="2"/>
      <c r="AH3823" s="2"/>
      <c r="AI3823" s="2"/>
      <c r="AJ3823" s="2"/>
      <c r="AK3823" s="2"/>
    </row>
    <row r="3824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  <c r="AF3824" s="2"/>
      <c r="AG3824" s="2"/>
      <c r="AH3824" s="2"/>
      <c r="AI3824" s="2"/>
      <c r="AJ3824" s="2"/>
      <c r="AK3824" s="2"/>
    </row>
    <row r="3825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2"/>
      <c r="AE3825" s="2"/>
      <c r="AF3825" s="2"/>
      <c r="AG3825" s="2"/>
      <c r="AH3825" s="2"/>
      <c r="AI3825" s="2"/>
      <c r="AJ3825" s="2"/>
      <c r="AK3825" s="2"/>
    </row>
    <row r="3826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  <c r="AE3826" s="2"/>
      <c r="AF3826" s="2"/>
      <c r="AG3826" s="2"/>
      <c r="AH3826" s="2"/>
      <c r="AI3826" s="2"/>
      <c r="AJ3826" s="2"/>
      <c r="AK3826" s="2"/>
    </row>
    <row r="3827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2"/>
      <c r="AE3827" s="2"/>
      <c r="AF3827" s="2"/>
      <c r="AG3827" s="2"/>
      <c r="AH3827" s="2"/>
      <c r="AI3827" s="2"/>
      <c r="AJ3827" s="2"/>
      <c r="AK3827" s="2"/>
    </row>
    <row r="3828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/>
      <c r="AE3828" s="2"/>
      <c r="AF3828" s="2"/>
      <c r="AG3828" s="2"/>
      <c r="AH3828" s="2"/>
      <c r="AI3828" s="2"/>
      <c r="AJ3828" s="2"/>
      <c r="AK3828" s="2"/>
    </row>
    <row r="3829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  <c r="AG3829" s="2"/>
      <c r="AH3829" s="2"/>
      <c r="AI3829" s="2"/>
      <c r="AJ3829" s="2"/>
      <c r="AK3829" s="2"/>
    </row>
    <row r="3830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2"/>
      <c r="AE3830" s="2"/>
      <c r="AF3830" s="2"/>
      <c r="AG3830" s="2"/>
      <c r="AH3830" s="2"/>
      <c r="AI3830" s="2"/>
      <c r="AJ3830" s="2"/>
      <c r="AK3830" s="2"/>
    </row>
    <row r="3831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  <c r="AE3831" s="2"/>
      <c r="AF3831" s="2"/>
      <c r="AG3831" s="2"/>
      <c r="AH3831" s="2"/>
      <c r="AI3831" s="2"/>
      <c r="AJ3831" s="2"/>
      <c r="AK3831" s="2"/>
    </row>
    <row r="3832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  <c r="AE3832" s="2"/>
      <c r="AF3832" s="2"/>
      <c r="AG3832" s="2"/>
      <c r="AH3832" s="2"/>
      <c r="AI3832" s="2"/>
      <c r="AJ3832" s="2"/>
      <c r="AK3832" s="2"/>
    </row>
    <row r="3833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  <c r="AE3833" s="2"/>
      <c r="AF3833" s="2"/>
      <c r="AG3833" s="2"/>
      <c r="AH3833" s="2"/>
      <c r="AI3833" s="2"/>
      <c r="AJ3833" s="2"/>
      <c r="AK3833" s="2"/>
    </row>
    <row r="3834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  <c r="AE3834" s="2"/>
      <c r="AF3834" s="2"/>
      <c r="AG3834" s="2"/>
      <c r="AH3834" s="2"/>
      <c r="AI3834" s="2"/>
      <c r="AJ3834" s="2"/>
      <c r="AK3834" s="2"/>
    </row>
    <row r="3835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/>
      <c r="AE3835" s="2"/>
      <c r="AF3835" s="2"/>
      <c r="AG3835" s="2"/>
      <c r="AH3835" s="2"/>
      <c r="AI3835" s="2"/>
      <c r="AJ3835" s="2"/>
      <c r="AK3835" s="2"/>
    </row>
    <row r="3836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  <c r="AG3836" s="2"/>
      <c r="AH3836" s="2"/>
      <c r="AI3836" s="2"/>
      <c r="AJ3836" s="2"/>
      <c r="AK3836" s="2"/>
    </row>
    <row r="3837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  <c r="AE3837" s="2"/>
      <c r="AF3837" s="2"/>
      <c r="AG3837" s="2"/>
      <c r="AH3837" s="2"/>
      <c r="AI3837" s="2"/>
      <c r="AJ3837" s="2"/>
      <c r="AK3837" s="2"/>
    </row>
    <row r="3838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  <c r="AJ3838" s="2"/>
      <c r="AK3838" s="2"/>
    </row>
    <row r="3839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  <c r="AE3839" s="2"/>
      <c r="AF3839" s="2"/>
      <c r="AG3839" s="2"/>
      <c r="AH3839" s="2"/>
      <c r="AI3839" s="2"/>
      <c r="AJ3839" s="2"/>
      <c r="AK3839" s="2"/>
    </row>
    <row r="3840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  <c r="AF3840" s="2"/>
      <c r="AG3840" s="2"/>
      <c r="AH3840" s="2"/>
      <c r="AI3840" s="2"/>
      <c r="AJ3840" s="2"/>
      <c r="AK3840" s="2"/>
    </row>
    <row r="3841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  <c r="AE3841" s="2"/>
      <c r="AF3841" s="2"/>
      <c r="AG3841" s="2"/>
      <c r="AH3841" s="2"/>
      <c r="AI3841" s="2"/>
      <c r="AJ3841" s="2"/>
      <c r="AK3841" s="2"/>
    </row>
    <row r="3842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  <c r="AE3842" s="2"/>
      <c r="AF3842" s="2"/>
      <c r="AG3842" s="2"/>
      <c r="AH3842" s="2"/>
      <c r="AI3842" s="2"/>
      <c r="AJ3842" s="2"/>
      <c r="AK3842" s="2"/>
    </row>
    <row r="3843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  <c r="AE3843" s="2"/>
      <c r="AF3843" s="2"/>
      <c r="AG3843" s="2"/>
      <c r="AH3843" s="2"/>
      <c r="AI3843" s="2"/>
      <c r="AJ3843" s="2"/>
      <c r="AK3843" s="2"/>
    </row>
    <row r="3844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  <c r="AE3844" s="2"/>
      <c r="AF3844" s="2"/>
      <c r="AG3844" s="2"/>
      <c r="AH3844" s="2"/>
      <c r="AI3844" s="2"/>
      <c r="AJ3844" s="2"/>
      <c r="AK3844" s="2"/>
    </row>
    <row r="3845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  <c r="AE3845" s="2"/>
      <c r="AF3845" s="2"/>
      <c r="AG3845" s="2"/>
      <c r="AH3845" s="2"/>
      <c r="AI3845" s="2"/>
      <c r="AJ3845" s="2"/>
      <c r="AK3845" s="2"/>
    </row>
    <row r="3846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  <c r="AJ3846" s="2"/>
      <c r="AK3846" s="2"/>
    </row>
    <row r="3847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  <c r="AE3847" s="2"/>
      <c r="AF3847" s="2"/>
      <c r="AG3847" s="2"/>
      <c r="AH3847" s="2"/>
      <c r="AI3847" s="2"/>
      <c r="AJ3847" s="2"/>
      <c r="AK3847" s="2"/>
    </row>
    <row r="3848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  <c r="AF3848" s="2"/>
      <c r="AG3848" s="2"/>
      <c r="AH3848" s="2"/>
      <c r="AI3848" s="2"/>
      <c r="AJ3848" s="2"/>
      <c r="AK3848" s="2"/>
    </row>
    <row r="3849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  <c r="AF3849" s="2"/>
      <c r="AG3849" s="2"/>
      <c r="AH3849" s="2"/>
      <c r="AI3849" s="2"/>
      <c r="AJ3849" s="2"/>
      <c r="AK3849" s="2"/>
    </row>
    <row r="3850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  <c r="AE3850" s="2"/>
      <c r="AF3850" s="2"/>
      <c r="AG3850" s="2"/>
      <c r="AH3850" s="2"/>
      <c r="AI3850" s="2"/>
      <c r="AJ3850" s="2"/>
      <c r="AK3850" s="2"/>
    </row>
    <row r="3851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  <c r="AF3851" s="2"/>
      <c r="AG3851" s="2"/>
      <c r="AH3851" s="2"/>
      <c r="AI3851" s="2"/>
      <c r="AJ3851" s="2"/>
      <c r="AK3851" s="2"/>
    </row>
    <row r="3852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  <c r="AE3852" s="2"/>
      <c r="AF3852" s="2"/>
      <c r="AG3852" s="2"/>
      <c r="AH3852" s="2"/>
      <c r="AI3852" s="2"/>
      <c r="AJ3852" s="2"/>
      <c r="AK3852" s="2"/>
    </row>
    <row r="3853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/>
      <c r="AE3853" s="2"/>
      <c r="AF3853" s="2"/>
      <c r="AG3853" s="2"/>
      <c r="AH3853" s="2"/>
      <c r="AI3853" s="2"/>
      <c r="AJ3853" s="2"/>
      <c r="AK3853" s="2"/>
    </row>
    <row r="3854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/>
      <c r="AE3854" s="2"/>
      <c r="AF3854" s="2"/>
      <c r="AG3854" s="2"/>
      <c r="AH3854" s="2"/>
      <c r="AI3854" s="2"/>
      <c r="AJ3854" s="2"/>
      <c r="AK3854" s="2"/>
    </row>
    <row r="3855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  <c r="AF3855" s="2"/>
      <c r="AG3855" s="2"/>
      <c r="AH3855" s="2"/>
      <c r="AI3855" s="2"/>
      <c r="AJ3855" s="2"/>
      <c r="AK3855" s="2"/>
    </row>
    <row r="3856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2"/>
      <c r="AG3856" s="2"/>
      <c r="AH3856" s="2"/>
      <c r="AI3856" s="2"/>
      <c r="AJ3856" s="2"/>
      <c r="AK3856" s="2"/>
    </row>
    <row r="3857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2"/>
      <c r="AE3857" s="2"/>
      <c r="AF3857" s="2"/>
      <c r="AG3857" s="2"/>
      <c r="AH3857" s="2"/>
      <c r="AI3857" s="2"/>
      <c r="AJ3857" s="2"/>
      <c r="AK3857" s="2"/>
    </row>
    <row r="3858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  <c r="AF3858" s="2"/>
      <c r="AG3858" s="2"/>
      <c r="AH3858" s="2"/>
      <c r="AI3858" s="2"/>
      <c r="AJ3858" s="2"/>
      <c r="AK3858" s="2"/>
    </row>
    <row r="3859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2"/>
      <c r="AE3859" s="2"/>
      <c r="AF3859" s="2"/>
      <c r="AG3859" s="2"/>
      <c r="AH3859" s="2"/>
      <c r="AI3859" s="2"/>
      <c r="AJ3859" s="2"/>
      <c r="AK3859" s="2"/>
    </row>
    <row r="3860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  <c r="AG3860" s="2"/>
      <c r="AH3860" s="2"/>
      <c r="AI3860" s="2"/>
      <c r="AJ3860" s="2"/>
      <c r="AK3860" s="2"/>
    </row>
    <row r="3861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/>
      <c r="AE3861" s="2"/>
      <c r="AF3861" s="2"/>
      <c r="AG3861" s="2"/>
      <c r="AH3861" s="2"/>
      <c r="AI3861" s="2"/>
      <c r="AJ3861" s="2"/>
      <c r="AK3861" s="2"/>
    </row>
    <row r="3862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  <c r="AF3862" s="2"/>
      <c r="AG3862" s="2"/>
      <c r="AH3862" s="2"/>
      <c r="AI3862" s="2"/>
      <c r="AJ3862" s="2"/>
      <c r="AK3862" s="2"/>
    </row>
    <row r="3863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  <c r="AF3863" s="2"/>
      <c r="AG3863" s="2"/>
      <c r="AH3863" s="2"/>
      <c r="AI3863" s="2"/>
      <c r="AJ3863" s="2"/>
      <c r="AK3863" s="2"/>
    </row>
    <row r="3864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  <c r="AE3864" s="2"/>
      <c r="AF3864" s="2"/>
      <c r="AG3864" s="2"/>
      <c r="AH3864" s="2"/>
      <c r="AI3864" s="2"/>
      <c r="AJ3864" s="2"/>
      <c r="AK3864" s="2"/>
    </row>
    <row r="3865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/>
      <c r="AE3865" s="2"/>
      <c r="AF3865" s="2"/>
      <c r="AG3865" s="2"/>
      <c r="AH3865" s="2"/>
      <c r="AI3865" s="2"/>
      <c r="AJ3865" s="2"/>
      <c r="AK3865" s="2"/>
    </row>
    <row r="3866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  <c r="AE3866" s="2"/>
      <c r="AF3866" s="2"/>
      <c r="AG3866" s="2"/>
      <c r="AH3866" s="2"/>
      <c r="AI3866" s="2"/>
      <c r="AJ3866" s="2"/>
      <c r="AK3866" s="2"/>
    </row>
    <row r="3867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  <c r="AE3867" s="2"/>
      <c r="AF3867" s="2"/>
      <c r="AG3867" s="2"/>
      <c r="AH3867" s="2"/>
      <c r="AI3867" s="2"/>
      <c r="AJ3867" s="2"/>
      <c r="AK3867" s="2"/>
    </row>
    <row r="3868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  <c r="AF3868" s="2"/>
      <c r="AG3868" s="2"/>
      <c r="AH3868" s="2"/>
      <c r="AI3868" s="2"/>
      <c r="AJ3868" s="2"/>
      <c r="AK3868" s="2"/>
    </row>
    <row r="3869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  <c r="AE3869" s="2"/>
      <c r="AF3869" s="2"/>
      <c r="AG3869" s="2"/>
      <c r="AH3869" s="2"/>
      <c r="AI3869" s="2"/>
      <c r="AJ3869" s="2"/>
      <c r="AK3869" s="2"/>
    </row>
    <row r="3870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  <c r="AE3870" s="2"/>
      <c r="AF3870" s="2"/>
      <c r="AG3870" s="2"/>
      <c r="AH3870" s="2"/>
      <c r="AI3870" s="2"/>
      <c r="AJ3870" s="2"/>
      <c r="AK3870" s="2"/>
    </row>
    <row r="3871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  <c r="AE3871" s="2"/>
      <c r="AF3871" s="2"/>
      <c r="AG3871" s="2"/>
      <c r="AH3871" s="2"/>
      <c r="AI3871" s="2"/>
      <c r="AJ3871" s="2"/>
      <c r="AK3871" s="2"/>
    </row>
    <row r="3872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  <c r="AE3872" s="2"/>
      <c r="AF3872" s="2"/>
      <c r="AG3872" s="2"/>
      <c r="AH3872" s="2"/>
      <c r="AI3872" s="2"/>
      <c r="AJ3872" s="2"/>
      <c r="AK3872" s="2"/>
    </row>
    <row r="3873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  <c r="AF3873" s="2"/>
      <c r="AG3873" s="2"/>
      <c r="AH3873" s="2"/>
      <c r="AI3873" s="2"/>
      <c r="AJ3873" s="2"/>
      <c r="AK3873" s="2"/>
    </row>
    <row r="3874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  <c r="AG3874" s="2"/>
      <c r="AH3874" s="2"/>
      <c r="AI3874" s="2"/>
      <c r="AJ3874" s="2"/>
      <c r="AK3874" s="2"/>
    </row>
    <row r="3875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  <c r="AD3875" s="2"/>
      <c r="AE3875" s="2"/>
      <c r="AF3875" s="2"/>
      <c r="AG3875" s="2"/>
      <c r="AH3875" s="2"/>
      <c r="AI3875" s="2"/>
      <c r="AJ3875" s="2"/>
      <c r="AK3875" s="2"/>
    </row>
    <row r="3876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  <c r="AE3876" s="2"/>
      <c r="AF3876" s="2"/>
      <c r="AG3876" s="2"/>
      <c r="AH3876" s="2"/>
      <c r="AI3876" s="2"/>
      <c r="AJ3876" s="2"/>
      <c r="AK3876" s="2"/>
    </row>
    <row r="3877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  <c r="AE3877" s="2"/>
      <c r="AF3877" s="2"/>
      <c r="AG3877" s="2"/>
      <c r="AH3877" s="2"/>
      <c r="AI3877" s="2"/>
      <c r="AJ3877" s="2"/>
      <c r="AK3877" s="2"/>
    </row>
    <row r="3878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  <c r="AE3878" s="2"/>
      <c r="AF3878" s="2"/>
      <c r="AG3878" s="2"/>
      <c r="AH3878" s="2"/>
      <c r="AI3878" s="2"/>
      <c r="AJ3878" s="2"/>
      <c r="AK3878" s="2"/>
    </row>
    <row r="3879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  <c r="AE3879" s="2"/>
      <c r="AF3879" s="2"/>
      <c r="AG3879" s="2"/>
      <c r="AH3879" s="2"/>
      <c r="AI3879" s="2"/>
      <c r="AJ3879" s="2"/>
      <c r="AK3879" s="2"/>
    </row>
    <row r="3880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/>
      <c r="AG3880" s="2"/>
      <c r="AH3880" s="2"/>
      <c r="AI3880" s="2"/>
      <c r="AJ3880" s="2"/>
      <c r="AK3880" s="2"/>
    </row>
    <row r="3881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  <c r="AG3881" s="2"/>
      <c r="AH3881" s="2"/>
      <c r="AI3881" s="2"/>
      <c r="AJ3881" s="2"/>
      <c r="AK3881" s="2"/>
    </row>
    <row r="3882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  <c r="AG3882" s="2"/>
      <c r="AH3882" s="2"/>
      <c r="AI3882" s="2"/>
      <c r="AJ3882" s="2"/>
      <c r="AK3882" s="2"/>
    </row>
    <row r="3883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  <c r="AE3883" s="2"/>
      <c r="AF3883" s="2"/>
      <c r="AG3883" s="2"/>
      <c r="AH3883" s="2"/>
      <c r="AI3883" s="2"/>
      <c r="AJ3883" s="2"/>
      <c r="AK3883" s="2"/>
    </row>
    <row r="3884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  <c r="AG3884" s="2"/>
      <c r="AH3884" s="2"/>
      <c r="AI3884" s="2"/>
      <c r="AJ3884" s="2"/>
      <c r="AK3884" s="2"/>
    </row>
    <row r="3885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  <c r="AF3885" s="2"/>
      <c r="AG3885" s="2"/>
      <c r="AH3885" s="2"/>
      <c r="AI3885" s="2"/>
      <c r="AJ3885" s="2"/>
      <c r="AK3885" s="2"/>
    </row>
    <row r="3886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  <c r="AE3886" s="2"/>
      <c r="AF3886" s="2"/>
      <c r="AG3886" s="2"/>
      <c r="AH3886" s="2"/>
      <c r="AI3886" s="2"/>
      <c r="AJ3886" s="2"/>
      <c r="AK3886" s="2"/>
    </row>
    <row r="3887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2"/>
      <c r="AE3887" s="2"/>
      <c r="AF3887" s="2"/>
      <c r="AG3887" s="2"/>
      <c r="AH3887" s="2"/>
      <c r="AI3887" s="2"/>
      <c r="AJ3887" s="2"/>
      <c r="AK3887" s="2"/>
    </row>
    <row r="3888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  <c r="AE3888" s="2"/>
      <c r="AF3888" s="2"/>
      <c r="AG3888" s="2"/>
      <c r="AH3888" s="2"/>
      <c r="AI3888" s="2"/>
      <c r="AJ3888" s="2"/>
      <c r="AK3888" s="2"/>
    </row>
    <row r="3889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  <c r="AE3889" s="2"/>
      <c r="AF3889" s="2"/>
      <c r="AG3889" s="2"/>
      <c r="AH3889" s="2"/>
      <c r="AI3889" s="2"/>
      <c r="AJ3889" s="2"/>
      <c r="AK3889" s="2"/>
    </row>
    <row r="3890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  <c r="AD3890" s="2"/>
      <c r="AE3890" s="2"/>
      <c r="AF3890" s="2"/>
      <c r="AG3890" s="2"/>
      <c r="AH3890" s="2"/>
      <c r="AI3890" s="2"/>
      <c r="AJ3890" s="2"/>
      <c r="AK3890" s="2"/>
    </row>
    <row r="3891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2"/>
      <c r="AG3891" s="2"/>
      <c r="AH3891" s="2"/>
      <c r="AI3891" s="2"/>
      <c r="AJ3891" s="2"/>
      <c r="AK3891" s="2"/>
    </row>
    <row r="3892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/>
      <c r="AG3892" s="2"/>
      <c r="AH3892" s="2"/>
      <c r="AI3892" s="2"/>
      <c r="AJ3892" s="2"/>
      <c r="AK3892" s="2"/>
    </row>
    <row r="3893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  <c r="AF3893" s="2"/>
      <c r="AG3893" s="2"/>
      <c r="AH3893" s="2"/>
      <c r="AI3893" s="2"/>
      <c r="AJ3893" s="2"/>
      <c r="AK3893" s="2"/>
    </row>
    <row r="3894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  <c r="AE3894" s="2"/>
      <c r="AF3894" s="2"/>
      <c r="AG3894" s="2"/>
      <c r="AH3894" s="2"/>
      <c r="AI3894" s="2"/>
      <c r="AJ3894" s="2"/>
      <c r="AK3894" s="2"/>
    </row>
    <row r="3895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  <c r="AE3895" s="2"/>
      <c r="AF3895" s="2"/>
      <c r="AG3895" s="2"/>
      <c r="AH3895" s="2"/>
      <c r="AI3895" s="2"/>
      <c r="AJ3895" s="2"/>
      <c r="AK3895" s="2"/>
    </row>
    <row r="3896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  <c r="AE3896" s="2"/>
      <c r="AF3896" s="2"/>
      <c r="AG3896" s="2"/>
      <c r="AH3896" s="2"/>
      <c r="AI3896" s="2"/>
      <c r="AJ3896" s="2"/>
      <c r="AK3896" s="2"/>
    </row>
    <row r="3897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  <c r="AE3897" s="2"/>
      <c r="AF3897" s="2"/>
      <c r="AG3897" s="2"/>
      <c r="AH3897" s="2"/>
      <c r="AI3897" s="2"/>
      <c r="AJ3897" s="2"/>
      <c r="AK3897" s="2"/>
    </row>
    <row r="3898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  <c r="AE3898" s="2"/>
      <c r="AF3898" s="2"/>
      <c r="AG3898" s="2"/>
      <c r="AH3898" s="2"/>
      <c r="AI3898" s="2"/>
      <c r="AJ3898" s="2"/>
      <c r="AK3898" s="2"/>
    </row>
    <row r="3899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  <c r="AF3899" s="2"/>
      <c r="AG3899" s="2"/>
      <c r="AH3899" s="2"/>
      <c r="AI3899" s="2"/>
      <c r="AJ3899" s="2"/>
      <c r="AK3899" s="2"/>
    </row>
    <row r="3900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  <c r="AF3900" s="2"/>
      <c r="AG3900" s="2"/>
      <c r="AH3900" s="2"/>
      <c r="AI3900" s="2"/>
      <c r="AJ3900" s="2"/>
      <c r="AK3900" s="2"/>
    </row>
    <row r="3901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  <c r="AE3901" s="2"/>
      <c r="AF3901" s="2"/>
      <c r="AG3901" s="2"/>
      <c r="AH3901" s="2"/>
      <c r="AI3901" s="2"/>
      <c r="AJ3901" s="2"/>
      <c r="AK3901" s="2"/>
    </row>
    <row r="3902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2"/>
      <c r="AG3902" s="2"/>
      <c r="AH3902" s="2"/>
      <c r="AI3902" s="2"/>
      <c r="AJ3902" s="2"/>
      <c r="AK3902" s="2"/>
    </row>
    <row r="3903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  <c r="AE3903" s="2"/>
      <c r="AF3903" s="2"/>
      <c r="AG3903" s="2"/>
      <c r="AH3903" s="2"/>
      <c r="AI3903" s="2"/>
      <c r="AJ3903" s="2"/>
      <c r="AK3903" s="2"/>
    </row>
    <row r="3904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  <c r="AE3904" s="2"/>
      <c r="AF3904" s="2"/>
      <c r="AG3904" s="2"/>
      <c r="AH3904" s="2"/>
      <c r="AI3904" s="2"/>
      <c r="AJ3904" s="2"/>
      <c r="AK3904" s="2"/>
    </row>
    <row r="3905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  <c r="AE3905" s="2"/>
      <c r="AF3905" s="2"/>
      <c r="AG3905" s="2"/>
      <c r="AH3905" s="2"/>
      <c r="AI3905" s="2"/>
      <c r="AJ3905" s="2"/>
      <c r="AK3905" s="2"/>
    </row>
    <row r="3906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  <c r="AJ3906" s="2"/>
      <c r="AK3906" s="2"/>
    </row>
    <row r="3907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  <c r="AE3907" s="2"/>
      <c r="AF3907" s="2"/>
      <c r="AG3907" s="2"/>
      <c r="AH3907" s="2"/>
      <c r="AI3907" s="2"/>
      <c r="AJ3907" s="2"/>
      <c r="AK3907" s="2"/>
    </row>
    <row r="3908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2"/>
      <c r="AE3908" s="2"/>
      <c r="AF3908" s="2"/>
      <c r="AG3908" s="2"/>
      <c r="AH3908" s="2"/>
      <c r="AI3908" s="2"/>
      <c r="AJ3908" s="2"/>
      <c r="AK3908" s="2"/>
    </row>
    <row r="3909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  <c r="AD3909" s="2"/>
      <c r="AE3909" s="2"/>
      <c r="AF3909" s="2"/>
      <c r="AG3909" s="2"/>
      <c r="AH3909" s="2"/>
      <c r="AI3909" s="2"/>
      <c r="AJ3909" s="2"/>
      <c r="AK3909" s="2"/>
    </row>
    <row r="3910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  <c r="AE3910" s="2"/>
      <c r="AF3910" s="2"/>
      <c r="AG3910" s="2"/>
      <c r="AH3910" s="2"/>
      <c r="AI3910" s="2"/>
      <c r="AJ3910" s="2"/>
      <c r="AK3910" s="2"/>
    </row>
    <row r="3911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  <c r="AE3911" s="2"/>
      <c r="AF3911" s="2"/>
      <c r="AG3911" s="2"/>
      <c r="AH3911" s="2"/>
      <c r="AI3911" s="2"/>
      <c r="AJ3911" s="2"/>
      <c r="AK3911" s="2"/>
    </row>
    <row r="3912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  <c r="AE3912" s="2"/>
      <c r="AF3912" s="2"/>
      <c r="AG3912" s="2"/>
      <c r="AH3912" s="2"/>
      <c r="AI3912" s="2"/>
      <c r="AJ3912" s="2"/>
      <c r="AK3912" s="2"/>
    </row>
    <row r="3913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  <c r="AE3913" s="2"/>
      <c r="AF3913" s="2"/>
      <c r="AG3913" s="2"/>
      <c r="AH3913" s="2"/>
      <c r="AI3913" s="2"/>
      <c r="AJ3913" s="2"/>
      <c r="AK3913" s="2"/>
    </row>
    <row r="3914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  <c r="AE3914" s="2"/>
      <c r="AF3914" s="2"/>
      <c r="AG3914" s="2"/>
      <c r="AH3914" s="2"/>
      <c r="AI3914" s="2"/>
      <c r="AJ3914" s="2"/>
      <c r="AK3914" s="2"/>
    </row>
    <row r="3915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  <c r="AE3915" s="2"/>
      <c r="AF3915" s="2"/>
      <c r="AG3915" s="2"/>
      <c r="AH3915" s="2"/>
      <c r="AI3915" s="2"/>
      <c r="AJ3915" s="2"/>
      <c r="AK3915" s="2"/>
    </row>
    <row r="3916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2"/>
      <c r="AE3916" s="2"/>
      <c r="AF3916" s="2"/>
      <c r="AG3916" s="2"/>
      <c r="AH3916" s="2"/>
      <c r="AI3916" s="2"/>
      <c r="AJ3916" s="2"/>
      <c r="AK3916" s="2"/>
    </row>
    <row r="3917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  <c r="AE3917" s="2"/>
      <c r="AF3917" s="2"/>
      <c r="AG3917" s="2"/>
      <c r="AH3917" s="2"/>
      <c r="AI3917" s="2"/>
      <c r="AJ3917" s="2"/>
      <c r="AK3917" s="2"/>
    </row>
    <row r="3918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2"/>
      <c r="AE3918" s="2"/>
      <c r="AF3918" s="2"/>
      <c r="AG3918" s="2"/>
      <c r="AH3918" s="2"/>
      <c r="AI3918" s="2"/>
      <c r="AJ3918" s="2"/>
      <c r="AK3918" s="2"/>
    </row>
    <row r="3919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  <c r="AD3919" s="2"/>
      <c r="AE3919" s="2"/>
      <c r="AF3919" s="2"/>
      <c r="AG3919" s="2"/>
      <c r="AH3919" s="2"/>
      <c r="AI3919" s="2"/>
      <c r="AJ3919" s="2"/>
      <c r="AK3919" s="2"/>
    </row>
    <row r="3920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2"/>
      <c r="AE3920" s="2"/>
      <c r="AF3920" s="2"/>
      <c r="AG3920" s="2"/>
      <c r="AH3920" s="2"/>
      <c r="AI3920" s="2"/>
      <c r="AJ3920" s="2"/>
      <c r="AK3920" s="2"/>
    </row>
    <row r="3921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  <c r="AF3921" s="2"/>
      <c r="AG3921" s="2"/>
      <c r="AH3921" s="2"/>
      <c r="AI3921" s="2"/>
      <c r="AJ3921" s="2"/>
      <c r="AK3921" s="2"/>
    </row>
    <row r="3922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2"/>
      <c r="AG3922" s="2"/>
      <c r="AH3922" s="2"/>
      <c r="AI3922" s="2"/>
      <c r="AJ3922" s="2"/>
      <c r="AK3922" s="2"/>
    </row>
    <row r="3923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  <c r="AE3923" s="2"/>
      <c r="AF3923" s="2"/>
      <c r="AG3923" s="2"/>
      <c r="AH3923" s="2"/>
      <c r="AI3923" s="2"/>
      <c r="AJ3923" s="2"/>
      <c r="AK3923" s="2"/>
    </row>
    <row r="3924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  <c r="AE3924" s="2"/>
      <c r="AF3924" s="2"/>
      <c r="AG3924" s="2"/>
      <c r="AH3924" s="2"/>
      <c r="AI3924" s="2"/>
      <c r="AJ3924" s="2"/>
      <c r="AK3924" s="2"/>
    </row>
    <row r="3925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  <c r="AE3925" s="2"/>
      <c r="AF3925" s="2"/>
      <c r="AG3925" s="2"/>
      <c r="AH3925" s="2"/>
      <c r="AI3925" s="2"/>
      <c r="AJ3925" s="2"/>
      <c r="AK3925" s="2"/>
    </row>
    <row r="3926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  <c r="AE3926" s="2"/>
      <c r="AF3926" s="2"/>
      <c r="AG3926" s="2"/>
      <c r="AH3926" s="2"/>
      <c r="AI3926" s="2"/>
      <c r="AJ3926" s="2"/>
      <c r="AK3926" s="2"/>
    </row>
    <row r="3927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2"/>
      <c r="AE3927" s="2"/>
      <c r="AF3927" s="2"/>
      <c r="AG3927" s="2"/>
      <c r="AH3927" s="2"/>
      <c r="AI3927" s="2"/>
      <c r="AJ3927" s="2"/>
      <c r="AK3927" s="2"/>
    </row>
    <row r="3928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  <c r="AE3928" s="2"/>
      <c r="AF3928" s="2"/>
      <c r="AG3928" s="2"/>
      <c r="AH3928" s="2"/>
      <c r="AI3928" s="2"/>
      <c r="AJ3928" s="2"/>
      <c r="AK3928" s="2"/>
    </row>
    <row r="3929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  <c r="AD3929" s="2"/>
      <c r="AE3929" s="2"/>
      <c r="AF3929" s="2"/>
      <c r="AG3929" s="2"/>
      <c r="AH3929" s="2"/>
      <c r="AI3929" s="2"/>
      <c r="AJ3929" s="2"/>
      <c r="AK3929" s="2"/>
    </row>
    <row r="3930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  <c r="AE3930" s="2"/>
      <c r="AF3930" s="2"/>
      <c r="AG3930" s="2"/>
      <c r="AH3930" s="2"/>
      <c r="AI3930" s="2"/>
      <c r="AJ3930" s="2"/>
      <c r="AK3930" s="2"/>
    </row>
    <row r="3931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  <c r="AD3931" s="2"/>
      <c r="AE3931" s="2"/>
      <c r="AF3931" s="2"/>
      <c r="AG3931" s="2"/>
      <c r="AH3931" s="2"/>
      <c r="AI3931" s="2"/>
      <c r="AJ3931" s="2"/>
      <c r="AK3931" s="2"/>
    </row>
    <row r="3932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2"/>
      <c r="AE3932" s="2"/>
      <c r="AF3932" s="2"/>
      <c r="AG3932" s="2"/>
      <c r="AH3932" s="2"/>
      <c r="AI3932" s="2"/>
      <c r="AJ3932" s="2"/>
      <c r="AK3932" s="2"/>
    </row>
    <row r="3933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2"/>
      <c r="AE3933" s="2"/>
      <c r="AF3933" s="2"/>
      <c r="AG3933" s="2"/>
      <c r="AH3933" s="2"/>
      <c r="AI3933" s="2"/>
      <c r="AJ3933" s="2"/>
      <c r="AK3933" s="2"/>
    </row>
    <row r="3934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  <c r="AE3934" s="2"/>
      <c r="AF3934" s="2"/>
      <c r="AG3934" s="2"/>
      <c r="AH3934" s="2"/>
      <c r="AI3934" s="2"/>
      <c r="AJ3934" s="2"/>
      <c r="AK3934" s="2"/>
    </row>
    <row r="3935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  <c r="AE3935" s="2"/>
      <c r="AF3935" s="2"/>
      <c r="AG3935" s="2"/>
      <c r="AH3935" s="2"/>
      <c r="AI3935" s="2"/>
      <c r="AJ3935" s="2"/>
      <c r="AK3935" s="2"/>
    </row>
    <row r="3936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  <c r="AE3936" s="2"/>
      <c r="AF3936" s="2"/>
      <c r="AG3936" s="2"/>
      <c r="AH3936" s="2"/>
      <c r="AI3936" s="2"/>
      <c r="AJ3936" s="2"/>
      <c r="AK3936" s="2"/>
    </row>
    <row r="3937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  <c r="AE3937" s="2"/>
      <c r="AF3937" s="2"/>
      <c r="AG3937" s="2"/>
      <c r="AH3937" s="2"/>
      <c r="AI3937" s="2"/>
      <c r="AJ3937" s="2"/>
      <c r="AK3937" s="2"/>
    </row>
    <row r="3938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  <c r="AD3938" s="2"/>
      <c r="AE3938" s="2"/>
      <c r="AF3938" s="2"/>
      <c r="AG3938" s="2"/>
      <c r="AH3938" s="2"/>
      <c r="AI3938" s="2"/>
      <c r="AJ3938" s="2"/>
      <c r="AK3938" s="2"/>
    </row>
    <row r="3939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  <c r="AE3939" s="2"/>
      <c r="AF3939" s="2"/>
      <c r="AG3939" s="2"/>
      <c r="AH3939" s="2"/>
      <c r="AI3939" s="2"/>
      <c r="AJ3939" s="2"/>
      <c r="AK3939" s="2"/>
    </row>
    <row r="3940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  <c r="AE3940" s="2"/>
      <c r="AF3940" s="2"/>
      <c r="AG3940" s="2"/>
      <c r="AH3940" s="2"/>
      <c r="AI3940" s="2"/>
      <c r="AJ3940" s="2"/>
      <c r="AK3940" s="2"/>
    </row>
    <row r="3941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  <c r="AD3941" s="2"/>
      <c r="AE3941" s="2"/>
      <c r="AF3941" s="2"/>
      <c r="AG3941" s="2"/>
      <c r="AH3941" s="2"/>
      <c r="AI3941" s="2"/>
      <c r="AJ3941" s="2"/>
      <c r="AK3941" s="2"/>
    </row>
    <row r="3942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  <c r="AD3942" s="2"/>
      <c r="AE3942" s="2"/>
      <c r="AF3942" s="2"/>
      <c r="AG3942" s="2"/>
      <c r="AH3942" s="2"/>
      <c r="AI3942" s="2"/>
      <c r="AJ3942" s="2"/>
      <c r="AK3942" s="2"/>
    </row>
    <row r="3943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  <c r="AD3943" s="2"/>
      <c r="AE3943" s="2"/>
      <c r="AF3943" s="2"/>
      <c r="AG3943" s="2"/>
      <c r="AH3943" s="2"/>
      <c r="AI3943" s="2"/>
      <c r="AJ3943" s="2"/>
      <c r="AK3943" s="2"/>
    </row>
    <row r="3944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  <c r="AD3944" s="2"/>
      <c r="AE3944" s="2"/>
      <c r="AF3944" s="2"/>
      <c r="AG3944" s="2"/>
      <c r="AH3944" s="2"/>
      <c r="AI3944" s="2"/>
      <c r="AJ3944" s="2"/>
      <c r="AK3944" s="2"/>
    </row>
    <row r="3945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  <c r="AE3945" s="2"/>
      <c r="AF3945" s="2"/>
      <c r="AG3945" s="2"/>
      <c r="AH3945" s="2"/>
      <c r="AI3945" s="2"/>
      <c r="AJ3945" s="2"/>
      <c r="AK3945" s="2"/>
    </row>
    <row r="3946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  <c r="AD3946" s="2"/>
      <c r="AE3946" s="2"/>
      <c r="AF3946" s="2"/>
      <c r="AG3946" s="2"/>
      <c r="AH3946" s="2"/>
      <c r="AI3946" s="2"/>
      <c r="AJ3946" s="2"/>
      <c r="AK3946" s="2"/>
    </row>
    <row r="3947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  <c r="AD3947" s="2"/>
      <c r="AE3947" s="2"/>
      <c r="AF3947" s="2"/>
      <c r="AG3947" s="2"/>
      <c r="AH3947" s="2"/>
      <c r="AI3947" s="2"/>
      <c r="AJ3947" s="2"/>
      <c r="AK3947" s="2"/>
    </row>
    <row r="3948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  <c r="AE3948" s="2"/>
      <c r="AF3948" s="2"/>
      <c r="AG3948" s="2"/>
      <c r="AH3948" s="2"/>
      <c r="AI3948" s="2"/>
      <c r="AJ3948" s="2"/>
      <c r="AK3948" s="2"/>
    </row>
    <row r="3949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  <c r="AD3949" s="2"/>
      <c r="AE3949" s="2"/>
      <c r="AF3949" s="2"/>
      <c r="AG3949" s="2"/>
      <c r="AH3949" s="2"/>
      <c r="AI3949" s="2"/>
      <c r="AJ3949" s="2"/>
      <c r="AK3949" s="2"/>
    </row>
    <row r="3950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  <c r="AD3950" s="2"/>
      <c r="AE3950" s="2"/>
      <c r="AF3950" s="2"/>
      <c r="AG3950" s="2"/>
      <c r="AH3950" s="2"/>
      <c r="AI3950" s="2"/>
      <c r="AJ3950" s="2"/>
      <c r="AK3950" s="2"/>
    </row>
    <row r="3951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  <c r="AD3951" s="2"/>
      <c r="AE3951" s="2"/>
      <c r="AF3951" s="2"/>
      <c r="AG3951" s="2"/>
      <c r="AH3951" s="2"/>
      <c r="AI3951" s="2"/>
      <c r="AJ3951" s="2"/>
      <c r="AK3951" s="2"/>
    </row>
    <row r="3952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  <c r="AD3952" s="2"/>
      <c r="AE3952" s="2"/>
      <c r="AF3952" s="2"/>
      <c r="AG3952" s="2"/>
      <c r="AH3952" s="2"/>
      <c r="AI3952" s="2"/>
      <c r="AJ3952" s="2"/>
      <c r="AK3952" s="2"/>
    </row>
    <row r="3953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  <c r="AD3953" s="2"/>
      <c r="AE3953" s="2"/>
      <c r="AF3953" s="2"/>
      <c r="AG3953" s="2"/>
      <c r="AH3953" s="2"/>
      <c r="AI3953" s="2"/>
      <c r="AJ3953" s="2"/>
      <c r="AK3953" s="2"/>
    </row>
    <row r="3954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  <c r="AE3954" s="2"/>
      <c r="AF3954" s="2"/>
      <c r="AG3954" s="2"/>
      <c r="AH3954" s="2"/>
      <c r="AI3954" s="2"/>
      <c r="AJ3954" s="2"/>
      <c r="AK3954" s="2"/>
    </row>
    <row r="3955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  <c r="AD3955" s="2"/>
      <c r="AE3955" s="2"/>
      <c r="AF3955" s="2"/>
      <c r="AG3955" s="2"/>
      <c r="AH3955" s="2"/>
      <c r="AI3955" s="2"/>
      <c r="AJ3955" s="2"/>
      <c r="AK3955" s="2"/>
    </row>
    <row r="3956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  <c r="AD3956" s="2"/>
      <c r="AE3956" s="2"/>
      <c r="AF3956" s="2"/>
      <c r="AG3956" s="2"/>
      <c r="AH3956" s="2"/>
      <c r="AI3956" s="2"/>
      <c r="AJ3956" s="2"/>
      <c r="AK3956" s="2"/>
    </row>
    <row r="3957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  <c r="AD3957" s="2"/>
      <c r="AE3957" s="2"/>
      <c r="AF3957" s="2"/>
      <c r="AG3957" s="2"/>
      <c r="AH3957" s="2"/>
      <c r="AI3957" s="2"/>
      <c r="AJ3957" s="2"/>
      <c r="AK3957" s="2"/>
    </row>
    <row r="3958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  <c r="AD3958" s="2"/>
      <c r="AE3958" s="2"/>
      <c r="AF3958" s="2"/>
      <c r="AG3958" s="2"/>
      <c r="AH3958" s="2"/>
      <c r="AI3958" s="2"/>
      <c r="AJ3958" s="2"/>
      <c r="AK3958" s="2"/>
    </row>
    <row r="3959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  <c r="AD3959" s="2"/>
      <c r="AE3959" s="2"/>
      <c r="AF3959" s="2"/>
      <c r="AG3959" s="2"/>
      <c r="AH3959" s="2"/>
      <c r="AI3959" s="2"/>
      <c r="AJ3959" s="2"/>
      <c r="AK3959" s="2"/>
    </row>
    <row r="3960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  <c r="AE3960" s="2"/>
      <c r="AF3960" s="2"/>
      <c r="AG3960" s="2"/>
      <c r="AH3960" s="2"/>
      <c r="AI3960" s="2"/>
      <c r="AJ3960" s="2"/>
      <c r="AK3960" s="2"/>
    </row>
    <row r="3961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  <c r="AD3961" s="2"/>
      <c r="AE3961" s="2"/>
      <c r="AF3961" s="2"/>
      <c r="AG3961" s="2"/>
      <c r="AH3961" s="2"/>
      <c r="AI3961" s="2"/>
      <c r="AJ3961" s="2"/>
      <c r="AK3961" s="2"/>
    </row>
    <row r="3962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2"/>
      <c r="AE3962" s="2"/>
      <c r="AF3962" s="2"/>
      <c r="AG3962" s="2"/>
      <c r="AH3962" s="2"/>
      <c r="AI3962" s="2"/>
      <c r="AJ3962" s="2"/>
      <c r="AK3962" s="2"/>
    </row>
    <row r="3963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  <c r="AD3963" s="2"/>
      <c r="AE3963" s="2"/>
      <c r="AF3963" s="2"/>
      <c r="AG3963" s="2"/>
      <c r="AH3963" s="2"/>
      <c r="AI3963" s="2"/>
      <c r="AJ3963" s="2"/>
      <c r="AK3963" s="2"/>
    </row>
    <row r="3964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  <c r="AD3964" s="2"/>
      <c r="AE3964" s="2"/>
      <c r="AF3964" s="2"/>
      <c r="AG3964" s="2"/>
      <c r="AH3964" s="2"/>
      <c r="AI3964" s="2"/>
      <c r="AJ3964" s="2"/>
      <c r="AK3964" s="2"/>
    </row>
    <row r="3965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2"/>
      <c r="AE3965" s="2"/>
      <c r="AF3965" s="2"/>
      <c r="AG3965" s="2"/>
      <c r="AH3965" s="2"/>
      <c r="AI3965" s="2"/>
      <c r="AJ3965" s="2"/>
      <c r="AK3965" s="2"/>
    </row>
    <row r="3966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  <c r="AE3966" s="2"/>
      <c r="AF3966" s="2"/>
      <c r="AG3966" s="2"/>
      <c r="AH3966" s="2"/>
      <c r="AI3966" s="2"/>
      <c r="AJ3966" s="2"/>
      <c r="AK3966" s="2"/>
    </row>
    <row r="3967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2"/>
      <c r="AE3967" s="2"/>
      <c r="AF3967" s="2"/>
      <c r="AG3967" s="2"/>
      <c r="AH3967" s="2"/>
      <c r="AI3967" s="2"/>
      <c r="AJ3967" s="2"/>
      <c r="AK3967" s="2"/>
    </row>
    <row r="3968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  <c r="AE3968" s="2"/>
      <c r="AF3968" s="2"/>
      <c r="AG3968" s="2"/>
      <c r="AH3968" s="2"/>
      <c r="AI3968" s="2"/>
      <c r="AJ3968" s="2"/>
      <c r="AK3968" s="2"/>
    </row>
    <row r="3969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2"/>
      <c r="AE3969" s="2"/>
      <c r="AF3969" s="2"/>
      <c r="AG3969" s="2"/>
      <c r="AH3969" s="2"/>
      <c r="AI3969" s="2"/>
      <c r="AJ3969" s="2"/>
      <c r="AK3969" s="2"/>
    </row>
    <row r="3970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  <c r="AE3970" s="2"/>
      <c r="AF3970" s="2"/>
      <c r="AG3970" s="2"/>
      <c r="AH3970" s="2"/>
      <c r="AI3970" s="2"/>
      <c r="AJ3970" s="2"/>
      <c r="AK3970" s="2"/>
    </row>
    <row r="3971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  <c r="AD3971" s="2"/>
      <c r="AE3971" s="2"/>
      <c r="AF3971" s="2"/>
      <c r="AG3971" s="2"/>
      <c r="AH3971" s="2"/>
      <c r="AI3971" s="2"/>
      <c r="AJ3971" s="2"/>
      <c r="AK3971" s="2"/>
    </row>
    <row r="3972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  <c r="AD3972" s="2"/>
      <c r="AE3972" s="2"/>
      <c r="AF3972" s="2"/>
      <c r="AG3972" s="2"/>
      <c r="AH3972" s="2"/>
      <c r="AI3972" s="2"/>
      <c r="AJ3972" s="2"/>
      <c r="AK3972" s="2"/>
    </row>
    <row r="3973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  <c r="AD3973" s="2"/>
      <c r="AE3973" s="2"/>
      <c r="AF3973" s="2"/>
      <c r="AG3973" s="2"/>
      <c r="AH3973" s="2"/>
      <c r="AI3973" s="2"/>
      <c r="AJ3973" s="2"/>
      <c r="AK3973" s="2"/>
    </row>
    <row r="3974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  <c r="AD3974" s="2"/>
      <c r="AE3974" s="2"/>
      <c r="AF3974" s="2"/>
      <c r="AG3974" s="2"/>
      <c r="AH3974" s="2"/>
      <c r="AI3974" s="2"/>
      <c r="AJ3974" s="2"/>
      <c r="AK3974" s="2"/>
    </row>
    <row r="3975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  <c r="AD3975" s="2"/>
      <c r="AE3975" s="2"/>
      <c r="AF3975" s="2"/>
      <c r="AG3975" s="2"/>
      <c r="AH3975" s="2"/>
      <c r="AI3975" s="2"/>
      <c r="AJ3975" s="2"/>
      <c r="AK3975" s="2"/>
    </row>
    <row r="3976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2"/>
      <c r="AE3976" s="2"/>
      <c r="AF3976" s="2"/>
      <c r="AG3976" s="2"/>
      <c r="AH3976" s="2"/>
      <c r="AI3976" s="2"/>
      <c r="AJ3976" s="2"/>
      <c r="AK3976" s="2"/>
    </row>
    <row r="3977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  <c r="AE3977" s="2"/>
      <c r="AF3977" s="2"/>
      <c r="AG3977" s="2"/>
      <c r="AH3977" s="2"/>
      <c r="AI3977" s="2"/>
      <c r="AJ3977" s="2"/>
      <c r="AK3977" s="2"/>
    </row>
    <row r="3978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  <c r="AE3978" s="2"/>
      <c r="AF3978" s="2"/>
      <c r="AG3978" s="2"/>
      <c r="AH3978" s="2"/>
      <c r="AI3978" s="2"/>
      <c r="AJ3978" s="2"/>
      <c r="AK3978" s="2"/>
    </row>
    <row r="3979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  <c r="AE3979" s="2"/>
      <c r="AF3979" s="2"/>
      <c r="AG3979" s="2"/>
      <c r="AH3979" s="2"/>
      <c r="AI3979" s="2"/>
      <c r="AJ3979" s="2"/>
      <c r="AK3979" s="2"/>
    </row>
    <row r="3980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  <c r="AD3980" s="2"/>
      <c r="AE3980" s="2"/>
      <c r="AF3980" s="2"/>
      <c r="AG3980" s="2"/>
      <c r="AH3980" s="2"/>
      <c r="AI3980" s="2"/>
      <c r="AJ3980" s="2"/>
      <c r="AK3980" s="2"/>
    </row>
    <row r="3981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  <c r="AE3981" s="2"/>
      <c r="AF3981" s="2"/>
      <c r="AG3981" s="2"/>
      <c r="AH3981" s="2"/>
      <c r="AI3981" s="2"/>
      <c r="AJ3981" s="2"/>
      <c r="AK3981" s="2"/>
    </row>
    <row r="3982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  <c r="AD3982" s="2"/>
      <c r="AE3982" s="2"/>
      <c r="AF3982" s="2"/>
      <c r="AG3982" s="2"/>
      <c r="AH3982" s="2"/>
      <c r="AI3982" s="2"/>
      <c r="AJ3982" s="2"/>
      <c r="AK3982" s="2"/>
    </row>
    <row r="3983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  <c r="AD3983" s="2"/>
      <c r="AE3983" s="2"/>
      <c r="AF3983" s="2"/>
      <c r="AG3983" s="2"/>
      <c r="AH3983" s="2"/>
      <c r="AI3983" s="2"/>
      <c r="AJ3983" s="2"/>
      <c r="AK3983" s="2"/>
    </row>
    <row r="3984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  <c r="AD3984" s="2"/>
      <c r="AE3984" s="2"/>
      <c r="AF3984" s="2"/>
      <c r="AG3984" s="2"/>
      <c r="AH3984" s="2"/>
      <c r="AI3984" s="2"/>
      <c r="AJ3984" s="2"/>
      <c r="AK3984" s="2"/>
    </row>
    <row r="3985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  <c r="AD3985" s="2"/>
      <c r="AE3985" s="2"/>
      <c r="AF3985" s="2"/>
      <c r="AG3985" s="2"/>
      <c r="AH3985" s="2"/>
      <c r="AI3985" s="2"/>
      <c r="AJ3985" s="2"/>
      <c r="AK3985" s="2"/>
    </row>
    <row r="3986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  <c r="AE3986" s="2"/>
      <c r="AF3986" s="2"/>
      <c r="AG3986" s="2"/>
      <c r="AH3986" s="2"/>
      <c r="AI3986" s="2"/>
      <c r="AJ3986" s="2"/>
      <c r="AK3986" s="2"/>
    </row>
    <row r="3987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  <c r="AE3987" s="2"/>
      <c r="AF3987" s="2"/>
      <c r="AG3987" s="2"/>
      <c r="AH3987" s="2"/>
      <c r="AI3987" s="2"/>
      <c r="AJ3987" s="2"/>
      <c r="AK3987" s="2"/>
    </row>
    <row r="3988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2"/>
      <c r="AE3988" s="2"/>
      <c r="AF3988" s="2"/>
      <c r="AG3988" s="2"/>
      <c r="AH3988" s="2"/>
      <c r="AI3988" s="2"/>
      <c r="AJ3988" s="2"/>
      <c r="AK3988" s="2"/>
    </row>
    <row r="3989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  <c r="AD3989" s="2"/>
      <c r="AE3989" s="2"/>
      <c r="AF3989" s="2"/>
      <c r="AG3989" s="2"/>
      <c r="AH3989" s="2"/>
      <c r="AI3989" s="2"/>
      <c r="AJ3989" s="2"/>
      <c r="AK3989" s="2"/>
    </row>
    <row r="3990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  <c r="AD3990" s="2"/>
      <c r="AE3990" s="2"/>
      <c r="AF3990" s="2"/>
      <c r="AG3990" s="2"/>
      <c r="AH3990" s="2"/>
      <c r="AI3990" s="2"/>
      <c r="AJ3990" s="2"/>
      <c r="AK3990" s="2"/>
    </row>
    <row r="3991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  <c r="AD3991" s="2"/>
      <c r="AE3991" s="2"/>
      <c r="AF3991" s="2"/>
      <c r="AG3991" s="2"/>
      <c r="AH3991" s="2"/>
      <c r="AI3991" s="2"/>
      <c r="AJ3991" s="2"/>
      <c r="AK3991" s="2"/>
    </row>
    <row r="3992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  <c r="AD3992" s="2"/>
      <c r="AE3992" s="2"/>
      <c r="AF3992" s="2"/>
      <c r="AG3992" s="2"/>
      <c r="AH3992" s="2"/>
      <c r="AI3992" s="2"/>
      <c r="AJ3992" s="2"/>
      <c r="AK3992" s="2"/>
    </row>
    <row r="3993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2"/>
      <c r="AE3993" s="2"/>
      <c r="AF3993" s="2"/>
      <c r="AG3993" s="2"/>
      <c r="AH3993" s="2"/>
      <c r="AI3993" s="2"/>
      <c r="AJ3993" s="2"/>
      <c r="AK3993" s="2"/>
    </row>
    <row r="3994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  <c r="AD3994" s="2"/>
      <c r="AE3994" s="2"/>
      <c r="AF3994" s="2"/>
      <c r="AG3994" s="2"/>
      <c r="AH3994" s="2"/>
      <c r="AI3994" s="2"/>
      <c r="AJ3994" s="2"/>
      <c r="AK3994" s="2"/>
    </row>
    <row r="3995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2"/>
      <c r="AE3995" s="2"/>
      <c r="AF3995" s="2"/>
      <c r="AG3995" s="2"/>
      <c r="AH3995" s="2"/>
      <c r="AI3995" s="2"/>
      <c r="AJ3995" s="2"/>
      <c r="AK3995" s="2"/>
    </row>
    <row r="3996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  <c r="AD3996" s="2"/>
      <c r="AE3996" s="2"/>
      <c r="AF3996" s="2"/>
      <c r="AG3996" s="2"/>
      <c r="AH3996" s="2"/>
      <c r="AI3996" s="2"/>
      <c r="AJ3996" s="2"/>
      <c r="AK3996" s="2"/>
    </row>
    <row r="3997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  <c r="AD3997" s="2"/>
      <c r="AE3997" s="2"/>
      <c r="AF3997" s="2"/>
      <c r="AG3997" s="2"/>
      <c r="AH3997" s="2"/>
      <c r="AI3997" s="2"/>
      <c r="AJ3997" s="2"/>
      <c r="AK3997" s="2"/>
    </row>
    <row r="3998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  <c r="AD3998" s="2"/>
      <c r="AE3998" s="2"/>
      <c r="AF3998" s="2"/>
      <c r="AG3998" s="2"/>
      <c r="AH3998" s="2"/>
      <c r="AI3998" s="2"/>
      <c r="AJ3998" s="2"/>
      <c r="AK3998" s="2"/>
    </row>
    <row r="3999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  <c r="AE3999" s="2"/>
      <c r="AF3999" s="2"/>
      <c r="AG3999" s="2"/>
      <c r="AH3999" s="2"/>
      <c r="AI3999" s="2"/>
      <c r="AJ3999" s="2"/>
      <c r="AK3999" s="2"/>
    </row>
    <row r="4000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  <c r="AD4000" s="2"/>
      <c r="AE4000" s="2"/>
      <c r="AF4000" s="2"/>
      <c r="AG4000" s="2"/>
      <c r="AH4000" s="2"/>
      <c r="AI4000" s="2"/>
      <c r="AJ4000" s="2"/>
      <c r="AK4000" s="2"/>
    </row>
    <row r="4001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  <c r="AD4001" s="2"/>
      <c r="AE4001" s="2"/>
      <c r="AF4001" s="2"/>
      <c r="AG4001" s="2"/>
      <c r="AH4001" s="2"/>
      <c r="AI4001" s="2"/>
      <c r="AJ4001" s="2"/>
      <c r="AK4001" s="2"/>
    </row>
    <row r="4002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  <c r="AD4002" s="2"/>
      <c r="AE4002" s="2"/>
      <c r="AF4002" s="2"/>
      <c r="AG4002" s="2"/>
      <c r="AH4002" s="2"/>
      <c r="AI4002" s="2"/>
      <c r="AJ4002" s="2"/>
      <c r="AK4002" s="2"/>
    </row>
    <row r="4003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  <c r="AE4003" s="2"/>
      <c r="AF4003" s="2"/>
      <c r="AG4003" s="2"/>
      <c r="AH4003" s="2"/>
      <c r="AI4003" s="2"/>
      <c r="AJ4003" s="2"/>
      <c r="AK4003" s="2"/>
    </row>
    <row r="4004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  <c r="AD4004" s="2"/>
      <c r="AE4004" s="2"/>
      <c r="AF4004" s="2"/>
      <c r="AG4004" s="2"/>
      <c r="AH4004" s="2"/>
      <c r="AI4004" s="2"/>
      <c r="AJ4004" s="2"/>
      <c r="AK4004" s="2"/>
    </row>
    <row r="4005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  <c r="AE4005" s="2"/>
      <c r="AF4005" s="2"/>
      <c r="AG4005" s="2"/>
      <c r="AH4005" s="2"/>
      <c r="AI4005" s="2"/>
      <c r="AJ4005" s="2"/>
      <c r="AK4005" s="2"/>
    </row>
    <row r="4006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  <c r="AD4006" s="2"/>
      <c r="AE4006" s="2"/>
      <c r="AF4006" s="2"/>
      <c r="AG4006" s="2"/>
      <c r="AH4006" s="2"/>
      <c r="AI4006" s="2"/>
      <c r="AJ4006" s="2"/>
      <c r="AK4006" s="2"/>
    </row>
    <row r="4007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  <c r="AD4007" s="2"/>
      <c r="AE4007" s="2"/>
      <c r="AF4007" s="2"/>
      <c r="AG4007" s="2"/>
      <c r="AH4007" s="2"/>
      <c r="AI4007" s="2"/>
      <c r="AJ4007" s="2"/>
      <c r="AK4007" s="2"/>
    </row>
    <row r="4008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  <c r="AD4008" s="2"/>
      <c r="AE4008" s="2"/>
      <c r="AF4008" s="2"/>
      <c r="AG4008" s="2"/>
      <c r="AH4008" s="2"/>
      <c r="AI4008" s="2"/>
      <c r="AJ4008" s="2"/>
      <c r="AK4008" s="2"/>
    </row>
    <row r="4009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  <c r="AD4009" s="2"/>
      <c r="AE4009" s="2"/>
      <c r="AF4009" s="2"/>
      <c r="AG4009" s="2"/>
      <c r="AH4009" s="2"/>
      <c r="AI4009" s="2"/>
      <c r="AJ4009" s="2"/>
      <c r="AK4009" s="2"/>
    </row>
    <row r="4010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  <c r="AE4010" s="2"/>
      <c r="AF4010" s="2"/>
      <c r="AG4010" s="2"/>
      <c r="AH4010" s="2"/>
      <c r="AI4010" s="2"/>
      <c r="AJ4010" s="2"/>
      <c r="AK4010" s="2"/>
    </row>
    <row r="4011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  <c r="AD4011" s="2"/>
      <c r="AE4011" s="2"/>
      <c r="AF4011" s="2"/>
      <c r="AG4011" s="2"/>
      <c r="AH4011" s="2"/>
      <c r="AI4011" s="2"/>
      <c r="AJ4011" s="2"/>
      <c r="AK4011" s="2"/>
    </row>
    <row r="4012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  <c r="AE4012" s="2"/>
      <c r="AF4012" s="2"/>
      <c r="AG4012" s="2"/>
      <c r="AH4012" s="2"/>
      <c r="AI4012" s="2"/>
      <c r="AJ4012" s="2"/>
      <c r="AK4012" s="2"/>
    </row>
    <row r="4013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  <c r="AE4013" s="2"/>
      <c r="AF4013" s="2"/>
      <c r="AG4013" s="2"/>
      <c r="AH4013" s="2"/>
      <c r="AI4013" s="2"/>
      <c r="AJ4013" s="2"/>
      <c r="AK4013" s="2"/>
    </row>
    <row r="4014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  <c r="AD4014" s="2"/>
      <c r="AE4014" s="2"/>
      <c r="AF4014" s="2"/>
      <c r="AG4014" s="2"/>
      <c r="AH4014" s="2"/>
      <c r="AI4014" s="2"/>
      <c r="AJ4014" s="2"/>
      <c r="AK4014" s="2"/>
    </row>
    <row r="4015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  <c r="AE4015" s="2"/>
      <c r="AF4015" s="2"/>
      <c r="AG4015" s="2"/>
      <c r="AH4015" s="2"/>
      <c r="AI4015" s="2"/>
      <c r="AJ4015" s="2"/>
      <c r="AK4015" s="2"/>
    </row>
    <row r="4016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  <c r="AE4016" s="2"/>
      <c r="AF4016" s="2"/>
      <c r="AG4016" s="2"/>
      <c r="AH4016" s="2"/>
      <c r="AI4016" s="2"/>
      <c r="AJ4016" s="2"/>
      <c r="AK4016" s="2"/>
    </row>
    <row r="4017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  <c r="AD4017" s="2"/>
      <c r="AE4017" s="2"/>
      <c r="AF4017" s="2"/>
      <c r="AG4017" s="2"/>
      <c r="AH4017" s="2"/>
      <c r="AI4017" s="2"/>
      <c r="AJ4017" s="2"/>
      <c r="AK4017" s="2"/>
    </row>
    <row r="4018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  <c r="AD4018" s="2"/>
      <c r="AE4018" s="2"/>
      <c r="AF4018" s="2"/>
      <c r="AG4018" s="2"/>
      <c r="AH4018" s="2"/>
      <c r="AI4018" s="2"/>
      <c r="AJ4018" s="2"/>
      <c r="AK4018" s="2"/>
    </row>
    <row r="4019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  <c r="AE4019" s="2"/>
      <c r="AF4019" s="2"/>
      <c r="AG4019" s="2"/>
      <c r="AH4019" s="2"/>
      <c r="AI4019" s="2"/>
      <c r="AJ4019" s="2"/>
      <c r="AK4019" s="2"/>
    </row>
    <row r="4020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  <c r="AD4020" s="2"/>
      <c r="AE4020" s="2"/>
      <c r="AF4020" s="2"/>
      <c r="AG4020" s="2"/>
      <c r="AH4020" s="2"/>
      <c r="AI4020" s="2"/>
      <c r="AJ4020" s="2"/>
      <c r="AK4020" s="2"/>
    </row>
    <row r="4021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  <c r="AD4021" s="2"/>
      <c r="AE4021" s="2"/>
      <c r="AF4021" s="2"/>
      <c r="AG4021" s="2"/>
      <c r="AH4021" s="2"/>
      <c r="AI4021" s="2"/>
      <c r="AJ4021" s="2"/>
      <c r="AK4021" s="2"/>
    </row>
    <row r="4022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  <c r="AD4022" s="2"/>
      <c r="AE4022" s="2"/>
      <c r="AF4022" s="2"/>
      <c r="AG4022" s="2"/>
      <c r="AH4022" s="2"/>
      <c r="AI4022" s="2"/>
      <c r="AJ4022" s="2"/>
      <c r="AK4022" s="2"/>
    </row>
    <row r="4023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  <c r="AE4023" s="2"/>
      <c r="AF4023" s="2"/>
      <c r="AG4023" s="2"/>
      <c r="AH4023" s="2"/>
      <c r="AI4023" s="2"/>
      <c r="AJ4023" s="2"/>
      <c r="AK4023" s="2"/>
    </row>
    <row r="4024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  <c r="AE4024" s="2"/>
      <c r="AF4024" s="2"/>
      <c r="AG4024" s="2"/>
      <c r="AH4024" s="2"/>
      <c r="AI4024" s="2"/>
      <c r="AJ4024" s="2"/>
      <c r="AK4024" s="2"/>
    </row>
    <row r="4025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  <c r="AD4025" s="2"/>
      <c r="AE4025" s="2"/>
      <c r="AF4025" s="2"/>
      <c r="AG4025" s="2"/>
      <c r="AH4025" s="2"/>
      <c r="AI4025" s="2"/>
      <c r="AJ4025" s="2"/>
      <c r="AK4025" s="2"/>
    </row>
    <row r="4026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  <c r="AE4026" s="2"/>
      <c r="AF4026" s="2"/>
      <c r="AG4026" s="2"/>
      <c r="AH4026" s="2"/>
      <c r="AI4026" s="2"/>
      <c r="AJ4026" s="2"/>
      <c r="AK4026" s="2"/>
    </row>
    <row r="4027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  <c r="AE4027" s="2"/>
      <c r="AF4027" s="2"/>
      <c r="AG4027" s="2"/>
      <c r="AH4027" s="2"/>
      <c r="AI4027" s="2"/>
      <c r="AJ4027" s="2"/>
      <c r="AK4027" s="2"/>
    </row>
    <row r="4028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  <c r="AD4028" s="2"/>
      <c r="AE4028" s="2"/>
      <c r="AF4028" s="2"/>
      <c r="AG4028" s="2"/>
      <c r="AH4028" s="2"/>
      <c r="AI4028" s="2"/>
      <c r="AJ4028" s="2"/>
      <c r="AK4028" s="2"/>
    </row>
    <row r="4029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  <c r="AD4029" s="2"/>
      <c r="AE4029" s="2"/>
      <c r="AF4029" s="2"/>
      <c r="AG4029" s="2"/>
      <c r="AH4029" s="2"/>
      <c r="AI4029" s="2"/>
      <c r="AJ4029" s="2"/>
      <c r="AK4029" s="2"/>
    </row>
    <row r="4030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  <c r="AD4030" s="2"/>
      <c r="AE4030" s="2"/>
      <c r="AF4030" s="2"/>
      <c r="AG4030" s="2"/>
      <c r="AH4030" s="2"/>
      <c r="AI4030" s="2"/>
      <c r="AJ4030" s="2"/>
      <c r="AK4030" s="2"/>
    </row>
    <row r="4031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  <c r="AD4031" s="2"/>
      <c r="AE4031" s="2"/>
      <c r="AF4031" s="2"/>
      <c r="AG4031" s="2"/>
      <c r="AH4031" s="2"/>
      <c r="AI4031" s="2"/>
      <c r="AJ4031" s="2"/>
      <c r="AK4031" s="2"/>
    </row>
    <row r="4032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  <c r="AE4032" s="2"/>
      <c r="AF4032" s="2"/>
      <c r="AG4032" s="2"/>
      <c r="AH4032" s="2"/>
      <c r="AI4032" s="2"/>
      <c r="AJ4032" s="2"/>
      <c r="AK4032" s="2"/>
    </row>
    <row r="4033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  <c r="AE4033" s="2"/>
      <c r="AF4033" s="2"/>
      <c r="AG4033" s="2"/>
      <c r="AH4033" s="2"/>
      <c r="AI4033" s="2"/>
      <c r="AJ4033" s="2"/>
      <c r="AK4033" s="2"/>
    </row>
    <row r="4034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  <c r="AD4034" s="2"/>
      <c r="AE4034" s="2"/>
      <c r="AF4034" s="2"/>
      <c r="AG4034" s="2"/>
      <c r="AH4034" s="2"/>
      <c r="AI4034" s="2"/>
      <c r="AJ4034" s="2"/>
      <c r="AK4034" s="2"/>
    </row>
    <row r="4035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  <c r="AD4035" s="2"/>
      <c r="AE4035" s="2"/>
      <c r="AF4035" s="2"/>
      <c r="AG4035" s="2"/>
      <c r="AH4035" s="2"/>
      <c r="AI4035" s="2"/>
      <c r="AJ4035" s="2"/>
      <c r="AK4035" s="2"/>
    </row>
    <row r="4036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  <c r="AE4036" s="2"/>
      <c r="AF4036" s="2"/>
      <c r="AG4036" s="2"/>
      <c r="AH4036" s="2"/>
      <c r="AI4036" s="2"/>
      <c r="AJ4036" s="2"/>
      <c r="AK4036" s="2"/>
    </row>
    <row r="4037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  <c r="AD4037" s="2"/>
      <c r="AE4037" s="2"/>
      <c r="AF4037" s="2"/>
      <c r="AG4037" s="2"/>
      <c r="AH4037" s="2"/>
      <c r="AI4037" s="2"/>
      <c r="AJ4037" s="2"/>
      <c r="AK4037" s="2"/>
    </row>
    <row r="4038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  <c r="AE4038" s="2"/>
      <c r="AF4038" s="2"/>
      <c r="AG4038" s="2"/>
      <c r="AH4038" s="2"/>
      <c r="AI4038" s="2"/>
      <c r="AJ4038" s="2"/>
      <c r="AK4038" s="2"/>
    </row>
    <row r="4039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  <c r="AE4039" s="2"/>
      <c r="AF4039" s="2"/>
      <c r="AG4039" s="2"/>
      <c r="AH4039" s="2"/>
      <c r="AI4039" s="2"/>
      <c r="AJ4039" s="2"/>
      <c r="AK4039" s="2"/>
    </row>
    <row r="4040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  <c r="AD4040" s="2"/>
      <c r="AE4040" s="2"/>
      <c r="AF4040" s="2"/>
      <c r="AG4040" s="2"/>
      <c r="AH4040" s="2"/>
      <c r="AI4040" s="2"/>
      <c r="AJ4040" s="2"/>
      <c r="AK4040" s="2"/>
    </row>
    <row r="4041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  <c r="AD4041" s="2"/>
      <c r="AE4041" s="2"/>
      <c r="AF4041" s="2"/>
      <c r="AG4041" s="2"/>
      <c r="AH4041" s="2"/>
      <c r="AI4041" s="2"/>
      <c r="AJ4041" s="2"/>
      <c r="AK4041" s="2"/>
    </row>
    <row r="4042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  <c r="AE4042" s="2"/>
      <c r="AF4042" s="2"/>
      <c r="AG4042" s="2"/>
      <c r="AH4042" s="2"/>
      <c r="AI4042" s="2"/>
      <c r="AJ4042" s="2"/>
      <c r="AK4042" s="2"/>
    </row>
    <row r="4043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  <c r="AE4043" s="2"/>
      <c r="AF4043" s="2"/>
      <c r="AG4043" s="2"/>
      <c r="AH4043" s="2"/>
      <c r="AI4043" s="2"/>
      <c r="AJ4043" s="2"/>
      <c r="AK4043" s="2"/>
    </row>
    <row r="4044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  <c r="AE4044" s="2"/>
      <c r="AF4044" s="2"/>
      <c r="AG4044" s="2"/>
      <c r="AH4044" s="2"/>
      <c r="AI4044" s="2"/>
      <c r="AJ4044" s="2"/>
      <c r="AK4044" s="2"/>
    </row>
    <row r="4045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  <c r="AD4045" s="2"/>
      <c r="AE4045" s="2"/>
      <c r="AF4045" s="2"/>
      <c r="AG4045" s="2"/>
      <c r="AH4045" s="2"/>
      <c r="AI4045" s="2"/>
      <c r="AJ4045" s="2"/>
      <c r="AK4045" s="2"/>
    </row>
    <row r="4046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  <c r="AD4046" s="2"/>
      <c r="AE4046" s="2"/>
      <c r="AF4046" s="2"/>
      <c r="AG4046" s="2"/>
      <c r="AH4046" s="2"/>
      <c r="AI4046" s="2"/>
      <c r="AJ4046" s="2"/>
      <c r="AK4046" s="2"/>
    </row>
    <row r="4047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  <c r="AE4047" s="2"/>
      <c r="AF4047" s="2"/>
      <c r="AG4047" s="2"/>
      <c r="AH4047" s="2"/>
      <c r="AI4047" s="2"/>
      <c r="AJ4047" s="2"/>
      <c r="AK4047" s="2"/>
    </row>
    <row r="4048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  <c r="AD4048" s="2"/>
      <c r="AE4048" s="2"/>
      <c r="AF4048" s="2"/>
      <c r="AG4048" s="2"/>
      <c r="AH4048" s="2"/>
      <c r="AI4048" s="2"/>
      <c r="AJ4048" s="2"/>
      <c r="AK4048" s="2"/>
    </row>
    <row r="4049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  <c r="AD4049" s="2"/>
      <c r="AE4049" s="2"/>
      <c r="AF4049" s="2"/>
      <c r="AG4049" s="2"/>
      <c r="AH4049" s="2"/>
      <c r="AI4049" s="2"/>
      <c r="AJ4049" s="2"/>
      <c r="AK4049" s="2"/>
    </row>
    <row r="4050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  <c r="AE4050" s="2"/>
      <c r="AF4050" s="2"/>
      <c r="AG4050" s="2"/>
      <c r="AH4050" s="2"/>
      <c r="AI4050" s="2"/>
      <c r="AJ4050" s="2"/>
      <c r="AK4050" s="2"/>
    </row>
    <row r="4051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  <c r="AE4051" s="2"/>
      <c r="AF4051" s="2"/>
      <c r="AG4051" s="2"/>
      <c r="AH4051" s="2"/>
      <c r="AI4051" s="2"/>
      <c r="AJ4051" s="2"/>
      <c r="AK4051" s="2"/>
    </row>
    <row r="4052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  <c r="AE4052" s="2"/>
      <c r="AF4052" s="2"/>
      <c r="AG4052" s="2"/>
      <c r="AH4052" s="2"/>
      <c r="AI4052" s="2"/>
      <c r="AJ4052" s="2"/>
      <c r="AK4052" s="2"/>
    </row>
    <row r="4053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  <c r="AE4053" s="2"/>
      <c r="AF4053" s="2"/>
      <c r="AG4053" s="2"/>
      <c r="AH4053" s="2"/>
      <c r="AI4053" s="2"/>
      <c r="AJ4053" s="2"/>
      <c r="AK4053" s="2"/>
    </row>
    <row r="4054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  <c r="AE4054" s="2"/>
      <c r="AF4054" s="2"/>
      <c r="AG4054" s="2"/>
      <c r="AH4054" s="2"/>
      <c r="AI4054" s="2"/>
      <c r="AJ4054" s="2"/>
      <c r="AK4054" s="2"/>
    </row>
    <row r="4055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  <c r="AE4055" s="2"/>
      <c r="AF4055" s="2"/>
      <c r="AG4055" s="2"/>
      <c r="AH4055" s="2"/>
      <c r="AI4055" s="2"/>
      <c r="AJ4055" s="2"/>
      <c r="AK4055" s="2"/>
    </row>
    <row r="4056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  <c r="AD4056" s="2"/>
      <c r="AE4056" s="2"/>
      <c r="AF4056" s="2"/>
      <c r="AG4056" s="2"/>
      <c r="AH4056" s="2"/>
      <c r="AI4056" s="2"/>
      <c r="AJ4056" s="2"/>
      <c r="AK4056" s="2"/>
    </row>
    <row r="4057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  <c r="AE4057" s="2"/>
      <c r="AF4057" s="2"/>
      <c r="AG4057" s="2"/>
      <c r="AH4057" s="2"/>
      <c r="AI4057" s="2"/>
      <c r="AJ4057" s="2"/>
      <c r="AK4057" s="2"/>
    </row>
    <row r="4058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  <c r="AE4058" s="2"/>
      <c r="AF4058" s="2"/>
      <c r="AG4058" s="2"/>
      <c r="AH4058" s="2"/>
      <c r="AI4058" s="2"/>
      <c r="AJ4058" s="2"/>
      <c r="AK4058" s="2"/>
    </row>
    <row r="4059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  <c r="AE4059" s="2"/>
      <c r="AF4059" s="2"/>
      <c r="AG4059" s="2"/>
      <c r="AH4059" s="2"/>
      <c r="AI4059" s="2"/>
      <c r="AJ4059" s="2"/>
      <c r="AK4059" s="2"/>
    </row>
    <row r="4060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  <c r="AE4060" s="2"/>
      <c r="AF4060" s="2"/>
      <c r="AG4060" s="2"/>
      <c r="AH4060" s="2"/>
      <c r="AI4060" s="2"/>
      <c r="AJ4060" s="2"/>
      <c r="AK4060" s="2"/>
    </row>
    <row r="4061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  <c r="AE4061" s="2"/>
      <c r="AF4061" s="2"/>
      <c r="AG4061" s="2"/>
      <c r="AH4061" s="2"/>
      <c r="AI4061" s="2"/>
      <c r="AJ4061" s="2"/>
      <c r="AK4061" s="2"/>
    </row>
    <row r="4062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  <c r="AE4062" s="2"/>
      <c r="AF4062" s="2"/>
      <c r="AG4062" s="2"/>
      <c r="AH4062" s="2"/>
      <c r="AI4062" s="2"/>
      <c r="AJ4062" s="2"/>
      <c r="AK4062" s="2"/>
    </row>
    <row r="4063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  <c r="AE4063" s="2"/>
      <c r="AF4063" s="2"/>
      <c r="AG4063" s="2"/>
      <c r="AH4063" s="2"/>
      <c r="AI4063" s="2"/>
      <c r="AJ4063" s="2"/>
      <c r="AK4063" s="2"/>
    </row>
    <row r="4064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  <c r="AE4064" s="2"/>
      <c r="AF4064" s="2"/>
      <c r="AG4064" s="2"/>
      <c r="AH4064" s="2"/>
      <c r="AI4064" s="2"/>
      <c r="AJ4064" s="2"/>
      <c r="AK4064" s="2"/>
    </row>
    <row r="4065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  <c r="AE4065" s="2"/>
      <c r="AF4065" s="2"/>
      <c r="AG4065" s="2"/>
      <c r="AH4065" s="2"/>
      <c r="AI4065" s="2"/>
      <c r="AJ4065" s="2"/>
      <c r="AK4065" s="2"/>
    </row>
    <row r="4066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  <c r="AE4066" s="2"/>
      <c r="AF4066" s="2"/>
      <c r="AG4066" s="2"/>
      <c r="AH4066" s="2"/>
      <c r="AI4066" s="2"/>
      <c r="AJ4066" s="2"/>
      <c r="AK4066" s="2"/>
    </row>
    <row r="4067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  <c r="AE4067" s="2"/>
      <c r="AF4067" s="2"/>
      <c r="AG4067" s="2"/>
      <c r="AH4067" s="2"/>
      <c r="AI4067" s="2"/>
      <c r="AJ4067" s="2"/>
      <c r="AK4067" s="2"/>
    </row>
    <row r="4068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  <c r="AE4068" s="2"/>
      <c r="AF4068" s="2"/>
      <c r="AG4068" s="2"/>
      <c r="AH4068" s="2"/>
      <c r="AI4068" s="2"/>
      <c r="AJ4068" s="2"/>
      <c r="AK4068" s="2"/>
    </row>
    <row r="4069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  <c r="AD4069" s="2"/>
      <c r="AE4069" s="2"/>
      <c r="AF4069" s="2"/>
      <c r="AG4069" s="2"/>
      <c r="AH4069" s="2"/>
      <c r="AI4069" s="2"/>
      <c r="AJ4069" s="2"/>
      <c r="AK4069" s="2"/>
    </row>
    <row r="4070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  <c r="AE4070" s="2"/>
      <c r="AF4070" s="2"/>
      <c r="AG4070" s="2"/>
      <c r="AH4070" s="2"/>
      <c r="AI4070" s="2"/>
      <c r="AJ4070" s="2"/>
      <c r="AK4070" s="2"/>
    </row>
    <row r="4071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  <c r="AE4071" s="2"/>
      <c r="AF4071" s="2"/>
      <c r="AG4071" s="2"/>
      <c r="AH4071" s="2"/>
      <c r="AI4071" s="2"/>
      <c r="AJ4071" s="2"/>
      <c r="AK4071" s="2"/>
    </row>
    <row r="4072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  <c r="AE4072" s="2"/>
      <c r="AF4072" s="2"/>
      <c r="AG4072" s="2"/>
      <c r="AH4072" s="2"/>
      <c r="AI4072" s="2"/>
      <c r="AJ4072" s="2"/>
      <c r="AK4072" s="2"/>
    </row>
    <row r="4073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  <c r="AD4073" s="2"/>
      <c r="AE4073" s="2"/>
      <c r="AF4073" s="2"/>
      <c r="AG4073" s="2"/>
      <c r="AH4073" s="2"/>
      <c r="AI4073" s="2"/>
      <c r="AJ4073" s="2"/>
      <c r="AK4073" s="2"/>
    </row>
    <row r="4074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  <c r="AD4074" s="2"/>
      <c r="AE4074" s="2"/>
      <c r="AF4074" s="2"/>
      <c r="AG4074" s="2"/>
      <c r="AH4074" s="2"/>
      <c r="AI4074" s="2"/>
      <c r="AJ4074" s="2"/>
      <c r="AK4074" s="2"/>
    </row>
    <row r="4075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  <c r="AD4075" s="2"/>
      <c r="AE4075" s="2"/>
      <c r="AF4075" s="2"/>
      <c r="AG4075" s="2"/>
      <c r="AH4075" s="2"/>
      <c r="AI4075" s="2"/>
      <c r="AJ4075" s="2"/>
      <c r="AK4075" s="2"/>
    </row>
    <row r="4076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  <c r="AD4076" s="2"/>
      <c r="AE4076" s="2"/>
      <c r="AF4076" s="2"/>
      <c r="AG4076" s="2"/>
      <c r="AH4076" s="2"/>
      <c r="AI4076" s="2"/>
      <c r="AJ4076" s="2"/>
      <c r="AK4076" s="2"/>
    </row>
    <row r="4077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  <c r="AE4077" s="2"/>
      <c r="AF4077" s="2"/>
      <c r="AG4077" s="2"/>
      <c r="AH4077" s="2"/>
      <c r="AI4077" s="2"/>
      <c r="AJ4077" s="2"/>
      <c r="AK4077" s="2"/>
    </row>
    <row r="4078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  <c r="AE4078" s="2"/>
      <c r="AF4078" s="2"/>
      <c r="AG4078" s="2"/>
      <c r="AH4078" s="2"/>
      <c r="AI4078" s="2"/>
      <c r="AJ4078" s="2"/>
      <c r="AK4078" s="2"/>
    </row>
    <row r="4079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  <c r="AE4079" s="2"/>
      <c r="AF4079" s="2"/>
      <c r="AG4079" s="2"/>
      <c r="AH4079" s="2"/>
      <c r="AI4079" s="2"/>
      <c r="AJ4079" s="2"/>
      <c r="AK4079" s="2"/>
    </row>
    <row r="4080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  <c r="AE4080" s="2"/>
      <c r="AF4080" s="2"/>
      <c r="AG4080" s="2"/>
      <c r="AH4080" s="2"/>
      <c r="AI4080" s="2"/>
      <c r="AJ4080" s="2"/>
      <c r="AK4080" s="2"/>
    </row>
    <row r="4081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  <c r="AD4081" s="2"/>
      <c r="AE4081" s="2"/>
      <c r="AF4081" s="2"/>
      <c r="AG4081" s="2"/>
      <c r="AH4081" s="2"/>
      <c r="AI4081" s="2"/>
      <c r="AJ4081" s="2"/>
      <c r="AK4081" s="2"/>
    </row>
    <row r="4082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  <c r="AE4082" s="2"/>
      <c r="AF4082" s="2"/>
      <c r="AG4082" s="2"/>
      <c r="AH4082" s="2"/>
      <c r="AI4082" s="2"/>
      <c r="AJ4082" s="2"/>
      <c r="AK4082" s="2"/>
    </row>
    <row r="4083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  <c r="AE4083" s="2"/>
      <c r="AF4083" s="2"/>
      <c r="AG4083" s="2"/>
      <c r="AH4083" s="2"/>
      <c r="AI4083" s="2"/>
      <c r="AJ4083" s="2"/>
      <c r="AK4083" s="2"/>
    </row>
    <row r="4084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  <c r="AE4084" s="2"/>
      <c r="AF4084" s="2"/>
      <c r="AG4084" s="2"/>
      <c r="AH4084" s="2"/>
      <c r="AI4084" s="2"/>
      <c r="AJ4084" s="2"/>
      <c r="AK4084" s="2"/>
    </row>
    <row r="4085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  <c r="AD4085" s="2"/>
      <c r="AE4085" s="2"/>
      <c r="AF4085" s="2"/>
      <c r="AG4085" s="2"/>
      <c r="AH4085" s="2"/>
      <c r="AI4085" s="2"/>
      <c r="AJ4085" s="2"/>
      <c r="AK4085" s="2"/>
    </row>
    <row r="4086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  <c r="AD4086" s="2"/>
      <c r="AE4086" s="2"/>
      <c r="AF4086" s="2"/>
      <c r="AG4086" s="2"/>
      <c r="AH4086" s="2"/>
      <c r="AI4086" s="2"/>
      <c r="AJ4086" s="2"/>
      <c r="AK4086" s="2"/>
    </row>
    <row r="4087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  <c r="AE4087" s="2"/>
      <c r="AF4087" s="2"/>
      <c r="AG4087" s="2"/>
      <c r="AH4087" s="2"/>
      <c r="AI4087" s="2"/>
      <c r="AJ4087" s="2"/>
      <c r="AK4087" s="2"/>
    </row>
    <row r="4088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  <c r="AE4088" s="2"/>
      <c r="AF4088" s="2"/>
      <c r="AG4088" s="2"/>
      <c r="AH4088" s="2"/>
      <c r="AI4088" s="2"/>
      <c r="AJ4088" s="2"/>
      <c r="AK4088" s="2"/>
    </row>
    <row r="4089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  <c r="AF4089" s="2"/>
      <c r="AG4089" s="2"/>
      <c r="AH4089" s="2"/>
      <c r="AI4089" s="2"/>
      <c r="AJ4089" s="2"/>
      <c r="AK4089" s="2"/>
    </row>
    <row r="4090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  <c r="AE4090" s="2"/>
      <c r="AF4090" s="2"/>
      <c r="AG4090" s="2"/>
      <c r="AH4090" s="2"/>
      <c r="AI4090" s="2"/>
      <c r="AJ4090" s="2"/>
      <c r="AK4090" s="2"/>
    </row>
    <row r="4091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  <c r="AE4091" s="2"/>
      <c r="AF4091" s="2"/>
      <c r="AG4091" s="2"/>
      <c r="AH4091" s="2"/>
      <c r="AI4091" s="2"/>
      <c r="AJ4091" s="2"/>
      <c r="AK4091" s="2"/>
    </row>
    <row r="4092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  <c r="AE4092" s="2"/>
      <c r="AF4092" s="2"/>
      <c r="AG4092" s="2"/>
      <c r="AH4092" s="2"/>
      <c r="AI4092" s="2"/>
      <c r="AJ4092" s="2"/>
      <c r="AK4092" s="2"/>
    </row>
    <row r="4093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  <c r="AE4093" s="2"/>
      <c r="AF4093" s="2"/>
      <c r="AG4093" s="2"/>
      <c r="AH4093" s="2"/>
      <c r="AI4093" s="2"/>
      <c r="AJ4093" s="2"/>
      <c r="AK4093" s="2"/>
    </row>
    <row r="4094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  <c r="AD4094" s="2"/>
      <c r="AE4094" s="2"/>
      <c r="AF4094" s="2"/>
      <c r="AG4094" s="2"/>
      <c r="AH4094" s="2"/>
      <c r="AI4094" s="2"/>
      <c r="AJ4094" s="2"/>
      <c r="AK4094" s="2"/>
    </row>
    <row r="4095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  <c r="AD4095" s="2"/>
      <c r="AE4095" s="2"/>
      <c r="AF4095" s="2"/>
      <c r="AG4095" s="2"/>
      <c r="AH4095" s="2"/>
      <c r="AI4095" s="2"/>
      <c r="AJ4095" s="2"/>
      <c r="AK4095" s="2"/>
    </row>
    <row r="4096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  <c r="AD4096" s="2"/>
      <c r="AE4096" s="2"/>
      <c r="AF4096" s="2"/>
      <c r="AG4096" s="2"/>
      <c r="AH4096" s="2"/>
      <c r="AI4096" s="2"/>
      <c r="AJ4096" s="2"/>
      <c r="AK4096" s="2"/>
    </row>
    <row r="4097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  <c r="AE4097" s="2"/>
      <c r="AF4097" s="2"/>
      <c r="AG4097" s="2"/>
      <c r="AH4097" s="2"/>
      <c r="AI4097" s="2"/>
      <c r="AJ4097" s="2"/>
      <c r="AK4097" s="2"/>
    </row>
    <row r="4098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  <c r="AE4098" s="2"/>
      <c r="AF4098" s="2"/>
      <c r="AG4098" s="2"/>
      <c r="AH4098" s="2"/>
      <c r="AI4098" s="2"/>
      <c r="AJ4098" s="2"/>
      <c r="AK4098" s="2"/>
    </row>
    <row r="4099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  <c r="AF4099" s="2"/>
      <c r="AG4099" s="2"/>
      <c r="AH4099" s="2"/>
      <c r="AI4099" s="2"/>
      <c r="AJ4099" s="2"/>
      <c r="AK4099" s="2"/>
    </row>
    <row r="4100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  <c r="AE4100" s="2"/>
      <c r="AF4100" s="2"/>
      <c r="AG4100" s="2"/>
      <c r="AH4100" s="2"/>
      <c r="AI4100" s="2"/>
      <c r="AJ4100" s="2"/>
      <c r="AK4100" s="2"/>
    </row>
    <row r="4101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  <c r="AF4101" s="2"/>
      <c r="AG4101" s="2"/>
      <c r="AH4101" s="2"/>
      <c r="AI4101" s="2"/>
      <c r="AJ4101" s="2"/>
      <c r="AK4101" s="2"/>
    </row>
    <row r="4102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  <c r="AE4102" s="2"/>
      <c r="AF4102" s="2"/>
      <c r="AG4102" s="2"/>
      <c r="AH4102" s="2"/>
      <c r="AI4102" s="2"/>
      <c r="AJ4102" s="2"/>
      <c r="AK4102" s="2"/>
    </row>
    <row r="4103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  <c r="AD4103" s="2"/>
      <c r="AE4103" s="2"/>
      <c r="AF4103" s="2"/>
      <c r="AG4103" s="2"/>
      <c r="AH4103" s="2"/>
      <c r="AI4103" s="2"/>
      <c r="AJ4103" s="2"/>
      <c r="AK4103" s="2"/>
    </row>
    <row r="4104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  <c r="AE4104" s="2"/>
      <c r="AF4104" s="2"/>
      <c r="AG4104" s="2"/>
      <c r="AH4104" s="2"/>
      <c r="AI4104" s="2"/>
      <c r="AJ4104" s="2"/>
      <c r="AK4104" s="2"/>
    </row>
    <row r="4105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  <c r="AE4105" s="2"/>
      <c r="AF4105" s="2"/>
      <c r="AG4105" s="2"/>
      <c r="AH4105" s="2"/>
      <c r="AI4105" s="2"/>
      <c r="AJ4105" s="2"/>
      <c r="AK4105" s="2"/>
    </row>
    <row r="4106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  <c r="AE4106" s="2"/>
      <c r="AF4106" s="2"/>
      <c r="AG4106" s="2"/>
      <c r="AH4106" s="2"/>
      <c r="AI4106" s="2"/>
      <c r="AJ4106" s="2"/>
      <c r="AK4106" s="2"/>
    </row>
    <row r="4107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  <c r="AD4107" s="2"/>
      <c r="AE4107" s="2"/>
      <c r="AF4107" s="2"/>
      <c r="AG4107" s="2"/>
      <c r="AH4107" s="2"/>
      <c r="AI4107" s="2"/>
      <c r="AJ4107" s="2"/>
      <c r="AK4107" s="2"/>
    </row>
    <row r="4108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  <c r="AE4108" s="2"/>
      <c r="AF4108" s="2"/>
      <c r="AG4108" s="2"/>
      <c r="AH4108" s="2"/>
      <c r="AI4108" s="2"/>
      <c r="AJ4108" s="2"/>
      <c r="AK4108" s="2"/>
    </row>
    <row r="4109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  <c r="AE4109" s="2"/>
      <c r="AF4109" s="2"/>
      <c r="AG4109" s="2"/>
      <c r="AH4109" s="2"/>
      <c r="AI4109" s="2"/>
      <c r="AJ4109" s="2"/>
      <c r="AK4109" s="2"/>
    </row>
    <row r="4110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2"/>
      <c r="AG4110" s="2"/>
      <c r="AH4110" s="2"/>
      <c r="AI4110" s="2"/>
      <c r="AJ4110" s="2"/>
      <c r="AK4110" s="2"/>
    </row>
    <row r="4111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  <c r="AE4111" s="2"/>
      <c r="AF4111" s="2"/>
      <c r="AG4111" s="2"/>
      <c r="AH4111" s="2"/>
      <c r="AI4111" s="2"/>
      <c r="AJ4111" s="2"/>
      <c r="AK4111" s="2"/>
    </row>
    <row r="4112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  <c r="AD4112" s="2"/>
      <c r="AE4112" s="2"/>
      <c r="AF4112" s="2"/>
      <c r="AG4112" s="2"/>
      <c r="AH4112" s="2"/>
      <c r="AI4112" s="2"/>
      <c r="AJ4112" s="2"/>
      <c r="AK4112" s="2"/>
    </row>
    <row r="4113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  <c r="AE4113" s="2"/>
      <c r="AF4113" s="2"/>
      <c r="AG4113" s="2"/>
      <c r="AH4113" s="2"/>
      <c r="AI4113" s="2"/>
      <c r="AJ4113" s="2"/>
      <c r="AK4113" s="2"/>
    </row>
    <row r="4114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  <c r="AE4114" s="2"/>
      <c r="AF4114" s="2"/>
      <c r="AG4114" s="2"/>
      <c r="AH4114" s="2"/>
      <c r="AI4114" s="2"/>
      <c r="AJ4114" s="2"/>
      <c r="AK4114" s="2"/>
    </row>
    <row r="4115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  <c r="AE4115" s="2"/>
      <c r="AF4115" s="2"/>
      <c r="AG4115" s="2"/>
      <c r="AH4115" s="2"/>
      <c r="AI4115" s="2"/>
      <c r="AJ4115" s="2"/>
      <c r="AK4115" s="2"/>
    </row>
    <row r="4116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  <c r="AE4116" s="2"/>
      <c r="AF4116" s="2"/>
      <c r="AG4116" s="2"/>
      <c r="AH4116" s="2"/>
      <c r="AI4116" s="2"/>
      <c r="AJ4116" s="2"/>
      <c r="AK4116" s="2"/>
    </row>
    <row r="4117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  <c r="AD4117" s="2"/>
      <c r="AE4117" s="2"/>
      <c r="AF4117" s="2"/>
      <c r="AG4117" s="2"/>
      <c r="AH4117" s="2"/>
      <c r="AI4117" s="2"/>
      <c r="AJ4117" s="2"/>
      <c r="AK4117" s="2"/>
    </row>
    <row r="4118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  <c r="AE4118" s="2"/>
      <c r="AF4118" s="2"/>
      <c r="AG4118" s="2"/>
      <c r="AH4118" s="2"/>
      <c r="AI4118" s="2"/>
      <c r="AJ4118" s="2"/>
      <c r="AK4118" s="2"/>
    </row>
    <row r="4119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  <c r="AE4119" s="2"/>
      <c r="AF4119" s="2"/>
      <c r="AG4119" s="2"/>
      <c r="AH4119" s="2"/>
      <c r="AI4119" s="2"/>
      <c r="AJ4119" s="2"/>
      <c r="AK4119" s="2"/>
    </row>
    <row r="4120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  <c r="AD4120" s="2"/>
      <c r="AE4120" s="2"/>
      <c r="AF4120" s="2"/>
      <c r="AG4120" s="2"/>
      <c r="AH4120" s="2"/>
      <c r="AI4120" s="2"/>
      <c r="AJ4120" s="2"/>
      <c r="AK4120" s="2"/>
    </row>
    <row r="4121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  <c r="AE4121" s="2"/>
      <c r="AF4121" s="2"/>
      <c r="AG4121" s="2"/>
      <c r="AH4121" s="2"/>
      <c r="AI4121" s="2"/>
      <c r="AJ4121" s="2"/>
      <c r="AK4121" s="2"/>
    </row>
    <row r="4122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  <c r="AE4122" s="2"/>
      <c r="AF4122" s="2"/>
      <c r="AG4122" s="2"/>
      <c r="AH4122" s="2"/>
      <c r="AI4122" s="2"/>
      <c r="AJ4122" s="2"/>
      <c r="AK4122" s="2"/>
    </row>
    <row r="4123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  <c r="AE4123" s="2"/>
      <c r="AF4123" s="2"/>
      <c r="AG4123" s="2"/>
      <c r="AH4123" s="2"/>
      <c r="AI4123" s="2"/>
      <c r="AJ4123" s="2"/>
      <c r="AK4123" s="2"/>
    </row>
    <row r="4124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  <c r="AE4124" s="2"/>
      <c r="AF4124" s="2"/>
      <c r="AG4124" s="2"/>
      <c r="AH4124" s="2"/>
      <c r="AI4124" s="2"/>
      <c r="AJ4124" s="2"/>
      <c r="AK4124" s="2"/>
    </row>
    <row r="4125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  <c r="AD4125" s="2"/>
      <c r="AE4125" s="2"/>
      <c r="AF4125" s="2"/>
      <c r="AG4125" s="2"/>
      <c r="AH4125" s="2"/>
      <c r="AI4125" s="2"/>
      <c r="AJ4125" s="2"/>
      <c r="AK4125" s="2"/>
    </row>
    <row r="4126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  <c r="AE4126" s="2"/>
      <c r="AF4126" s="2"/>
      <c r="AG4126" s="2"/>
      <c r="AH4126" s="2"/>
      <c r="AI4126" s="2"/>
      <c r="AJ4126" s="2"/>
      <c r="AK4126" s="2"/>
    </row>
    <row r="4127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  <c r="AE4127" s="2"/>
      <c r="AF4127" s="2"/>
      <c r="AG4127" s="2"/>
      <c r="AH4127" s="2"/>
      <c r="AI4127" s="2"/>
      <c r="AJ4127" s="2"/>
      <c r="AK4127" s="2"/>
    </row>
    <row r="4128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  <c r="AE4128" s="2"/>
      <c r="AF4128" s="2"/>
      <c r="AG4128" s="2"/>
      <c r="AH4128" s="2"/>
      <c r="AI4128" s="2"/>
      <c r="AJ4128" s="2"/>
      <c r="AK4128" s="2"/>
    </row>
    <row r="4129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  <c r="AF4129" s="2"/>
      <c r="AG4129" s="2"/>
      <c r="AH4129" s="2"/>
      <c r="AI4129" s="2"/>
      <c r="AJ4129" s="2"/>
      <c r="AK4129" s="2"/>
    </row>
    <row r="4130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  <c r="AE4130" s="2"/>
      <c r="AF4130" s="2"/>
      <c r="AG4130" s="2"/>
      <c r="AH4130" s="2"/>
      <c r="AI4130" s="2"/>
      <c r="AJ4130" s="2"/>
      <c r="AK4130" s="2"/>
    </row>
    <row r="4131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  <c r="AE4131" s="2"/>
      <c r="AF4131" s="2"/>
      <c r="AG4131" s="2"/>
      <c r="AH4131" s="2"/>
      <c r="AI4131" s="2"/>
      <c r="AJ4131" s="2"/>
      <c r="AK4131" s="2"/>
    </row>
    <row r="4132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  <c r="AE4132" s="2"/>
      <c r="AF4132" s="2"/>
      <c r="AG4132" s="2"/>
      <c r="AH4132" s="2"/>
      <c r="AI4132" s="2"/>
      <c r="AJ4132" s="2"/>
      <c r="AK4132" s="2"/>
    </row>
    <row r="4133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  <c r="AE4133" s="2"/>
      <c r="AF4133" s="2"/>
      <c r="AG4133" s="2"/>
      <c r="AH4133" s="2"/>
      <c r="AI4133" s="2"/>
      <c r="AJ4133" s="2"/>
      <c r="AK4133" s="2"/>
    </row>
    <row r="4134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  <c r="AF4134" s="2"/>
      <c r="AG4134" s="2"/>
      <c r="AH4134" s="2"/>
      <c r="AI4134" s="2"/>
      <c r="AJ4134" s="2"/>
      <c r="AK4134" s="2"/>
    </row>
    <row r="4135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  <c r="AD4135" s="2"/>
      <c r="AE4135" s="2"/>
      <c r="AF4135" s="2"/>
      <c r="AG4135" s="2"/>
      <c r="AH4135" s="2"/>
      <c r="AI4135" s="2"/>
      <c r="AJ4135" s="2"/>
      <c r="AK4135" s="2"/>
    </row>
    <row r="4136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  <c r="AE4136" s="2"/>
      <c r="AF4136" s="2"/>
      <c r="AG4136" s="2"/>
      <c r="AH4136" s="2"/>
      <c r="AI4136" s="2"/>
      <c r="AJ4136" s="2"/>
      <c r="AK4136" s="2"/>
    </row>
    <row r="4137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2"/>
      <c r="AG4137" s="2"/>
      <c r="AH4137" s="2"/>
      <c r="AI4137" s="2"/>
      <c r="AJ4137" s="2"/>
      <c r="AK4137" s="2"/>
    </row>
    <row r="4138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2"/>
      <c r="AG4138" s="2"/>
      <c r="AH4138" s="2"/>
      <c r="AI4138" s="2"/>
      <c r="AJ4138" s="2"/>
      <c r="AK4138" s="2"/>
    </row>
    <row r="4139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  <c r="AE4139" s="2"/>
      <c r="AF4139" s="2"/>
      <c r="AG4139" s="2"/>
      <c r="AH4139" s="2"/>
      <c r="AI4139" s="2"/>
      <c r="AJ4139" s="2"/>
      <c r="AK4139" s="2"/>
    </row>
    <row r="4140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  <c r="AE4140" s="2"/>
      <c r="AF4140" s="2"/>
      <c r="AG4140" s="2"/>
      <c r="AH4140" s="2"/>
      <c r="AI4140" s="2"/>
      <c r="AJ4140" s="2"/>
      <c r="AK4140" s="2"/>
    </row>
    <row r="4141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  <c r="AE4141" s="2"/>
      <c r="AF4141" s="2"/>
      <c r="AG4141" s="2"/>
      <c r="AH4141" s="2"/>
      <c r="AI4141" s="2"/>
      <c r="AJ4141" s="2"/>
      <c r="AK4141" s="2"/>
    </row>
    <row r="4142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  <c r="AE4142" s="2"/>
      <c r="AF4142" s="2"/>
      <c r="AG4142" s="2"/>
      <c r="AH4142" s="2"/>
      <c r="AI4142" s="2"/>
      <c r="AJ4142" s="2"/>
      <c r="AK4142" s="2"/>
    </row>
    <row r="4143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  <c r="AE4143" s="2"/>
      <c r="AF4143" s="2"/>
      <c r="AG4143" s="2"/>
      <c r="AH4143" s="2"/>
      <c r="AI4143" s="2"/>
      <c r="AJ4143" s="2"/>
      <c r="AK4143" s="2"/>
    </row>
    <row r="4144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2"/>
      <c r="AG4144" s="2"/>
      <c r="AH4144" s="2"/>
      <c r="AI4144" s="2"/>
      <c r="AJ4144" s="2"/>
      <c r="AK4144" s="2"/>
    </row>
    <row r="4145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  <c r="AE4145" s="2"/>
      <c r="AF4145" s="2"/>
      <c r="AG4145" s="2"/>
      <c r="AH4145" s="2"/>
      <c r="AI4145" s="2"/>
      <c r="AJ4145" s="2"/>
      <c r="AK4145" s="2"/>
    </row>
    <row r="4146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  <c r="AE4146" s="2"/>
      <c r="AF4146" s="2"/>
      <c r="AG4146" s="2"/>
      <c r="AH4146" s="2"/>
      <c r="AI4146" s="2"/>
      <c r="AJ4146" s="2"/>
      <c r="AK4146" s="2"/>
    </row>
    <row r="4147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  <c r="AE4147" s="2"/>
      <c r="AF4147" s="2"/>
      <c r="AG4147" s="2"/>
      <c r="AH4147" s="2"/>
      <c r="AI4147" s="2"/>
      <c r="AJ4147" s="2"/>
      <c r="AK4147" s="2"/>
    </row>
    <row r="4148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  <c r="AF4148" s="2"/>
      <c r="AG4148" s="2"/>
      <c r="AH4148" s="2"/>
      <c r="AI4148" s="2"/>
      <c r="AJ4148" s="2"/>
      <c r="AK4148" s="2"/>
    </row>
    <row r="4149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  <c r="AD4149" s="2"/>
      <c r="AE4149" s="2"/>
      <c r="AF4149" s="2"/>
      <c r="AG4149" s="2"/>
      <c r="AH4149" s="2"/>
      <c r="AI4149" s="2"/>
      <c r="AJ4149" s="2"/>
      <c r="AK4149" s="2"/>
    </row>
    <row r="4150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  <c r="AE4150" s="2"/>
      <c r="AF4150" s="2"/>
      <c r="AG4150" s="2"/>
      <c r="AH4150" s="2"/>
      <c r="AI4150" s="2"/>
      <c r="AJ4150" s="2"/>
      <c r="AK4150" s="2"/>
    </row>
    <row r="4151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  <c r="AD4151" s="2"/>
      <c r="AE4151" s="2"/>
      <c r="AF4151" s="2"/>
      <c r="AG4151" s="2"/>
      <c r="AH4151" s="2"/>
      <c r="AI4151" s="2"/>
      <c r="AJ4151" s="2"/>
      <c r="AK4151" s="2"/>
    </row>
    <row r="4152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  <c r="AD4152" s="2"/>
      <c r="AE4152" s="2"/>
      <c r="AF4152" s="2"/>
      <c r="AG4152" s="2"/>
      <c r="AH4152" s="2"/>
      <c r="AI4152" s="2"/>
      <c r="AJ4152" s="2"/>
      <c r="AK4152" s="2"/>
    </row>
    <row r="4153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  <c r="AF4153" s="2"/>
      <c r="AG4153" s="2"/>
      <c r="AH4153" s="2"/>
      <c r="AI4153" s="2"/>
      <c r="AJ4153" s="2"/>
      <c r="AK4153" s="2"/>
    </row>
    <row r="4154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  <c r="AE4154" s="2"/>
      <c r="AF4154" s="2"/>
      <c r="AG4154" s="2"/>
      <c r="AH4154" s="2"/>
      <c r="AI4154" s="2"/>
      <c r="AJ4154" s="2"/>
      <c r="AK4154" s="2"/>
    </row>
    <row r="4155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  <c r="AF4155" s="2"/>
      <c r="AG4155" s="2"/>
      <c r="AH4155" s="2"/>
      <c r="AI4155" s="2"/>
      <c r="AJ4155" s="2"/>
      <c r="AK4155" s="2"/>
    </row>
    <row r="4156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  <c r="AE4156" s="2"/>
      <c r="AF4156" s="2"/>
      <c r="AG4156" s="2"/>
      <c r="AH4156" s="2"/>
      <c r="AI4156" s="2"/>
      <c r="AJ4156" s="2"/>
      <c r="AK4156" s="2"/>
    </row>
    <row r="4157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  <c r="AE4157" s="2"/>
      <c r="AF4157" s="2"/>
      <c r="AG4157" s="2"/>
      <c r="AH4157" s="2"/>
      <c r="AI4157" s="2"/>
      <c r="AJ4157" s="2"/>
      <c r="AK4157" s="2"/>
    </row>
    <row r="4158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  <c r="AE4158" s="2"/>
      <c r="AF4158" s="2"/>
      <c r="AG4158" s="2"/>
      <c r="AH4158" s="2"/>
      <c r="AI4158" s="2"/>
      <c r="AJ4158" s="2"/>
      <c r="AK4158" s="2"/>
    </row>
    <row r="4159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  <c r="AE4159" s="2"/>
      <c r="AF4159" s="2"/>
      <c r="AG4159" s="2"/>
      <c r="AH4159" s="2"/>
      <c r="AI4159" s="2"/>
      <c r="AJ4159" s="2"/>
      <c r="AK4159" s="2"/>
    </row>
    <row r="4160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  <c r="AE4160" s="2"/>
      <c r="AF4160" s="2"/>
      <c r="AG4160" s="2"/>
      <c r="AH4160" s="2"/>
      <c r="AI4160" s="2"/>
      <c r="AJ4160" s="2"/>
      <c r="AK4160" s="2"/>
    </row>
    <row r="4161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  <c r="AE4161" s="2"/>
      <c r="AF4161" s="2"/>
      <c r="AG4161" s="2"/>
      <c r="AH4161" s="2"/>
      <c r="AI4161" s="2"/>
      <c r="AJ4161" s="2"/>
      <c r="AK4161" s="2"/>
    </row>
    <row r="4162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  <c r="AD4162" s="2"/>
      <c r="AE4162" s="2"/>
      <c r="AF4162" s="2"/>
      <c r="AG4162" s="2"/>
      <c r="AH4162" s="2"/>
      <c r="AI4162" s="2"/>
      <c r="AJ4162" s="2"/>
      <c r="AK4162" s="2"/>
    </row>
    <row r="4163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  <c r="AE4163" s="2"/>
      <c r="AF4163" s="2"/>
      <c r="AG4163" s="2"/>
      <c r="AH4163" s="2"/>
      <c r="AI4163" s="2"/>
      <c r="AJ4163" s="2"/>
      <c r="AK4163" s="2"/>
    </row>
    <row r="4164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  <c r="AE4164" s="2"/>
      <c r="AF4164" s="2"/>
      <c r="AG4164" s="2"/>
      <c r="AH4164" s="2"/>
      <c r="AI4164" s="2"/>
      <c r="AJ4164" s="2"/>
      <c r="AK4164" s="2"/>
    </row>
    <row r="4165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  <c r="AD4165" s="2"/>
      <c r="AE4165" s="2"/>
      <c r="AF4165" s="2"/>
      <c r="AG4165" s="2"/>
      <c r="AH4165" s="2"/>
      <c r="AI4165" s="2"/>
      <c r="AJ4165" s="2"/>
      <c r="AK4165" s="2"/>
    </row>
    <row r="4166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  <c r="AD4166" s="2"/>
      <c r="AE4166" s="2"/>
      <c r="AF4166" s="2"/>
      <c r="AG4166" s="2"/>
      <c r="AH4166" s="2"/>
      <c r="AI4166" s="2"/>
      <c r="AJ4166" s="2"/>
      <c r="AK4166" s="2"/>
    </row>
    <row r="4167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  <c r="AD4167" s="2"/>
      <c r="AE4167" s="2"/>
      <c r="AF4167" s="2"/>
      <c r="AG4167" s="2"/>
      <c r="AH4167" s="2"/>
      <c r="AI4167" s="2"/>
      <c r="AJ4167" s="2"/>
      <c r="AK4167" s="2"/>
    </row>
    <row r="4168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  <c r="AD4168" s="2"/>
      <c r="AE4168" s="2"/>
      <c r="AF4168" s="2"/>
      <c r="AG4168" s="2"/>
      <c r="AH4168" s="2"/>
      <c r="AI4168" s="2"/>
      <c r="AJ4168" s="2"/>
      <c r="AK4168" s="2"/>
    </row>
    <row r="4169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  <c r="AD4169" s="2"/>
      <c r="AE4169" s="2"/>
      <c r="AF4169" s="2"/>
      <c r="AG4169" s="2"/>
      <c r="AH4169" s="2"/>
      <c r="AI4169" s="2"/>
      <c r="AJ4169" s="2"/>
      <c r="AK4169" s="2"/>
    </row>
    <row r="4170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  <c r="AD4170" s="2"/>
      <c r="AE4170" s="2"/>
      <c r="AF4170" s="2"/>
      <c r="AG4170" s="2"/>
      <c r="AH4170" s="2"/>
      <c r="AI4170" s="2"/>
      <c r="AJ4170" s="2"/>
      <c r="AK4170" s="2"/>
    </row>
    <row r="4171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2"/>
      <c r="AG4171" s="2"/>
      <c r="AH4171" s="2"/>
      <c r="AI4171" s="2"/>
      <c r="AJ4171" s="2"/>
      <c r="AK4171" s="2"/>
    </row>
    <row r="4172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  <c r="AE4172" s="2"/>
      <c r="AF4172" s="2"/>
      <c r="AG4172" s="2"/>
      <c r="AH4172" s="2"/>
      <c r="AI4172" s="2"/>
      <c r="AJ4172" s="2"/>
      <c r="AK4172" s="2"/>
    </row>
    <row r="4173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  <c r="AD4173" s="2"/>
      <c r="AE4173" s="2"/>
      <c r="AF4173" s="2"/>
      <c r="AG4173" s="2"/>
      <c r="AH4173" s="2"/>
      <c r="AI4173" s="2"/>
      <c r="AJ4173" s="2"/>
      <c r="AK4173" s="2"/>
    </row>
    <row r="4174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  <c r="AE4174" s="2"/>
      <c r="AF4174" s="2"/>
      <c r="AG4174" s="2"/>
      <c r="AH4174" s="2"/>
      <c r="AI4174" s="2"/>
      <c r="AJ4174" s="2"/>
      <c r="AK4174" s="2"/>
    </row>
    <row r="4175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  <c r="AE4175" s="2"/>
      <c r="AF4175" s="2"/>
      <c r="AG4175" s="2"/>
      <c r="AH4175" s="2"/>
      <c r="AI4175" s="2"/>
      <c r="AJ4175" s="2"/>
      <c r="AK4175" s="2"/>
    </row>
    <row r="4176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  <c r="AE4176" s="2"/>
      <c r="AF4176" s="2"/>
      <c r="AG4176" s="2"/>
      <c r="AH4176" s="2"/>
      <c r="AI4176" s="2"/>
      <c r="AJ4176" s="2"/>
      <c r="AK4176" s="2"/>
    </row>
    <row r="4177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  <c r="AF4177" s="2"/>
      <c r="AG4177" s="2"/>
      <c r="AH4177" s="2"/>
      <c r="AI4177" s="2"/>
      <c r="AJ4177" s="2"/>
      <c r="AK4177" s="2"/>
    </row>
    <row r="4178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  <c r="AE4178" s="2"/>
      <c r="AF4178" s="2"/>
      <c r="AG4178" s="2"/>
      <c r="AH4178" s="2"/>
      <c r="AI4178" s="2"/>
      <c r="AJ4178" s="2"/>
      <c r="AK4178" s="2"/>
    </row>
    <row r="4179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2"/>
      <c r="AG4179" s="2"/>
      <c r="AH4179" s="2"/>
      <c r="AI4179" s="2"/>
      <c r="AJ4179" s="2"/>
      <c r="AK4179" s="2"/>
    </row>
    <row r="4180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  <c r="AE4180" s="2"/>
      <c r="AF4180" s="2"/>
      <c r="AG4180" s="2"/>
      <c r="AH4180" s="2"/>
      <c r="AI4180" s="2"/>
      <c r="AJ4180" s="2"/>
      <c r="AK4180" s="2"/>
    </row>
    <row r="4181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  <c r="AF4181" s="2"/>
      <c r="AG4181" s="2"/>
      <c r="AH4181" s="2"/>
      <c r="AI4181" s="2"/>
      <c r="AJ4181" s="2"/>
      <c r="AK4181" s="2"/>
    </row>
    <row r="4182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  <c r="AD4182" s="2"/>
      <c r="AE4182" s="2"/>
      <c r="AF4182" s="2"/>
      <c r="AG4182" s="2"/>
      <c r="AH4182" s="2"/>
      <c r="AI4182" s="2"/>
      <c r="AJ4182" s="2"/>
      <c r="AK4182" s="2"/>
    </row>
    <row r="4183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  <c r="AE4183" s="2"/>
      <c r="AF4183" s="2"/>
      <c r="AG4183" s="2"/>
      <c r="AH4183" s="2"/>
      <c r="AI4183" s="2"/>
      <c r="AJ4183" s="2"/>
      <c r="AK4183" s="2"/>
    </row>
    <row r="4184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  <c r="AF4184" s="2"/>
      <c r="AG4184" s="2"/>
      <c r="AH4184" s="2"/>
      <c r="AI4184" s="2"/>
      <c r="AJ4184" s="2"/>
      <c r="AK4184" s="2"/>
    </row>
    <row r="4185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  <c r="AE4185" s="2"/>
      <c r="AF4185" s="2"/>
      <c r="AG4185" s="2"/>
      <c r="AH4185" s="2"/>
      <c r="AI4185" s="2"/>
      <c r="AJ4185" s="2"/>
      <c r="AK4185" s="2"/>
    </row>
    <row r="4186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  <c r="AE4186" s="2"/>
      <c r="AF4186" s="2"/>
      <c r="AG4186" s="2"/>
      <c r="AH4186" s="2"/>
      <c r="AI4186" s="2"/>
      <c r="AJ4186" s="2"/>
      <c r="AK4186" s="2"/>
    </row>
    <row r="4187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  <c r="AE4187" s="2"/>
      <c r="AF4187" s="2"/>
      <c r="AG4187" s="2"/>
      <c r="AH4187" s="2"/>
      <c r="AI4187" s="2"/>
      <c r="AJ4187" s="2"/>
      <c r="AK4187" s="2"/>
    </row>
    <row r="4188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  <c r="AE4188" s="2"/>
      <c r="AF4188" s="2"/>
      <c r="AG4188" s="2"/>
      <c r="AH4188" s="2"/>
      <c r="AI4188" s="2"/>
      <c r="AJ4188" s="2"/>
      <c r="AK4188" s="2"/>
    </row>
    <row r="4189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  <c r="AD4189" s="2"/>
      <c r="AE4189" s="2"/>
      <c r="AF4189" s="2"/>
      <c r="AG4189" s="2"/>
      <c r="AH4189" s="2"/>
      <c r="AI4189" s="2"/>
      <c r="AJ4189" s="2"/>
      <c r="AK4189" s="2"/>
    </row>
    <row r="4190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  <c r="AE4190" s="2"/>
      <c r="AF4190" s="2"/>
      <c r="AG4190" s="2"/>
      <c r="AH4190" s="2"/>
      <c r="AI4190" s="2"/>
      <c r="AJ4190" s="2"/>
      <c r="AK4190" s="2"/>
    </row>
    <row r="4191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  <c r="AD4191" s="2"/>
      <c r="AE4191" s="2"/>
      <c r="AF4191" s="2"/>
      <c r="AG4191" s="2"/>
      <c r="AH4191" s="2"/>
      <c r="AI4191" s="2"/>
      <c r="AJ4191" s="2"/>
      <c r="AK4191" s="2"/>
    </row>
    <row r="4192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  <c r="AE4192" s="2"/>
      <c r="AF4192" s="2"/>
      <c r="AG4192" s="2"/>
      <c r="AH4192" s="2"/>
      <c r="AI4192" s="2"/>
      <c r="AJ4192" s="2"/>
      <c r="AK4192" s="2"/>
    </row>
    <row r="4193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  <c r="AD4193" s="2"/>
      <c r="AE4193" s="2"/>
      <c r="AF4193" s="2"/>
      <c r="AG4193" s="2"/>
      <c r="AH4193" s="2"/>
      <c r="AI4193" s="2"/>
      <c r="AJ4193" s="2"/>
      <c r="AK4193" s="2"/>
    </row>
    <row r="4194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  <c r="AD4194" s="2"/>
      <c r="AE4194" s="2"/>
      <c r="AF4194" s="2"/>
      <c r="AG4194" s="2"/>
      <c r="AH4194" s="2"/>
      <c r="AI4194" s="2"/>
      <c r="AJ4194" s="2"/>
      <c r="AK4194" s="2"/>
    </row>
    <row r="4195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  <c r="AD4195" s="2"/>
      <c r="AE4195" s="2"/>
      <c r="AF4195" s="2"/>
      <c r="AG4195" s="2"/>
      <c r="AH4195" s="2"/>
      <c r="AI4195" s="2"/>
      <c r="AJ4195" s="2"/>
      <c r="AK4195" s="2"/>
    </row>
    <row r="4196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  <c r="AE4196" s="2"/>
      <c r="AF4196" s="2"/>
      <c r="AG4196" s="2"/>
      <c r="AH4196" s="2"/>
      <c r="AI4196" s="2"/>
      <c r="AJ4196" s="2"/>
      <c r="AK4196" s="2"/>
    </row>
    <row r="4197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  <c r="AE4197" s="2"/>
      <c r="AF4197" s="2"/>
      <c r="AG4197" s="2"/>
      <c r="AH4197" s="2"/>
      <c r="AI4197" s="2"/>
      <c r="AJ4197" s="2"/>
      <c r="AK4197" s="2"/>
    </row>
    <row r="4198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  <c r="AE4198" s="2"/>
      <c r="AF4198" s="2"/>
      <c r="AG4198" s="2"/>
      <c r="AH4198" s="2"/>
      <c r="AI4198" s="2"/>
      <c r="AJ4198" s="2"/>
      <c r="AK4198" s="2"/>
    </row>
    <row r="4199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2"/>
      <c r="AG4199" s="2"/>
      <c r="AH4199" s="2"/>
      <c r="AI4199" s="2"/>
      <c r="AJ4199" s="2"/>
      <c r="AK4199" s="2"/>
    </row>
    <row r="4200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  <c r="AE4200" s="2"/>
      <c r="AF4200" s="2"/>
      <c r="AG4200" s="2"/>
      <c r="AH4200" s="2"/>
      <c r="AI4200" s="2"/>
      <c r="AJ4200" s="2"/>
      <c r="AK4200" s="2"/>
    </row>
    <row r="4201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  <c r="AE4201" s="2"/>
      <c r="AF4201" s="2"/>
      <c r="AG4201" s="2"/>
      <c r="AH4201" s="2"/>
      <c r="AI4201" s="2"/>
      <c r="AJ4201" s="2"/>
      <c r="AK4201" s="2"/>
    </row>
    <row r="4202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  <c r="AE4202" s="2"/>
      <c r="AF4202" s="2"/>
      <c r="AG4202" s="2"/>
      <c r="AH4202" s="2"/>
      <c r="AI4202" s="2"/>
      <c r="AJ4202" s="2"/>
      <c r="AK4202" s="2"/>
    </row>
    <row r="4203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  <c r="AF4203" s="2"/>
      <c r="AG4203" s="2"/>
      <c r="AH4203" s="2"/>
      <c r="AI4203" s="2"/>
      <c r="AJ4203" s="2"/>
      <c r="AK4203" s="2"/>
    </row>
    <row r="4204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2"/>
      <c r="AG4204" s="2"/>
      <c r="AH4204" s="2"/>
      <c r="AI4204" s="2"/>
      <c r="AJ4204" s="2"/>
      <c r="AK4204" s="2"/>
    </row>
    <row r="4205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2"/>
      <c r="AG4205" s="2"/>
      <c r="AH4205" s="2"/>
      <c r="AI4205" s="2"/>
      <c r="AJ4205" s="2"/>
      <c r="AK4205" s="2"/>
    </row>
    <row r="4206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  <c r="AE4206" s="2"/>
      <c r="AF4206" s="2"/>
      <c r="AG4206" s="2"/>
      <c r="AH4206" s="2"/>
      <c r="AI4206" s="2"/>
      <c r="AJ4206" s="2"/>
      <c r="AK4206" s="2"/>
    </row>
    <row r="4207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  <c r="AE4207" s="2"/>
      <c r="AF4207" s="2"/>
      <c r="AG4207" s="2"/>
      <c r="AH4207" s="2"/>
      <c r="AI4207" s="2"/>
      <c r="AJ4207" s="2"/>
      <c r="AK4207" s="2"/>
    </row>
    <row r="4208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  <c r="AF4208" s="2"/>
      <c r="AG4208" s="2"/>
      <c r="AH4208" s="2"/>
      <c r="AI4208" s="2"/>
      <c r="AJ4208" s="2"/>
      <c r="AK4208" s="2"/>
    </row>
    <row r="4209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  <c r="AE4209" s="2"/>
      <c r="AF4209" s="2"/>
      <c r="AG4209" s="2"/>
      <c r="AH4209" s="2"/>
      <c r="AI4209" s="2"/>
      <c r="AJ4209" s="2"/>
      <c r="AK4209" s="2"/>
    </row>
    <row r="4210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  <c r="AE4210" s="2"/>
      <c r="AF4210" s="2"/>
      <c r="AG4210" s="2"/>
      <c r="AH4210" s="2"/>
      <c r="AI4210" s="2"/>
      <c r="AJ4210" s="2"/>
      <c r="AK4210" s="2"/>
    </row>
    <row r="4211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  <c r="AE4211" s="2"/>
      <c r="AF4211" s="2"/>
      <c r="AG4211" s="2"/>
      <c r="AH4211" s="2"/>
      <c r="AI4211" s="2"/>
      <c r="AJ4211" s="2"/>
      <c r="AK4211" s="2"/>
    </row>
    <row r="4212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  <c r="AE4212" s="2"/>
      <c r="AF4212" s="2"/>
      <c r="AG4212" s="2"/>
      <c r="AH4212" s="2"/>
      <c r="AI4212" s="2"/>
      <c r="AJ4212" s="2"/>
      <c r="AK4212" s="2"/>
    </row>
    <row r="4213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  <c r="AE4213" s="2"/>
      <c r="AF4213" s="2"/>
      <c r="AG4213" s="2"/>
      <c r="AH4213" s="2"/>
      <c r="AI4213" s="2"/>
      <c r="AJ4213" s="2"/>
      <c r="AK4213" s="2"/>
    </row>
    <row r="4214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  <c r="AD4214" s="2"/>
      <c r="AE4214" s="2"/>
      <c r="AF4214" s="2"/>
      <c r="AG4214" s="2"/>
      <c r="AH4214" s="2"/>
      <c r="AI4214" s="2"/>
      <c r="AJ4214" s="2"/>
      <c r="AK4214" s="2"/>
    </row>
  </sheetData>
  <mergeCells count="2677">
    <mergeCell ref="B23:O23"/>
    <mergeCell ref="P23:R23"/>
    <mergeCell ref="T23:AG23"/>
    <mergeCell ref="AH23:AJ23"/>
    <mergeCell ref="B24:O24"/>
    <mergeCell ref="Q24:S24"/>
    <mergeCell ref="T24:AG24"/>
    <mergeCell ref="B25:O25"/>
    <mergeCell ref="T25:AG25"/>
    <mergeCell ref="P27:R27"/>
    <mergeCell ref="AH27:AJ27"/>
    <mergeCell ref="B2:R2"/>
    <mergeCell ref="T2:AJ2"/>
    <mergeCell ref="J3:M3"/>
    <mergeCell ref="N3:R3"/>
    <mergeCell ref="T3:W3"/>
    <mergeCell ref="AB3:AE3"/>
    <mergeCell ref="AF3:AJ3"/>
    <mergeCell ref="B3:E3"/>
    <mergeCell ref="B4:E4"/>
    <mergeCell ref="J4:M4"/>
    <mergeCell ref="N4:R4"/>
    <mergeCell ref="T4:W4"/>
    <mergeCell ref="AB4:AE4"/>
    <mergeCell ref="AF4:AJ4"/>
    <mergeCell ref="U6:AC6"/>
    <mergeCell ref="U7:AC7"/>
    <mergeCell ref="U8:AC8"/>
    <mergeCell ref="AF8:AJ8"/>
    <mergeCell ref="T9:AJ9"/>
    <mergeCell ref="X10:AB10"/>
    <mergeCell ref="B5:R5"/>
    <mergeCell ref="T5:AJ5"/>
    <mergeCell ref="C6:K6"/>
    <mergeCell ref="N6:R6"/>
    <mergeCell ref="AF6:AJ6"/>
    <mergeCell ref="N7:R7"/>
    <mergeCell ref="AF7:AJ7"/>
    <mergeCell ref="N22:O22"/>
    <mergeCell ref="T22:U22"/>
    <mergeCell ref="V22:AE22"/>
    <mergeCell ref="AF22:AG22"/>
    <mergeCell ref="C7:K7"/>
    <mergeCell ref="C8:K8"/>
    <mergeCell ref="N8:R8"/>
    <mergeCell ref="B9:R9"/>
    <mergeCell ref="F10:J10"/>
    <mergeCell ref="B22:C22"/>
    <mergeCell ref="D22:M22"/>
    <mergeCell ref="B31:R31"/>
    <mergeCell ref="B32:E32"/>
    <mergeCell ref="J32:M32"/>
    <mergeCell ref="N32:R32"/>
    <mergeCell ref="B33:E33"/>
    <mergeCell ref="J33:M33"/>
    <mergeCell ref="N33:R33"/>
    <mergeCell ref="B82:O82"/>
    <mergeCell ref="B83:O83"/>
    <mergeCell ref="B84:O84"/>
    <mergeCell ref="P86:R86"/>
    <mergeCell ref="B91:R91"/>
    <mergeCell ref="J92:M92"/>
    <mergeCell ref="N92:R92"/>
    <mergeCell ref="B92:E92"/>
    <mergeCell ref="B93:E93"/>
    <mergeCell ref="J93:M93"/>
    <mergeCell ref="N93:R93"/>
    <mergeCell ref="B94:R94"/>
    <mergeCell ref="C95:K95"/>
    <mergeCell ref="C96:K96"/>
    <mergeCell ref="D111:O111"/>
    <mergeCell ref="P111:Q111"/>
    <mergeCell ref="N95:R95"/>
    <mergeCell ref="N96:R96"/>
    <mergeCell ref="C97:K97"/>
    <mergeCell ref="N97:R97"/>
    <mergeCell ref="B98:R98"/>
    <mergeCell ref="F99:J99"/>
    <mergeCell ref="B111:C111"/>
    <mergeCell ref="B34:R34"/>
    <mergeCell ref="C35:K35"/>
    <mergeCell ref="N35:R35"/>
    <mergeCell ref="C36:K36"/>
    <mergeCell ref="N36:R36"/>
    <mergeCell ref="C37:K37"/>
    <mergeCell ref="N37:R37"/>
    <mergeCell ref="B38:R38"/>
    <mergeCell ref="F39:J39"/>
    <mergeCell ref="B51:C51"/>
    <mergeCell ref="D51:O51"/>
    <mergeCell ref="P51:Q51"/>
    <mergeCell ref="B52:O52"/>
    <mergeCell ref="P52:R52"/>
    <mergeCell ref="J62:M62"/>
    <mergeCell ref="J63:M63"/>
    <mergeCell ref="B53:O53"/>
    <mergeCell ref="B54:O54"/>
    <mergeCell ref="P56:R56"/>
    <mergeCell ref="B61:R61"/>
    <mergeCell ref="B62:E62"/>
    <mergeCell ref="N62:R62"/>
    <mergeCell ref="B63:E63"/>
    <mergeCell ref="N63:R63"/>
    <mergeCell ref="B64:R64"/>
    <mergeCell ref="C65:K65"/>
    <mergeCell ref="N65:R65"/>
    <mergeCell ref="C66:K66"/>
    <mergeCell ref="N66:R66"/>
    <mergeCell ref="N67:R67"/>
    <mergeCell ref="C67:K67"/>
    <mergeCell ref="B68:R68"/>
    <mergeCell ref="F69:J69"/>
    <mergeCell ref="B81:C81"/>
    <mergeCell ref="D81:O81"/>
    <mergeCell ref="P81:Q81"/>
    <mergeCell ref="P82:R82"/>
    <mergeCell ref="B112:O112"/>
    <mergeCell ref="P112:R112"/>
    <mergeCell ref="B113:O113"/>
    <mergeCell ref="B114:O114"/>
    <mergeCell ref="P116:R116"/>
    <mergeCell ref="Q119:S119"/>
    <mergeCell ref="B121:R121"/>
    <mergeCell ref="B122:E122"/>
    <mergeCell ref="J122:M122"/>
    <mergeCell ref="N122:R122"/>
    <mergeCell ref="B123:E123"/>
    <mergeCell ref="J123:M123"/>
    <mergeCell ref="N123:R123"/>
    <mergeCell ref="B124:R124"/>
    <mergeCell ref="C125:K125"/>
    <mergeCell ref="N125:R125"/>
    <mergeCell ref="C126:K126"/>
    <mergeCell ref="N126:R126"/>
    <mergeCell ref="C127:K127"/>
    <mergeCell ref="N127:R127"/>
    <mergeCell ref="B128:R128"/>
    <mergeCell ref="P142:R142"/>
    <mergeCell ref="P146:R146"/>
    <mergeCell ref="F129:J129"/>
    <mergeCell ref="B141:C141"/>
    <mergeCell ref="D141:O141"/>
    <mergeCell ref="P141:Q141"/>
    <mergeCell ref="B142:O142"/>
    <mergeCell ref="B143:O143"/>
    <mergeCell ref="B144:O144"/>
    <mergeCell ref="B151:R151"/>
    <mergeCell ref="B152:E152"/>
    <mergeCell ref="J152:M152"/>
    <mergeCell ref="N152:R152"/>
    <mergeCell ref="B153:E153"/>
    <mergeCell ref="J153:M153"/>
    <mergeCell ref="N153:R153"/>
    <mergeCell ref="B154:R154"/>
    <mergeCell ref="C155:K155"/>
    <mergeCell ref="N155:R155"/>
    <mergeCell ref="C156:K156"/>
    <mergeCell ref="N156:R156"/>
    <mergeCell ref="C157:K157"/>
    <mergeCell ref="N157:R157"/>
    <mergeCell ref="B158:R158"/>
    <mergeCell ref="F159:J159"/>
    <mergeCell ref="B171:C171"/>
    <mergeCell ref="D171:O171"/>
    <mergeCell ref="P171:Q171"/>
    <mergeCell ref="B172:O172"/>
    <mergeCell ref="P172:R172"/>
    <mergeCell ref="J182:M182"/>
    <mergeCell ref="J183:M183"/>
    <mergeCell ref="B173:O173"/>
    <mergeCell ref="B174:O174"/>
    <mergeCell ref="P176:R176"/>
    <mergeCell ref="B181:R181"/>
    <mergeCell ref="B182:E182"/>
    <mergeCell ref="N182:R182"/>
    <mergeCell ref="B183:E183"/>
    <mergeCell ref="N183:R183"/>
    <mergeCell ref="B184:R184"/>
    <mergeCell ref="C185:K185"/>
    <mergeCell ref="N185:R185"/>
    <mergeCell ref="C186:K186"/>
    <mergeCell ref="N186:R186"/>
    <mergeCell ref="N187:R187"/>
    <mergeCell ref="C187:K187"/>
    <mergeCell ref="B188:R188"/>
    <mergeCell ref="F189:J189"/>
    <mergeCell ref="B201:C201"/>
    <mergeCell ref="D201:O201"/>
    <mergeCell ref="P201:Q201"/>
    <mergeCell ref="P202:R202"/>
    <mergeCell ref="B202:O202"/>
    <mergeCell ref="B203:O203"/>
    <mergeCell ref="B204:O204"/>
    <mergeCell ref="P206:R206"/>
    <mergeCell ref="B211:R211"/>
    <mergeCell ref="J212:M212"/>
    <mergeCell ref="N212:R212"/>
    <mergeCell ref="N215:R215"/>
    <mergeCell ref="N216:R216"/>
    <mergeCell ref="B212:E212"/>
    <mergeCell ref="B213:E213"/>
    <mergeCell ref="J213:M213"/>
    <mergeCell ref="N213:R213"/>
    <mergeCell ref="B214:R214"/>
    <mergeCell ref="C215:K215"/>
    <mergeCell ref="C216:K216"/>
    <mergeCell ref="B272:E272"/>
    <mergeCell ref="J272:M272"/>
    <mergeCell ref="N272:R272"/>
    <mergeCell ref="B273:E273"/>
    <mergeCell ref="J273:M273"/>
    <mergeCell ref="N273:R273"/>
    <mergeCell ref="B274:R274"/>
    <mergeCell ref="C275:K275"/>
    <mergeCell ref="N275:R275"/>
    <mergeCell ref="C276:K276"/>
    <mergeCell ref="N276:R276"/>
    <mergeCell ref="C277:K277"/>
    <mergeCell ref="N277:R277"/>
    <mergeCell ref="B278:R278"/>
    <mergeCell ref="P292:R292"/>
    <mergeCell ref="P296:R296"/>
    <mergeCell ref="F279:J279"/>
    <mergeCell ref="B291:C291"/>
    <mergeCell ref="D291:O291"/>
    <mergeCell ref="P291:Q291"/>
    <mergeCell ref="B292:O292"/>
    <mergeCell ref="B293:O293"/>
    <mergeCell ref="B294:O294"/>
    <mergeCell ref="C217:K217"/>
    <mergeCell ref="N217:R217"/>
    <mergeCell ref="B218:R218"/>
    <mergeCell ref="F219:J219"/>
    <mergeCell ref="B231:C231"/>
    <mergeCell ref="D231:O231"/>
    <mergeCell ref="P231:Q231"/>
    <mergeCell ref="J242:M242"/>
    <mergeCell ref="N242:R242"/>
    <mergeCell ref="B232:O232"/>
    <mergeCell ref="P232:R232"/>
    <mergeCell ref="B233:O233"/>
    <mergeCell ref="B234:O234"/>
    <mergeCell ref="P236:R236"/>
    <mergeCell ref="B241:R241"/>
    <mergeCell ref="B242:E242"/>
    <mergeCell ref="B243:E243"/>
    <mergeCell ref="J243:M243"/>
    <mergeCell ref="N243:R243"/>
    <mergeCell ref="B244:R244"/>
    <mergeCell ref="C245:K245"/>
    <mergeCell ref="N245:R245"/>
    <mergeCell ref="N246:R246"/>
    <mergeCell ref="C246:K246"/>
    <mergeCell ref="C247:K247"/>
    <mergeCell ref="N247:R247"/>
    <mergeCell ref="B248:R248"/>
    <mergeCell ref="F249:J249"/>
    <mergeCell ref="B261:C261"/>
    <mergeCell ref="P261:Q261"/>
    <mergeCell ref="D261:O261"/>
    <mergeCell ref="B262:O262"/>
    <mergeCell ref="P262:R262"/>
    <mergeCell ref="B263:O263"/>
    <mergeCell ref="B264:O264"/>
    <mergeCell ref="P266:R266"/>
    <mergeCell ref="B271:R271"/>
    <mergeCell ref="B301:R301"/>
    <mergeCell ref="B302:E302"/>
    <mergeCell ref="J302:M302"/>
    <mergeCell ref="N302:R302"/>
    <mergeCell ref="B303:E303"/>
    <mergeCell ref="J303:M303"/>
    <mergeCell ref="N303:R303"/>
    <mergeCell ref="B352:O352"/>
    <mergeCell ref="B353:O353"/>
    <mergeCell ref="B354:O354"/>
    <mergeCell ref="P356:R356"/>
    <mergeCell ref="B361:R361"/>
    <mergeCell ref="J362:M362"/>
    <mergeCell ref="N362:R362"/>
    <mergeCell ref="B362:E362"/>
    <mergeCell ref="B363:E363"/>
    <mergeCell ref="J363:M363"/>
    <mergeCell ref="N363:R363"/>
    <mergeCell ref="B364:R364"/>
    <mergeCell ref="C365:K365"/>
    <mergeCell ref="C366:K366"/>
    <mergeCell ref="D381:O381"/>
    <mergeCell ref="P381:Q381"/>
    <mergeCell ref="N365:R365"/>
    <mergeCell ref="N366:R366"/>
    <mergeCell ref="C367:K367"/>
    <mergeCell ref="N367:R367"/>
    <mergeCell ref="B368:R368"/>
    <mergeCell ref="F369:J369"/>
    <mergeCell ref="B381:C381"/>
    <mergeCell ref="J392:M392"/>
    <mergeCell ref="N392:R392"/>
    <mergeCell ref="B382:O382"/>
    <mergeCell ref="P382:R382"/>
    <mergeCell ref="B383:O383"/>
    <mergeCell ref="B384:O384"/>
    <mergeCell ref="P386:R386"/>
    <mergeCell ref="B391:R391"/>
    <mergeCell ref="B392:E392"/>
    <mergeCell ref="D411:O411"/>
    <mergeCell ref="B412:O412"/>
    <mergeCell ref="P412:R412"/>
    <mergeCell ref="B413:O413"/>
    <mergeCell ref="B414:O414"/>
    <mergeCell ref="P416:R416"/>
    <mergeCell ref="B421:R421"/>
    <mergeCell ref="B422:E422"/>
    <mergeCell ref="J422:M422"/>
    <mergeCell ref="N422:R422"/>
    <mergeCell ref="B423:E423"/>
    <mergeCell ref="J423:M423"/>
    <mergeCell ref="N423:R423"/>
    <mergeCell ref="B424:R424"/>
    <mergeCell ref="B393:E393"/>
    <mergeCell ref="J393:M393"/>
    <mergeCell ref="N393:R393"/>
    <mergeCell ref="B394:R394"/>
    <mergeCell ref="C395:K395"/>
    <mergeCell ref="N395:R395"/>
    <mergeCell ref="N396:R396"/>
    <mergeCell ref="C396:K396"/>
    <mergeCell ref="C397:K397"/>
    <mergeCell ref="N397:R397"/>
    <mergeCell ref="B398:R398"/>
    <mergeCell ref="F399:J399"/>
    <mergeCell ref="B411:C411"/>
    <mergeCell ref="P411:Q411"/>
    <mergeCell ref="C425:K425"/>
    <mergeCell ref="N425:R425"/>
    <mergeCell ref="C426:K426"/>
    <mergeCell ref="N426:R426"/>
    <mergeCell ref="C427:K427"/>
    <mergeCell ref="N427:R427"/>
    <mergeCell ref="B428:R428"/>
    <mergeCell ref="F429:J429"/>
    <mergeCell ref="B441:C441"/>
    <mergeCell ref="D441:O441"/>
    <mergeCell ref="P441:Q441"/>
    <mergeCell ref="B442:O442"/>
    <mergeCell ref="B443:O443"/>
    <mergeCell ref="B444:O444"/>
    <mergeCell ref="J453:M453"/>
    <mergeCell ref="N453:R453"/>
    <mergeCell ref="P442:R442"/>
    <mergeCell ref="P446:R446"/>
    <mergeCell ref="B451:R451"/>
    <mergeCell ref="B452:E452"/>
    <mergeCell ref="J452:M452"/>
    <mergeCell ref="N452:R452"/>
    <mergeCell ref="B453:E453"/>
    <mergeCell ref="B454:R454"/>
    <mergeCell ref="C455:K455"/>
    <mergeCell ref="N455:R455"/>
    <mergeCell ref="C456:K456"/>
    <mergeCell ref="N456:R456"/>
    <mergeCell ref="C457:K457"/>
    <mergeCell ref="N457:R457"/>
    <mergeCell ref="B458:R458"/>
    <mergeCell ref="F459:J459"/>
    <mergeCell ref="B471:C471"/>
    <mergeCell ref="D471:O471"/>
    <mergeCell ref="P471:Q471"/>
    <mergeCell ref="B472:O472"/>
    <mergeCell ref="P472:R472"/>
    <mergeCell ref="B304:R304"/>
    <mergeCell ref="C305:K305"/>
    <mergeCell ref="N305:R305"/>
    <mergeCell ref="C306:K306"/>
    <mergeCell ref="N306:R306"/>
    <mergeCell ref="C307:K307"/>
    <mergeCell ref="N307:R307"/>
    <mergeCell ref="B308:R308"/>
    <mergeCell ref="F309:J309"/>
    <mergeCell ref="B321:C321"/>
    <mergeCell ref="D321:O321"/>
    <mergeCell ref="P321:Q321"/>
    <mergeCell ref="B322:O322"/>
    <mergeCell ref="P322:R322"/>
    <mergeCell ref="J332:M332"/>
    <mergeCell ref="J333:M333"/>
    <mergeCell ref="B323:O323"/>
    <mergeCell ref="B324:O324"/>
    <mergeCell ref="P326:R326"/>
    <mergeCell ref="B331:R331"/>
    <mergeCell ref="B332:E332"/>
    <mergeCell ref="N332:R332"/>
    <mergeCell ref="B333:E333"/>
    <mergeCell ref="N333:R333"/>
    <mergeCell ref="B334:R334"/>
    <mergeCell ref="C335:K335"/>
    <mergeCell ref="N335:R335"/>
    <mergeCell ref="C336:K336"/>
    <mergeCell ref="N336:R336"/>
    <mergeCell ref="N337:R337"/>
    <mergeCell ref="C337:K337"/>
    <mergeCell ref="B338:R338"/>
    <mergeCell ref="F339:J339"/>
    <mergeCell ref="B351:C351"/>
    <mergeCell ref="D351:O351"/>
    <mergeCell ref="P351:Q351"/>
    <mergeCell ref="P352:R352"/>
    <mergeCell ref="J482:M482"/>
    <mergeCell ref="J483:M483"/>
    <mergeCell ref="B473:O473"/>
    <mergeCell ref="B474:O474"/>
    <mergeCell ref="P476:R476"/>
    <mergeCell ref="B481:R481"/>
    <mergeCell ref="B482:E482"/>
    <mergeCell ref="N482:R482"/>
    <mergeCell ref="B483:E483"/>
    <mergeCell ref="N483:R483"/>
    <mergeCell ref="B484:R484"/>
    <mergeCell ref="C485:K485"/>
    <mergeCell ref="N485:R485"/>
    <mergeCell ref="C486:K486"/>
    <mergeCell ref="N486:R486"/>
    <mergeCell ref="N487:R487"/>
    <mergeCell ref="C487:K487"/>
    <mergeCell ref="B488:R488"/>
    <mergeCell ref="F489:J489"/>
    <mergeCell ref="B501:C501"/>
    <mergeCell ref="D501:O501"/>
    <mergeCell ref="P501:Q501"/>
    <mergeCell ref="P502:R502"/>
    <mergeCell ref="B502:O502"/>
    <mergeCell ref="B503:O503"/>
    <mergeCell ref="B504:O504"/>
    <mergeCell ref="P506:R506"/>
    <mergeCell ref="B511:R511"/>
    <mergeCell ref="J512:M512"/>
    <mergeCell ref="N512:R512"/>
    <mergeCell ref="N515:R515"/>
    <mergeCell ref="N516:R516"/>
    <mergeCell ref="B512:E512"/>
    <mergeCell ref="B513:E513"/>
    <mergeCell ref="J513:M513"/>
    <mergeCell ref="N513:R513"/>
    <mergeCell ref="B514:R514"/>
    <mergeCell ref="C515:K515"/>
    <mergeCell ref="C516:K516"/>
    <mergeCell ref="C517:K517"/>
    <mergeCell ref="N517:R517"/>
    <mergeCell ref="B518:R518"/>
    <mergeCell ref="F519:J519"/>
    <mergeCell ref="B531:C531"/>
    <mergeCell ref="D531:O531"/>
    <mergeCell ref="P531:Q531"/>
    <mergeCell ref="J601:M601"/>
    <mergeCell ref="N601:R601"/>
    <mergeCell ref="P591:R591"/>
    <mergeCell ref="P595:R595"/>
    <mergeCell ref="B599:R599"/>
    <mergeCell ref="B600:E600"/>
    <mergeCell ref="J600:M600"/>
    <mergeCell ref="N600:R600"/>
    <mergeCell ref="B601:E601"/>
    <mergeCell ref="C719:K719"/>
    <mergeCell ref="N719:R719"/>
    <mergeCell ref="C720:K720"/>
    <mergeCell ref="N720:R720"/>
    <mergeCell ref="C721:K721"/>
    <mergeCell ref="N721:R721"/>
    <mergeCell ref="B722:R722"/>
    <mergeCell ref="F723:J723"/>
    <mergeCell ref="B735:C735"/>
    <mergeCell ref="D735:M735"/>
    <mergeCell ref="N735:O735"/>
    <mergeCell ref="B736:O736"/>
    <mergeCell ref="B737:O737"/>
    <mergeCell ref="B738:O738"/>
    <mergeCell ref="J687:M687"/>
    <mergeCell ref="N687:R687"/>
    <mergeCell ref="B678:O678"/>
    <mergeCell ref="P678:R678"/>
    <mergeCell ref="B679:O679"/>
    <mergeCell ref="B680:O680"/>
    <mergeCell ref="P682:R682"/>
    <mergeCell ref="B686:R686"/>
    <mergeCell ref="B687:E687"/>
    <mergeCell ref="B688:E688"/>
    <mergeCell ref="J688:M688"/>
    <mergeCell ref="N688:R688"/>
    <mergeCell ref="B689:R689"/>
    <mergeCell ref="C690:K690"/>
    <mergeCell ref="N690:R690"/>
    <mergeCell ref="N691:R691"/>
    <mergeCell ref="C691:K691"/>
    <mergeCell ref="C692:K692"/>
    <mergeCell ref="N692:R692"/>
    <mergeCell ref="B693:R693"/>
    <mergeCell ref="F694:J694"/>
    <mergeCell ref="B706:C706"/>
    <mergeCell ref="N706:O706"/>
    <mergeCell ref="D706:M706"/>
    <mergeCell ref="B707:O707"/>
    <mergeCell ref="P707:R707"/>
    <mergeCell ref="B708:O708"/>
    <mergeCell ref="B709:O709"/>
    <mergeCell ref="P711:R711"/>
    <mergeCell ref="B715:R715"/>
    <mergeCell ref="B716:E716"/>
    <mergeCell ref="J716:M716"/>
    <mergeCell ref="N716:R716"/>
    <mergeCell ref="B717:E717"/>
    <mergeCell ref="J717:M717"/>
    <mergeCell ref="N717:R717"/>
    <mergeCell ref="B718:R718"/>
    <mergeCell ref="J774:M774"/>
    <mergeCell ref="J775:M775"/>
    <mergeCell ref="C574:K574"/>
    <mergeCell ref="N574:R574"/>
    <mergeCell ref="C575:K575"/>
    <mergeCell ref="N575:R575"/>
    <mergeCell ref="C576:K576"/>
    <mergeCell ref="N576:R576"/>
    <mergeCell ref="B577:R577"/>
    <mergeCell ref="F578:J578"/>
    <mergeCell ref="B590:C590"/>
    <mergeCell ref="D590:M590"/>
    <mergeCell ref="N590:O590"/>
    <mergeCell ref="B591:O591"/>
    <mergeCell ref="B592:O592"/>
    <mergeCell ref="B593:O593"/>
    <mergeCell ref="B602:R602"/>
    <mergeCell ref="C603:K603"/>
    <mergeCell ref="N603:R603"/>
    <mergeCell ref="C604:K604"/>
    <mergeCell ref="N604:R604"/>
    <mergeCell ref="C605:K605"/>
    <mergeCell ref="N605:R605"/>
    <mergeCell ref="B606:R606"/>
    <mergeCell ref="F607:J607"/>
    <mergeCell ref="B619:C619"/>
    <mergeCell ref="D619:M619"/>
    <mergeCell ref="N619:O619"/>
    <mergeCell ref="B620:O620"/>
    <mergeCell ref="P620:R620"/>
    <mergeCell ref="J542:M542"/>
    <mergeCell ref="N542:R542"/>
    <mergeCell ref="B532:O532"/>
    <mergeCell ref="P532:R532"/>
    <mergeCell ref="B533:O533"/>
    <mergeCell ref="B534:O534"/>
    <mergeCell ref="P536:R536"/>
    <mergeCell ref="B541:R541"/>
    <mergeCell ref="B542:E542"/>
    <mergeCell ref="B543:E543"/>
    <mergeCell ref="J543:M543"/>
    <mergeCell ref="N543:R543"/>
    <mergeCell ref="B544:R544"/>
    <mergeCell ref="C545:K545"/>
    <mergeCell ref="N545:R545"/>
    <mergeCell ref="N546:R546"/>
    <mergeCell ref="C546:K546"/>
    <mergeCell ref="C547:K547"/>
    <mergeCell ref="N547:R547"/>
    <mergeCell ref="B548:R548"/>
    <mergeCell ref="F549:J549"/>
    <mergeCell ref="B561:C561"/>
    <mergeCell ref="N561:O561"/>
    <mergeCell ref="D561:M561"/>
    <mergeCell ref="B562:O562"/>
    <mergeCell ref="P562:R562"/>
    <mergeCell ref="B563:O563"/>
    <mergeCell ref="B564:O564"/>
    <mergeCell ref="P566:R566"/>
    <mergeCell ref="B570:R570"/>
    <mergeCell ref="B571:E571"/>
    <mergeCell ref="J571:M571"/>
    <mergeCell ref="N571:R571"/>
    <mergeCell ref="B572:E572"/>
    <mergeCell ref="J572:M572"/>
    <mergeCell ref="N572:R572"/>
    <mergeCell ref="B573:R573"/>
    <mergeCell ref="J629:M629"/>
    <mergeCell ref="J630:M630"/>
    <mergeCell ref="B621:O621"/>
    <mergeCell ref="B622:O622"/>
    <mergeCell ref="P624:R624"/>
    <mergeCell ref="B628:R628"/>
    <mergeCell ref="B629:E629"/>
    <mergeCell ref="N629:R629"/>
    <mergeCell ref="B630:E630"/>
    <mergeCell ref="N630:R630"/>
    <mergeCell ref="B631:R631"/>
    <mergeCell ref="C632:K632"/>
    <mergeCell ref="N632:R632"/>
    <mergeCell ref="C633:K633"/>
    <mergeCell ref="N633:R633"/>
    <mergeCell ref="N634:R634"/>
    <mergeCell ref="C634:K634"/>
    <mergeCell ref="B635:R635"/>
    <mergeCell ref="F636:J636"/>
    <mergeCell ref="B648:C648"/>
    <mergeCell ref="D648:M648"/>
    <mergeCell ref="N648:O648"/>
    <mergeCell ref="P649:R649"/>
    <mergeCell ref="B649:O649"/>
    <mergeCell ref="B650:O650"/>
    <mergeCell ref="B651:O651"/>
    <mergeCell ref="P653:R653"/>
    <mergeCell ref="B657:R657"/>
    <mergeCell ref="J658:M658"/>
    <mergeCell ref="N658:R658"/>
    <mergeCell ref="N661:R661"/>
    <mergeCell ref="N662:R662"/>
    <mergeCell ref="B658:E658"/>
    <mergeCell ref="B659:E659"/>
    <mergeCell ref="J659:M659"/>
    <mergeCell ref="N659:R659"/>
    <mergeCell ref="B660:R660"/>
    <mergeCell ref="C661:K661"/>
    <mergeCell ref="C662:K662"/>
    <mergeCell ref="C663:K663"/>
    <mergeCell ref="N663:R663"/>
    <mergeCell ref="B664:R664"/>
    <mergeCell ref="F665:J665"/>
    <mergeCell ref="B677:C677"/>
    <mergeCell ref="D677:M677"/>
    <mergeCell ref="N677:O677"/>
    <mergeCell ref="J746:M746"/>
    <mergeCell ref="N746:R746"/>
    <mergeCell ref="P736:R736"/>
    <mergeCell ref="P740:R740"/>
    <mergeCell ref="B744:R744"/>
    <mergeCell ref="B745:E745"/>
    <mergeCell ref="J745:M745"/>
    <mergeCell ref="N745:R745"/>
    <mergeCell ref="B746:E746"/>
    <mergeCell ref="B747:R747"/>
    <mergeCell ref="C748:K748"/>
    <mergeCell ref="N748:R748"/>
    <mergeCell ref="C749:K749"/>
    <mergeCell ref="N749:R749"/>
    <mergeCell ref="C750:K750"/>
    <mergeCell ref="N750:R750"/>
    <mergeCell ref="B751:R751"/>
    <mergeCell ref="F752:J752"/>
    <mergeCell ref="B764:C764"/>
    <mergeCell ref="D764:M764"/>
    <mergeCell ref="N764:O764"/>
    <mergeCell ref="B765:O765"/>
    <mergeCell ref="P765:R765"/>
    <mergeCell ref="B766:O766"/>
    <mergeCell ref="B767:O767"/>
    <mergeCell ref="P769:R769"/>
    <mergeCell ref="B773:R773"/>
    <mergeCell ref="B774:E774"/>
    <mergeCell ref="N774:R774"/>
    <mergeCell ref="B775:E775"/>
    <mergeCell ref="N775:R775"/>
    <mergeCell ref="B776:R776"/>
    <mergeCell ref="C777:K777"/>
    <mergeCell ref="N777:R777"/>
    <mergeCell ref="C778:K778"/>
    <mergeCell ref="N778:R778"/>
    <mergeCell ref="N779:R779"/>
    <mergeCell ref="C779:K779"/>
    <mergeCell ref="B780:R780"/>
    <mergeCell ref="F781:J781"/>
    <mergeCell ref="B793:C793"/>
    <mergeCell ref="D793:M793"/>
    <mergeCell ref="N793:O793"/>
    <mergeCell ref="P794:R794"/>
    <mergeCell ref="B794:O794"/>
    <mergeCell ref="B795:O795"/>
    <mergeCell ref="B796:O796"/>
    <mergeCell ref="P798:R798"/>
    <mergeCell ref="B802:R802"/>
    <mergeCell ref="J803:M803"/>
    <mergeCell ref="N803:R803"/>
    <mergeCell ref="N806:R806"/>
    <mergeCell ref="N807:R807"/>
    <mergeCell ref="B803:E803"/>
    <mergeCell ref="B804:E804"/>
    <mergeCell ref="J804:M804"/>
    <mergeCell ref="N804:R804"/>
    <mergeCell ref="B805:R805"/>
    <mergeCell ref="C806:K806"/>
    <mergeCell ref="C807:K807"/>
    <mergeCell ref="C808:K808"/>
    <mergeCell ref="N808:R808"/>
    <mergeCell ref="B809:R809"/>
    <mergeCell ref="F810:J810"/>
    <mergeCell ref="B822:C822"/>
    <mergeCell ref="D822:M822"/>
    <mergeCell ref="N822:O822"/>
    <mergeCell ref="C866:K866"/>
    <mergeCell ref="N866:R866"/>
    <mergeCell ref="C867:K867"/>
    <mergeCell ref="N867:R867"/>
    <mergeCell ref="C868:K868"/>
    <mergeCell ref="N868:R868"/>
    <mergeCell ref="B869:R869"/>
    <mergeCell ref="F870:J870"/>
    <mergeCell ref="B882:C882"/>
    <mergeCell ref="D882:M882"/>
    <mergeCell ref="N882:O882"/>
    <mergeCell ref="B883:O883"/>
    <mergeCell ref="B884:O884"/>
    <mergeCell ref="B885:O885"/>
    <mergeCell ref="J894:M894"/>
    <mergeCell ref="N894:R894"/>
    <mergeCell ref="P883:R883"/>
    <mergeCell ref="P887:R887"/>
    <mergeCell ref="B892:R892"/>
    <mergeCell ref="B893:E893"/>
    <mergeCell ref="J893:M893"/>
    <mergeCell ref="N893:R893"/>
    <mergeCell ref="B894:E894"/>
    <mergeCell ref="B895:R895"/>
    <mergeCell ref="C896:K896"/>
    <mergeCell ref="N896:R896"/>
    <mergeCell ref="C897:K897"/>
    <mergeCell ref="N897:R897"/>
    <mergeCell ref="C898:K898"/>
    <mergeCell ref="N898:R898"/>
    <mergeCell ref="B899:R899"/>
    <mergeCell ref="F900:J900"/>
    <mergeCell ref="B912:C912"/>
    <mergeCell ref="D912:M912"/>
    <mergeCell ref="N912:O912"/>
    <mergeCell ref="B913:O913"/>
    <mergeCell ref="P913:R913"/>
    <mergeCell ref="J833:M833"/>
    <mergeCell ref="N833:R833"/>
    <mergeCell ref="B823:O823"/>
    <mergeCell ref="P823:R823"/>
    <mergeCell ref="B824:O824"/>
    <mergeCell ref="B825:O825"/>
    <mergeCell ref="P827:R827"/>
    <mergeCell ref="B832:R832"/>
    <mergeCell ref="B833:E833"/>
    <mergeCell ref="B834:E834"/>
    <mergeCell ref="J834:M834"/>
    <mergeCell ref="N834:R834"/>
    <mergeCell ref="B835:R835"/>
    <mergeCell ref="C836:K836"/>
    <mergeCell ref="N836:R836"/>
    <mergeCell ref="N837:R837"/>
    <mergeCell ref="C837:K837"/>
    <mergeCell ref="C838:K838"/>
    <mergeCell ref="N838:R838"/>
    <mergeCell ref="B839:R839"/>
    <mergeCell ref="F840:J840"/>
    <mergeCell ref="B852:C852"/>
    <mergeCell ref="N852:O852"/>
    <mergeCell ref="D852:M852"/>
    <mergeCell ref="B853:O853"/>
    <mergeCell ref="P853:R853"/>
    <mergeCell ref="B854:O854"/>
    <mergeCell ref="B855:O855"/>
    <mergeCell ref="P857:R857"/>
    <mergeCell ref="B862:R862"/>
    <mergeCell ref="B863:E863"/>
    <mergeCell ref="J863:M863"/>
    <mergeCell ref="N863:R863"/>
    <mergeCell ref="B864:E864"/>
    <mergeCell ref="J864:M864"/>
    <mergeCell ref="N864:R864"/>
    <mergeCell ref="B865:R865"/>
    <mergeCell ref="J923:M923"/>
    <mergeCell ref="J924:M924"/>
    <mergeCell ref="B914:O914"/>
    <mergeCell ref="B915:O915"/>
    <mergeCell ref="P917:R917"/>
    <mergeCell ref="B922:R922"/>
    <mergeCell ref="B923:E923"/>
    <mergeCell ref="N923:R923"/>
    <mergeCell ref="B924:E924"/>
    <mergeCell ref="N924:R924"/>
    <mergeCell ref="B925:R925"/>
    <mergeCell ref="C926:K926"/>
    <mergeCell ref="N926:R926"/>
    <mergeCell ref="C927:K927"/>
    <mergeCell ref="N927:R927"/>
    <mergeCell ref="N928:R928"/>
    <mergeCell ref="C928:K928"/>
    <mergeCell ref="B929:R929"/>
    <mergeCell ref="F930:J930"/>
    <mergeCell ref="B942:C942"/>
    <mergeCell ref="D942:M942"/>
    <mergeCell ref="N942:O942"/>
    <mergeCell ref="P943:R943"/>
    <mergeCell ref="B943:O943"/>
    <mergeCell ref="B944:O944"/>
    <mergeCell ref="B945:O945"/>
    <mergeCell ref="P947:R947"/>
    <mergeCell ref="B952:R952"/>
    <mergeCell ref="J953:M953"/>
    <mergeCell ref="N953:R953"/>
    <mergeCell ref="N956:R956"/>
    <mergeCell ref="N957:R957"/>
    <mergeCell ref="B953:E953"/>
    <mergeCell ref="B954:E954"/>
    <mergeCell ref="J954:M954"/>
    <mergeCell ref="N954:R954"/>
    <mergeCell ref="B955:R955"/>
    <mergeCell ref="C956:K956"/>
    <mergeCell ref="C957:K957"/>
    <mergeCell ref="C958:K958"/>
    <mergeCell ref="N958:R958"/>
    <mergeCell ref="B959:R959"/>
    <mergeCell ref="F960:J960"/>
    <mergeCell ref="B972:C972"/>
    <mergeCell ref="D972:M972"/>
    <mergeCell ref="N972:O972"/>
    <mergeCell ref="J1045:M1045"/>
    <mergeCell ref="N1045:R1045"/>
    <mergeCell ref="P1033:R1033"/>
    <mergeCell ref="P1037:R1037"/>
    <mergeCell ref="B1043:R1043"/>
    <mergeCell ref="B1044:E1044"/>
    <mergeCell ref="J1044:M1044"/>
    <mergeCell ref="N1044:R1044"/>
    <mergeCell ref="B1045:E1045"/>
    <mergeCell ref="B1046:R1046"/>
    <mergeCell ref="C1047:K1047"/>
    <mergeCell ref="N1047:R1047"/>
    <mergeCell ref="C1048:K1048"/>
    <mergeCell ref="N1048:R1048"/>
    <mergeCell ref="C1049:K1049"/>
    <mergeCell ref="N1049:R1049"/>
    <mergeCell ref="B1050:R1050"/>
    <mergeCell ref="F1051:J1051"/>
    <mergeCell ref="B1063:C1063"/>
    <mergeCell ref="D1063:M1063"/>
    <mergeCell ref="N1063:O1063"/>
    <mergeCell ref="B1064:O1064"/>
    <mergeCell ref="P1064:R1064"/>
    <mergeCell ref="C1325:K1325"/>
    <mergeCell ref="N1325:R1325"/>
    <mergeCell ref="C1326:K1326"/>
    <mergeCell ref="N1326:R1326"/>
    <mergeCell ref="C1327:K1327"/>
    <mergeCell ref="N1327:R1327"/>
    <mergeCell ref="B1328:R1328"/>
    <mergeCell ref="F1329:J1329"/>
    <mergeCell ref="B1341:C1341"/>
    <mergeCell ref="D1341:M1341"/>
    <mergeCell ref="N1341:O1341"/>
    <mergeCell ref="B1342:O1342"/>
    <mergeCell ref="B1343:O1343"/>
    <mergeCell ref="B1344:O1344"/>
    <mergeCell ref="J1291:M1291"/>
    <mergeCell ref="N1291:R1291"/>
    <mergeCell ref="B1279:O1279"/>
    <mergeCell ref="P1279:R1279"/>
    <mergeCell ref="B1280:O1280"/>
    <mergeCell ref="B1281:O1281"/>
    <mergeCell ref="P1283:R1283"/>
    <mergeCell ref="B1290:R1290"/>
    <mergeCell ref="B1291:E1291"/>
    <mergeCell ref="B1292:E1292"/>
    <mergeCell ref="J1292:M1292"/>
    <mergeCell ref="N1292:R1292"/>
    <mergeCell ref="B1293:R1293"/>
    <mergeCell ref="C1294:K1294"/>
    <mergeCell ref="N1294:R1294"/>
    <mergeCell ref="N1295:R1295"/>
    <mergeCell ref="C1295:K1295"/>
    <mergeCell ref="C1296:K1296"/>
    <mergeCell ref="N1296:R1296"/>
    <mergeCell ref="B1297:R1297"/>
    <mergeCell ref="F1298:J1298"/>
    <mergeCell ref="B1310:C1310"/>
    <mergeCell ref="N1310:O1310"/>
    <mergeCell ref="D1310:M1310"/>
    <mergeCell ref="B1311:O1311"/>
    <mergeCell ref="P1311:R1311"/>
    <mergeCell ref="B1312:O1312"/>
    <mergeCell ref="B1313:O1313"/>
    <mergeCell ref="P1315:R1315"/>
    <mergeCell ref="B1321:R1321"/>
    <mergeCell ref="B1322:E1322"/>
    <mergeCell ref="J1322:M1322"/>
    <mergeCell ref="N1322:R1322"/>
    <mergeCell ref="B1323:E1323"/>
    <mergeCell ref="J1323:M1323"/>
    <mergeCell ref="N1323:R1323"/>
    <mergeCell ref="B1324:R1324"/>
    <mergeCell ref="B1359:R1359"/>
    <mergeCell ref="F1360:J1360"/>
    <mergeCell ref="B1355:R1355"/>
    <mergeCell ref="C1356:K1356"/>
    <mergeCell ref="N1356:R1356"/>
    <mergeCell ref="C1357:K1357"/>
    <mergeCell ref="N1357:R1357"/>
    <mergeCell ref="C1358:K1358"/>
    <mergeCell ref="N1358:R1358"/>
    <mergeCell ref="N2162:R2162"/>
    <mergeCell ref="N2163:R2163"/>
    <mergeCell ref="C2164:K2164"/>
    <mergeCell ref="N2164:R2164"/>
    <mergeCell ref="B2165:R2165"/>
    <mergeCell ref="F2166:J2166"/>
    <mergeCell ref="B2178:C2178"/>
    <mergeCell ref="D2178:M2178"/>
    <mergeCell ref="N2178:O2178"/>
    <mergeCell ref="B2179:O2179"/>
    <mergeCell ref="P2179:R2179"/>
    <mergeCell ref="B2180:O2180"/>
    <mergeCell ref="B2181:O2181"/>
    <mergeCell ref="P2183:R2183"/>
    <mergeCell ref="B2100:R2100"/>
    <mergeCell ref="C2101:K2101"/>
    <mergeCell ref="N2101:R2101"/>
    <mergeCell ref="C2102:K2102"/>
    <mergeCell ref="N2102:R2102"/>
    <mergeCell ref="C2103:K2103"/>
    <mergeCell ref="N2103:R2103"/>
    <mergeCell ref="B2104:R2104"/>
    <mergeCell ref="F2105:J2105"/>
    <mergeCell ref="B2117:C2117"/>
    <mergeCell ref="D2117:M2117"/>
    <mergeCell ref="N2117:O2117"/>
    <mergeCell ref="B2118:O2118"/>
    <mergeCell ref="P2118:R2118"/>
    <mergeCell ref="J2129:M2129"/>
    <mergeCell ref="J2130:M2130"/>
    <mergeCell ref="B2119:O2119"/>
    <mergeCell ref="B2120:O2120"/>
    <mergeCell ref="P2122:R2122"/>
    <mergeCell ref="B2128:R2128"/>
    <mergeCell ref="B2129:E2129"/>
    <mergeCell ref="N2129:R2129"/>
    <mergeCell ref="B2130:E2130"/>
    <mergeCell ref="N2130:R2130"/>
    <mergeCell ref="B2131:R2131"/>
    <mergeCell ref="C2132:K2132"/>
    <mergeCell ref="N2132:R2132"/>
    <mergeCell ref="C2133:K2133"/>
    <mergeCell ref="N2133:R2133"/>
    <mergeCell ref="N2134:R2134"/>
    <mergeCell ref="C2134:K2134"/>
    <mergeCell ref="B2135:R2135"/>
    <mergeCell ref="F2136:J2136"/>
    <mergeCell ref="B2148:C2148"/>
    <mergeCell ref="D2148:M2148"/>
    <mergeCell ref="N2148:O2148"/>
    <mergeCell ref="P2149:R2149"/>
    <mergeCell ref="B2189:R2189"/>
    <mergeCell ref="B2190:E2190"/>
    <mergeCell ref="J2190:M2190"/>
    <mergeCell ref="N2190:R2190"/>
    <mergeCell ref="B2191:E2191"/>
    <mergeCell ref="J2191:M2191"/>
    <mergeCell ref="N2191:R2191"/>
    <mergeCell ref="N1978:R1978"/>
    <mergeCell ref="N1979:R1979"/>
    <mergeCell ref="C1980:K1980"/>
    <mergeCell ref="N1980:R1980"/>
    <mergeCell ref="B1981:R1981"/>
    <mergeCell ref="F1982:J1982"/>
    <mergeCell ref="B1994:C1994"/>
    <mergeCell ref="D1994:M1994"/>
    <mergeCell ref="N1994:O1994"/>
    <mergeCell ref="B1995:O1995"/>
    <mergeCell ref="P1995:R1995"/>
    <mergeCell ref="B1996:O1996"/>
    <mergeCell ref="B1997:O1997"/>
    <mergeCell ref="P1999:R1999"/>
    <mergeCell ref="B1915:R1915"/>
    <mergeCell ref="C1916:K1916"/>
    <mergeCell ref="N1916:R1916"/>
    <mergeCell ref="C1917:K1917"/>
    <mergeCell ref="N1917:R1917"/>
    <mergeCell ref="C1918:K1918"/>
    <mergeCell ref="N1918:R1918"/>
    <mergeCell ref="B1919:R1919"/>
    <mergeCell ref="F1920:J1920"/>
    <mergeCell ref="B1932:C1932"/>
    <mergeCell ref="D1932:M1932"/>
    <mergeCell ref="N1932:O1932"/>
    <mergeCell ref="B1933:O1933"/>
    <mergeCell ref="P1933:R1933"/>
    <mergeCell ref="J1944:M1944"/>
    <mergeCell ref="J1945:M1945"/>
    <mergeCell ref="B1934:O1934"/>
    <mergeCell ref="B1935:O1935"/>
    <mergeCell ref="P1937:R1937"/>
    <mergeCell ref="B1943:R1943"/>
    <mergeCell ref="B1944:E1944"/>
    <mergeCell ref="N1944:R1944"/>
    <mergeCell ref="B1945:E1945"/>
    <mergeCell ref="N1945:R1945"/>
    <mergeCell ref="B1946:R1946"/>
    <mergeCell ref="C1947:K1947"/>
    <mergeCell ref="N1947:R1947"/>
    <mergeCell ref="C1948:K1948"/>
    <mergeCell ref="N1948:R1948"/>
    <mergeCell ref="N1949:R1949"/>
    <mergeCell ref="C1949:K1949"/>
    <mergeCell ref="B1950:R1950"/>
    <mergeCell ref="F1951:J1951"/>
    <mergeCell ref="B1963:C1963"/>
    <mergeCell ref="D1963:M1963"/>
    <mergeCell ref="N1963:O1963"/>
    <mergeCell ref="P1964:R1964"/>
    <mergeCell ref="B2005:R2005"/>
    <mergeCell ref="B2006:E2006"/>
    <mergeCell ref="J2006:M2006"/>
    <mergeCell ref="N2006:R2006"/>
    <mergeCell ref="B2007:E2007"/>
    <mergeCell ref="J2007:M2007"/>
    <mergeCell ref="N2007:R2007"/>
    <mergeCell ref="B2057:O2057"/>
    <mergeCell ref="B2058:O2058"/>
    <mergeCell ref="B2059:O2059"/>
    <mergeCell ref="P2061:R2061"/>
    <mergeCell ref="B2066:R2066"/>
    <mergeCell ref="J2067:M2067"/>
    <mergeCell ref="N2067:R2067"/>
    <mergeCell ref="B2067:E2067"/>
    <mergeCell ref="B2068:E2068"/>
    <mergeCell ref="J2068:M2068"/>
    <mergeCell ref="N2068:R2068"/>
    <mergeCell ref="B2069:R2069"/>
    <mergeCell ref="C2070:K2070"/>
    <mergeCell ref="C2071:K2071"/>
    <mergeCell ref="N2070:R2070"/>
    <mergeCell ref="N2071:R2071"/>
    <mergeCell ref="C2072:K2072"/>
    <mergeCell ref="N2072:R2072"/>
    <mergeCell ref="B2073:R2073"/>
    <mergeCell ref="F2074:J2074"/>
    <mergeCell ref="B2086:C2086"/>
    <mergeCell ref="D2086:M2086"/>
    <mergeCell ref="N2086:O2086"/>
    <mergeCell ref="B2087:O2087"/>
    <mergeCell ref="P2087:R2087"/>
    <mergeCell ref="B2088:O2088"/>
    <mergeCell ref="B2089:O2089"/>
    <mergeCell ref="P2091:R2091"/>
    <mergeCell ref="B2008:R2008"/>
    <mergeCell ref="C2009:K2009"/>
    <mergeCell ref="N2009:R2009"/>
    <mergeCell ref="C2010:K2010"/>
    <mergeCell ref="N2010:R2010"/>
    <mergeCell ref="C2011:K2011"/>
    <mergeCell ref="N2011:R2011"/>
    <mergeCell ref="B2012:R2012"/>
    <mergeCell ref="F2013:J2013"/>
    <mergeCell ref="B2025:C2025"/>
    <mergeCell ref="D2025:M2025"/>
    <mergeCell ref="N2025:O2025"/>
    <mergeCell ref="B2026:O2026"/>
    <mergeCell ref="P2026:R2026"/>
    <mergeCell ref="J2037:M2037"/>
    <mergeCell ref="J2038:M2038"/>
    <mergeCell ref="B2027:O2027"/>
    <mergeCell ref="B2028:O2028"/>
    <mergeCell ref="P2030:R2030"/>
    <mergeCell ref="B2036:R2036"/>
    <mergeCell ref="B2037:E2037"/>
    <mergeCell ref="N2037:R2037"/>
    <mergeCell ref="B2038:E2038"/>
    <mergeCell ref="N2038:R2038"/>
    <mergeCell ref="B2039:R2039"/>
    <mergeCell ref="C2040:K2040"/>
    <mergeCell ref="N2040:R2040"/>
    <mergeCell ref="C2041:K2041"/>
    <mergeCell ref="N2041:R2041"/>
    <mergeCell ref="N2042:R2042"/>
    <mergeCell ref="C2042:K2042"/>
    <mergeCell ref="B2043:R2043"/>
    <mergeCell ref="F2044:J2044"/>
    <mergeCell ref="B2056:C2056"/>
    <mergeCell ref="D2056:M2056"/>
    <mergeCell ref="N2056:O2056"/>
    <mergeCell ref="P2057:R2057"/>
    <mergeCell ref="B2097:R2097"/>
    <mergeCell ref="B2098:E2098"/>
    <mergeCell ref="J2098:M2098"/>
    <mergeCell ref="N2098:R2098"/>
    <mergeCell ref="B2099:E2099"/>
    <mergeCell ref="J2099:M2099"/>
    <mergeCell ref="N2099:R2099"/>
    <mergeCell ref="B2149:O2149"/>
    <mergeCell ref="B2150:O2150"/>
    <mergeCell ref="B2151:O2151"/>
    <mergeCell ref="P2153:R2153"/>
    <mergeCell ref="B2158:R2158"/>
    <mergeCell ref="J2159:M2159"/>
    <mergeCell ref="N2159:R2159"/>
    <mergeCell ref="B2159:E2159"/>
    <mergeCell ref="B2160:E2160"/>
    <mergeCell ref="J2160:M2160"/>
    <mergeCell ref="N2160:R2160"/>
    <mergeCell ref="B2161:R2161"/>
    <mergeCell ref="C2162:K2162"/>
    <mergeCell ref="C2163:K2163"/>
    <mergeCell ref="B2240:O2240"/>
    <mergeCell ref="B2241:O2241"/>
    <mergeCell ref="B2242:O2242"/>
    <mergeCell ref="P2244:R2244"/>
    <mergeCell ref="B2248:R2248"/>
    <mergeCell ref="J2249:M2249"/>
    <mergeCell ref="N2249:R2249"/>
    <mergeCell ref="B2249:E2249"/>
    <mergeCell ref="B2250:E2250"/>
    <mergeCell ref="J2250:M2250"/>
    <mergeCell ref="N2250:R2250"/>
    <mergeCell ref="B2251:R2251"/>
    <mergeCell ref="C2252:K2252"/>
    <mergeCell ref="C2253:K2253"/>
    <mergeCell ref="N2423:R2423"/>
    <mergeCell ref="N2424:R2424"/>
    <mergeCell ref="C2425:K2425"/>
    <mergeCell ref="N2425:R2425"/>
    <mergeCell ref="B2426:R2426"/>
    <mergeCell ref="F2427:J2427"/>
    <mergeCell ref="B2439:C2439"/>
    <mergeCell ref="D2439:M2439"/>
    <mergeCell ref="N2439:O2439"/>
    <mergeCell ref="B2440:O2440"/>
    <mergeCell ref="P2440:R2440"/>
    <mergeCell ref="B2441:O2441"/>
    <mergeCell ref="B2442:O2442"/>
    <mergeCell ref="P2444:R2444"/>
    <mergeCell ref="J2361:M2361"/>
    <mergeCell ref="N2361:R2361"/>
    <mergeCell ref="P2350:R2350"/>
    <mergeCell ref="P2354:R2354"/>
    <mergeCell ref="B2359:R2359"/>
    <mergeCell ref="B2360:E2360"/>
    <mergeCell ref="J2360:M2360"/>
    <mergeCell ref="N2360:R2360"/>
    <mergeCell ref="B2361:E2361"/>
    <mergeCell ref="B2362:R2362"/>
    <mergeCell ref="C2363:K2363"/>
    <mergeCell ref="N2363:R2363"/>
    <mergeCell ref="C2364:K2364"/>
    <mergeCell ref="N2364:R2364"/>
    <mergeCell ref="C2365:K2365"/>
    <mergeCell ref="N2365:R2365"/>
    <mergeCell ref="B2366:R2366"/>
    <mergeCell ref="F2367:J2367"/>
    <mergeCell ref="B2379:C2379"/>
    <mergeCell ref="D2379:M2379"/>
    <mergeCell ref="N2379:O2379"/>
    <mergeCell ref="B2380:O2380"/>
    <mergeCell ref="P2380:R2380"/>
    <mergeCell ref="J2390:M2390"/>
    <mergeCell ref="J2391:M2391"/>
    <mergeCell ref="B2381:O2381"/>
    <mergeCell ref="B2382:O2382"/>
    <mergeCell ref="P2384:R2384"/>
    <mergeCell ref="B2389:R2389"/>
    <mergeCell ref="B2390:E2390"/>
    <mergeCell ref="N2390:R2390"/>
    <mergeCell ref="B2391:E2391"/>
    <mergeCell ref="B2449:R2449"/>
    <mergeCell ref="B2450:E2450"/>
    <mergeCell ref="J2450:M2450"/>
    <mergeCell ref="N2450:R2450"/>
    <mergeCell ref="B2451:E2451"/>
    <mergeCell ref="J2451:M2451"/>
    <mergeCell ref="N2451:R2451"/>
    <mergeCell ref="N2252:R2252"/>
    <mergeCell ref="N2253:R2253"/>
    <mergeCell ref="C2254:K2254"/>
    <mergeCell ref="N2254:R2254"/>
    <mergeCell ref="B2255:R2255"/>
    <mergeCell ref="F2256:J2256"/>
    <mergeCell ref="B2268:C2268"/>
    <mergeCell ref="D2268:M2268"/>
    <mergeCell ref="N2268:O2268"/>
    <mergeCell ref="B2269:O2269"/>
    <mergeCell ref="P2269:R2269"/>
    <mergeCell ref="B2270:O2270"/>
    <mergeCell ref="B2271:O2271"/>
    <mergeCell ref="P2273:R2273"/>
    <mergeCell ref="B2192:R2192"/>
    <mergeCell ref="C2193:K2193"/>
    <mergeCell ref="N2193:R2193"/>
    <mergeCell ref="C2194:K2194"/>
    <mergeCell ref="N2194:R2194"/>
    <mergeCell ref="C2195:K2195"/>
    <mergeCell ref="N2195:R2195"/>
    <mergeCell ref="B2196:R2196"/>
    <mergeCell ref="F2197:J2197"/>
    <mergeCell ref="B2209:C2209"/>
    <mergeCell ref="D2209:M2209"/>
    <mergeCell ref="N2209:O2209"/>
    <mergeCell ref="B2210:O2210"/>
    <mergeCell ref="P2210:R2210"/>
    <mergeCell ref="J2220:M2220"/>
    <mergeCell ref="J2221:M2221"/>
    <mergeCell ref="B2211:O2211"/>
    <mergeCell ref="B2212:O2212"/>
    <mergeCell ref="P2214:R2214"/>
    <mergeCell ref="B2219:R2219"/>
    <mergeCell ref="B2220:E2220"/>
    <mergeCell ref="N2220:R2220"/>
    <mergeCell ref="B2221:E2221"/>
    <mergeCell ref="N2221:R2221"/>
    <mergeCell ref="B2222:R2222"/>
    <mergeCell ref="C2223:K2223"/>
    <mergeCell ref="N2223:R2223"/>
    <mergeCell ref="C2224:K2224"/>
    <mergeCell ref="N2224:R2224"/>
    <mergeCell ref="N2225:R2225"/>
    <mergeCell ref="C2225:K2225"/>
    <mergeCell ref="B2226:R2226"/>
    <mergeCell ref="F2227:J2227"/>
    <mergeCell ref="B2239:C2239"/>
    <mergeCell ref="D2239:M2239"/>
    <mergeCell ref="N2239:O2239"/>
    <mergeCell ref="P2240:R2240"/>
    <mergeCell ref="B2278:R2278"/>
    <mergeCell ref="B2279:E2279"/>
    <mergeCell ref="J2279:M2279"/>
    <mergeCell ref="N2279:R2279"/>
    <mergeCell ref="B2280:E2280"/>
    <mergeCell ref="J2280:M2280"/>
    <mergeCell ref="N2280:R2280"/>
    <mergeCell ref="B2330:E2330"/>
    <mergeCell ref="J2330:M2330"/>
    <mergeCell ref="N2330:R2330"/>
    <mergeCell ref="B2331:E2331"/>
    <mergeCell ref="J2331:M2331"/>
    <mergeCell ref="N2331:R2331"/>
    <mergeCell ref="B2332:R2332"/>
    <mergeCell ref="C2333:K2333"/>
    <mergeCell ref="N2333:R2333"/>
    <mergeCell ref="C2334:K2334"/>
    <mergeCell ref="N2334:R2334"/>
    <mergeCell ref="C2335:K2335"/>
    <mergeCell ref="N2335:R2335"/>
    <mergeCell ref="B2336:R2336"/>
    <mergeCell ref="B2281:R2281"/>
    <mergeCell ref="C2282:K2282"/>
    <mergeCell ref="N2282:R2282"/>
    <mergeCell ref="C2283:K2283"/>
    <mergeCell ref="N2283:R2283"/>
    <mergeCell ref="C2284:K2284"/>
    <mergeCell ref="N2284:R2284"/>
    <mergeCell ref="B2285:R2285"/>
    <mergeCell ref="F2286:J2286"/>
    <mergeCell ref="B2298:C2298"/>
    <mergeCell ref="D2298:M2298"/>
    <mergeCell ref="N2298:O2298"/>
    <mergeCell ref="B2299:O2299"/>
    <mergeCell ref="P2299:R2299"/>
    <mergeCell ref="J2309:M2309"/>
    <mergeCell ref="J2310:M2310"/>
    <mergeCell ref="B2300:O2300"/>
    <mergeCell ref="B2301:O2301"/>
    <mergeCell ref="P2303:R2303"/>
    <mergeCell ref="B2308:R2308"/>
    <mergeCell ref="B2309:E2309"/>
    <mergeCell ref="N2309:R2309"/>
    <mergeCell ref="B2310:E2310"/>
    <mergeCell ref="N2310:R2310"/>
    <mergeCell ref="B2311:R2311"/>
    <mergeCell ref="C2312:K2312"/>
    <mergeCell ref="N2312:R2312"/>
    <mergeCell ref="C2313:K2313"/>
    <mergeCell ref="N2313:R2313"/>
    <mergeCell ref="N2314:R2314"/>
    <mergeCell ref="C2314:K2314"/>
    <mergeCell ref="B2315:R2315"/>
    <mergeCell ref="F2316:J2316"/>
    <mergeCell ref="B2321:O2321"/>
    <mergeCell ref="B2322:O2322"/>
    <mergeCell ref="P2324:R2324"/>
    <mergeCell ref="B2329:R2329"/>
    <mergeCell ref="F2337:J2337"/>
    <mergeCell ref="B2349:C2349"/>
    <mergeCell ref="D2349:M2349"/>
    <mergeCell ref="N2349:O2349"/>
    <mergeCell ref="B2350:O2350"/>
    <mergeCell ref="B2351:O2351"/>
    <mergeCell ref="B2352:O2352"/>
    <mergeCell ref="N2391:R2391"/>
    <mergeCell ref="B2392:R2392"/>
    <mergeCell ref="C2393:K2393"/>
    <mergeCell ref="N2393:R2393"/>
    <mergeCell ref="C2394:K2394"/>
    <mergeCell ref="N2394:R2394"/>
    <mergeCell ref="N2395:R2395"/>
    <mergeCell ref="C2395:K2395"/>
    <mergeCell ref="B2396:R2396"/>
    <mergeCell ref="F2397:J2397"/>
    <mergeCell ref="B2409:C2409"/>
    <mergeCell ref="D2409:M2409"/>
    <mergeCell ref="N2409:O2409"/>
    <mergeCell ref="P2410:R2410"/>
    <mergeCell ref="B2410:O2410"/>
    <mergeCell ref="B2411:O2411"/>
    <mergeCell ref="B2412:O2412"/>
    <mergeCell ref="P2414:R2414"/>
    <mergeCell ref="B2419:R2419"/>
    <mergeCell ref="J2420:M2420"/>
    <mergeCell ref="N2420:R2420"/>
    <mergeCell ref="B2420:E2420"/>
    <mergeCell ref="B2421:E2421"/>
    <mergeCell ref="J2421:M2421"/>
    <mergeCell ref="N2421:R2421"/>
    <mergeCell ref="B2422:R2422"/>
    <mergeCell ref="C2423:K2423"/>
    <mergeCell ref="C2424:K2424"/>
    <mergeCell ref="B2500:O2500"/>
    <mergeCell ref="B2501:O2501"/>
    <mergeCell ref="B2502:O2502"/>
    <mergeCell ref="P2504:R2504"/>
    <mergeCell ref="B2509:R2509"/>
    <mergeCell ref="J2510:M2510"/>
    <mergeCell ref="N2510:R2510"/>
    <mergeCell ref="B2510:E2510"/>
    <mergeCell ref="B2511:E2511"/>
    <mergeCell ref="J2511:M2511"/>
    <mergeCell ref="N2511:R2511"/>
    <mergeCell ref="B2512:R2512"/>
    <mergeCell ref="C2513:K2513"/>
    <mergeCell ref="C2514:K2514"/>
    <mergeCell ref="N2513:R2513"/>
    <mergeCell ref="N2514:R2514"/>
    <mergeCell ref="C2515:K2515"/>
    <mergeCell ref="N2515:R2515"/>
    <mergeCell ref="B2516:R2516"/>
    <mergeCell ref="F2517:J2517"/>
    <mergeCell ref="B2529:C2529"/>
    <mergeCell ref="D2529:M2529"/>
    <mergeCell ref="N2529:O2529"/>
    <mergeCell ref="B2530:O2530"/>
    <mergeCell ref="P2530:R2530"/>
    <mergeCell ref="B2531:O2531"/>
    <mergeCell ref="B2532:O2532"/>
    <mergeCell ref="P2534:R2534"/>
    <mergeCell ref="B2452:R2452"/>
    <mergeCell ref="C2453:K2453"/>
    <mergeCell ref="N2453:R2453"/>
    <mergeCell ref="C2454:K2454"/>
    <mergeCell ref="N2454:R2454"/>
    <mergeCell ref="C2455:K2455"/>
    <mergeCell ref="N2455:R2455"/>
    <mergeCell ref="B2456:R2456"/>
    <mergeCell ref="F2457:J2457"/>
    <mergeCell ref="B2469:C2469"/>
    <mergeCell ref="D2469:M2469"/>
    <mergeCell ref="N2469:O2469"/>
    <mergeCell ref="B2470:O2470"/>
    <mergeCell ref="P2470:R2470"/>
    <mergeCell ref="J2480:M2480"/>
    <mergeCell ref="J2481:M2481"/>
    <mergeCell ref="B2471:O2471"/>
    <mergeCell ref="B2472:O2472"/>
    <mergeCell ref="P2474:R2474"/>
    <mergeCell ref="B2479:R2479"/>
    <mergeCell ref="B2480:E2480"/>
    <mergeCell ref="N2480:R2480"/>
    <mergeCell ref="B2481:E2481"/>
    <mergeCell ref="N2481:R2481"/>
    <mergeCell ref="B2482:R2482"/>
    <mergeCell ref="C2483:K2483"/>
    <mergeCell ref="N2483:R2483"/>
    <mergeCell ref="C2484:K2484"/>
    <mergeCell ref="N2484:R2484"/>
    <mergeCell ref="N2485:R2485"/>
    <mergeCell ref="C2485:K2485"/>
    <mergeCell ref="B2486:R2486"/>
    <mergeCell ref="F2487:J2487"/>
    <mergeCell ref="B2499:C2499"/>
    <mergeCell ref="D2499:M2499"/>
    <mergeCell ref="N2499:O2499"/>
    <mergeCell ref="P2500:R2500"/>
    <mergeCell ref="B2540:R2540"/>
    <mergeCell ref="B2541:E2541"/>
    <mergeCell ref="J2541:M2541"/>
    <mergeCell ref="N2541:R2541"/>
    <mergeCell ref="B2542:E2542"/>
    <mergeCell ref="J2542:M2542"/>
    <mergeCell ref="N2542:R2542"/>
    <mergeCell ref="B2591:O2591"/>
    <mergeCell ref="B2592:O2592"/>
    <mergeCell ref="B2593:O2593"/>
    <mergeCell ref="P2595:R2595"/>
    <mergeCell ref="B2601:R2601"/>
    <mergeCell ref="J2602:M2602"/>
    <mergeCell ref="N2602:R2602"/>
    <mergeCell ref="B2602:E2602"/>
    <mergeCell ref="B2603:E2603"/>
    <mergeCell ref="J2603:M2603"/>
    <mergeCell ref="N2603:R2603"/>
    <mergeCell ref="B2604:R2604"/>
    <mergeCell ref="C2605:K2605"/>
    <mergeCell ref="C2606:K2606"/>
    <mergeCell ref="B2632:E2632"/>
    <mergeCell ref="N2632:R2632"/>
    <mergeCell ref="B2633:E2633"/>
    <mergeCell ref="N2633:R2633"/>
    <mergeCell ref="C2635:K2635"/>
    <mergeCell ref="N2635:R2635"/>
    <mergeCell ref="N2636:R2636"/>
    <mergeCell ref="C2636:K2636"/>
    <mergeCell ref="C2637:K2637"/>
    <mergeCell ref="N2637:R2637"/>
    <mergeCell ref="F2639:J2639"/>
    <mergeCell ref="B2651:C2651"/>
    <mergeCell ref="D2651:M2651"/>
    <mergeCell ref="N2651:O2651"/>
    <mergeCell ref="J2662:M2662"/>
    <mergeCell ref="N2662:R2662"/>
    <mergeCell ref="B2652:O2652"/>
    <mergeCell ref="P2652:R2652"/>
    <mergeCell ref="B2653:O2653"/>
    <mergeCell ref="B2654:O2654"/>
    <mergeCell ref="P2656:R2656"/>
    <mergeCell ref="B2661:R2661"/>
    <mergeCell ref="B2662:E2662"/>
    <mergeCell ref="B2663:E2663"/>
    <mergeCell ref="J2663:M2663"/>
    <mergeCell ref="N2663:R2663"/>
    <mergeCell ref="B2664:R2664"/>
    <mergeCell ref="C2665:K2665"/>
    <mergeCell ref="N2665:R2665"/>
    <mergeCell ref="N2666:R2666"/>
    <mergeCell ref="C2666:K2666"/>
    <mergeCell ref="C2667:K2667"/>
    <mergeCell ref="N2667:R2667"/>
    <mergeCell ref="B2668:R2668"/>
    <mergeCell ref="F2669:J2669"/>
    <mergeCell ref="B2681:C2681"/>
    <mergeCell ref="N2681:O2681"/>
    <mergeCell ref="D2681:M2681"/>
    <mergeCell ref="B2682:O2682"/>
    <mergeCell ref="P2682:R2682"/>
    <mergeCell ref="B2683:O2683"/>
    <mergeCell ref="B2684:O2684"/>
    <mergeCell ref="P2686:R2686"/>
    <mergeCell ref="B2692:R2692"/>
    <mergeCell ref="B2693:E2693"/>
    <mergeCell ref="J2693:M2693"/>
    <mergeCell ref="N2693:R2693"/>
    <mergeCell ref="B2694:E2694"/>
    <mergeCell ref="J2694:M2694"/>
    <mergeCell ref="N2694:R2694"/>
    <mergeCell ref="B2695:R2695"/>
    <mergeCell ref="N2605:R2605"/>
    <mergeCell ref="N2606:R2606"/>
    <mergeCell ref="C2607:K2607"/>
    <mergeCell ref="N2607:R2607"/>
    <mergeCell ref="B2608:R2608"/>
    <mergeCell ref="F2609:J2609"/>
    <mergeCell ref="B2621:C2621"/>
    <mergeCell ref="D2621:M2621"/>
    <mergeCell ref="N2621:O2621"/>
    <mergeCell ref="B2622:O2622"/>
    <mergeCell ref="P2622:R2622"/>
    <mergeCell ref="B2623:O2623"/>
    <mergeCell ref="B2624:O2624"/>
    <mergeCell ref="P2626:R2626"/>
    <mergeCell ref="C2696:K2696"/>
    <mergeCell ref="N2696:R2696"/>
    <mergeCell ref="C2697:K2697"/>
    <mergeCell ref="N2697:R2697"/>
    <mergeCell ref="C2698:K2698"/>
    <mergeCell ref="N2698:R2698"/>
    <mergeCell ref="B2699:R2699"/>
    <mergeCell ref="F2700:J2700"/>
    <mergeCell ref="B2712:C2712"/>
    <mergeCell ref="D2712:M2712"/>
    <mergeCell ref="N2712:O2712"/>
    <mergeCell ref="B2713:O2713"/>
    <mergeCell ref="B2714:O2714"/>
    <mergeCell ref="B2715:O2715"/>
    <mergeCell ref="J2725:M2725"/>
    <mergeCell ref="N2725:R2725"/>
    <mergeCell ref="P2713:R2713"/>
    <mergeCell ref="P2717:R2717"/>
    <mergeCell ref="B2723:R2723"/>
    <mergeCell ref="B2724:E2724"/>
    <mergeCell ref="J2724:M2724"/>
    <mergeCell ref="N2724:R2724"/>
    <mergeCell ref="B2725:E2725"/>
    <mergeCell ref="B2543:R2543"/>
    <mergeCell ref="C2544:K2544"/>
    <mergeCell ref="N2544:R2544"/>
    <mergeCell ref="C2545:K2545"/>
    <mergeCell ref="N2545:R2545"/>
    <mergeCell ref="C2546:K2546"/>
    <mergeCell ref="N2546:R2546"/>
    <mergeCell ref="B2547:R2547"/>
    <mergeCell ref="F2548:J2548"/>
    <mergeCell ref="B2560:C2560"/>
    <mergeCell ref="D2560:M2560"/>
    <mergeCell ref="N2560:O2560"/>
    <mergeCell ref="B2561:O2561"/>
    <mergeCell ref="P2561:R2561"/>
    <mergeCell ref="J2571:M2571"/>
    <mergeCell ref="J2572:M2572"/>
    <mergeCell ref="B2562:O2562"/>
    <mergeCell ref="B2563:O2563"/>
    <mergeCell ref="P2565:R2565"/>
    <mergeCell ref="B2570:R2570"/>
    <mergeCell ref="B2571:E2571"/>
    <mergeCell ref="N2571:R2571"/>
    <mergeCell ref="B2572:E2572"/>
    <mergeCell ref="N2572:R2572"/>
    <mergeCell ref="B2573:R2573"/>
    <mergeCell ref="C2574:K2574"/>
    <mergeCell ref="N2574:R2574"/>
    <mergeCell ref="C2575:K2575"/>
    <mergeCell ref="N2575:R2575"/>
    <mergeCell ref="N2576:R2576"/>
    <mergeCell ref="C2576:K2576"/>
    <mergeCell ref="B2577:R2577"/>
    <mergeCell ref="F2578:J2578"/>
    <mergeCell ref="B2590:C2590"/>
    <mergeCell ref="D2590:M2590"/>
    <mergeCell ref="N2590:O2590"/>
    <mergeCell ref="P2591:R2591"/>
    <mergeCell ref="B2745:O2745"/>
    <mergeCell ref="B2746:O2746"/>
    <mergeCell ref="P2748:R2748"/>
    <mergeCell ref="B2726:R2726"/>
    <mergeCell ref="C2727:K2727"/>
    <mergeCell ref="N2727:R2727"/>
    <mergeCell ref="C2728:K2728"/>
    <mergeCell ref="N2728:R2728"/>
    <mergeCell ref="C2729:K2729"/>
    <mergeCell ref="N2729:R2729"/>
    <mergeCell ref="B2730:R2730"/>
    <mergeCell ref="F2731:J2731"/>
    <mergeCell ref="B2743:C2743"/>
    <mergeCell ref="D2743:M2743"/>
    <mergeCell ref="N2743:O2743"/>
    <mergeCell ref="B2744:O2744"/>
    <mergeCell ref="P2744:R2744"/>
    <mergeCell ref="N2758:R2758"/>
    <mergeCell ref="N2759:R2759"/>
    <mergeCell ref="A2755:Q2755"/>
    <mergeCell ref="B2756:E2756"/>
    <mergeCell ref="J2756:M2756"/>
    <mergeCell ref="N2756:R2756"/>
    <mergeCell ref="B2757:R2757"/>
    <mergeCell ref="C2758:K2758"/>
    <mergeCell ref="C2759:K2759"/>
    <mergeCell ref="C2760:K2760"/>
    <mergeCell ref="N2760:R2760"/>
    <mergeCell ref="B2761:R2761"/>
    <mergeCell ref="F2762:J2762"/>
    <mergeCell ref="B2774:C2774"/>
    <mergeCell ref="D2774:M2774"/>
    <mergeCell ref="N2774:O2774"/>
    <mergeCell ref="J2786:M2786"/>
    <mergeCell ref="N2786:R2786"/>
    <mergeCell ref="B2775:O2775"/>
    <mergeCell ref="P2775:R2775"/>
    <mergeCell ref="B2776:O2776"/>
    <mergeCell ref="B2777:O2777"/>
    <mergeCell ref="P2779:R2779"/>
    <mergeCell ref="B2785:R2785"/>
    <mergeCell ref="B2786:E2786"/>
    <mergeCell ref="J2849:M2849"/>
    <mergeCell ref="N2849:R2849"/>
    <mergeCell ref="P2837:R2837"/>
    <mergeCell ref="P2841:R2841"/>
    <mergeCell ref="B2847:R2847"/>
    <mergeCell ref="B2848:E2848"/>
    <mergeCell ref="J2848:M2848"/>
    <mergeCell ref="N2848:R2848"/>
    <mergeCell ref="B2849:E2849"/>
    <mergeCell ref="B2869:O2869"/>
    <mergeCell ref="B2870:O2870"/>
    <mergeCell ref="P2872:R2872"/>
    <mergeCell ref="B2877:R2877"/>
    <mergeCell ref="B2878:E2878"/>
    <mergeCell ref="N2878:R2878"/>
    <mergeCell ref="B2879:E2879"/>
    <mergeCell ref="N2879:R2879"/>
    <mergeCell ref="B2880:R2880"/>
    <mergeCell ref="C2881:K2881"/>
    <mergeCell ref="N2881:R2881"/>
    <mergeCell ref="C2882:K2882"/>
    <mergeCell ref="N2882:R2882"/>
    <mergeCell ref="N2883:R2883"/>
    <mergeCell ref="C2883:K2883"/>
    <mergeCell ref="B2884:R2884"/>
    <mergeCell ref="F2885:J2885"/>
    <mergeCell ref="B2897:C2897"/>
    <mergeCell ref="D2897:M2897"/>
    <mergeCell ref="N2897:O2897"/>
    <mergeCell ref="P2898:R2898"/>
    <mergeCell ref="B2898:O2898"/>
    <mergeCell ref="B2899:O2899"/>
    <mergeCell ref="B2900:O2900"/>
    <mergeCell ref="P2902:R2902"/>
    <mergeCell ref="B2908:R2908"/>
    <mergeCell ref="J2909:M2909"/>
    <mergeCell ref="N2909:R2909"/>
    <mergeCell ref="N2912:R2912"/>
    <mergeCell ref="N2913:R2913"/>
    <mergeCell ref="B2909:E2909"/>
    <mergeCell ref="B2910:E2910"/>
    <mergeCell ref="J2910:M2910"/>
    <mergeCell ref="N2910:R2910"/>
    <mergeCell ref="B2911:R2911"/>
    <mergeCell ref="C2912:K2912"/>
    <mergeCell ref="C2913:K2913"/>
    <mergeCell ref="C2914:K2914"/>
    <mergeCell ref="N2914:R2914"/>
    <mergeCell ref="B2915:R2915"/>
    <mergeCell ref="F2916:J2916"/>
    <mergeCell ref="B2928:C2928"/>
    <mergeCell ref="D2928:M2928"/>
    <mergeCell ref="N2928:O2928"/>
    <mergeCell ref="C3131:K3131"/>
    <mergeCell ref="N3131:R3131"/>
    <mergeCell ref="C3132:K3132"/>
    <mergeCell ref="N3132:R3132"/>
    <mergeCell ref="C3133:K3133"/>
    <mergeCell ref="N3133:R3133"/>
    <mergeCell ref="B3134:R3134"/>
    <mergeCell ref="F3135:J3135"/>
    <mergeCell ref="B3147:C3147"/>
    <mergeCell ref="D3147:M3147"/>
    <mergeCell ref="N3147:O3147"/>
    <mergeCell ref="B3148:O3148"/>
    <mergeCell ref="B3149:O3149"/>
    <mergeCell ref="B3150:O3150"/>
    <mergeCell ref="J3097:M3097"/>
    <mergeCell ref="N3097:R3097"/>
    <mergeCell ref="B3085:O3085"/>
    <mergeCell ref="P3085:R3085"/>
    <mergeCell ref="B3086:O3086"/>
    <mergeCell ref="B3087:O3087"/>
    <mergeCell ref="P3089:R3089"/>
    <mergeCell ref="B3096:R3096"/>
    <mergeCell ref="B3097:E3097"/>
    <mergeCell ref="B3098:E3098"/>
    <mergeCell ref="J3098:M3098"/>
    <mergeCell ref="N3098:R3098"/>
    <mergeCell ref="B3099:R3099"/>
    <mergeCell ref="C3100:K3100"/>
    <mergeCell ref="N3100:R3100"/>
    <mergeCell ref="N3101:R3101"/>
    <mergeCell ref="C3101:K3101"/>
    <mergeCell ref="C3102:K3102"/>
    <mergeCell ref="N3102:R3102"/>
    <mergeCell ref="B3103:R3103"/>
    <mergeCell ref="F3104:J3104"/>
    <mergeCell ref="B3116:C3116"/>
    <mergeCell ref="N3116:O3116"/>
    <mergeCell ref="D3116:M3116"/>
    <mergeCell ref="B3117:O3117"/>
    <mergeCell ref="P3117:R3117"/>
    <mergeCell ref="B3118:O3118"/>
    <mergeCell ref="B3119:O3119"/>
    <mergeCell ref="P3121:R3121"/>
    <mergeCell ref="B3127:R3127"/>
    <mergeCell ref="B3128:E3128"/>
    <mergeCell ref="J3128:M3128"/>
    <mergeCell ref="N3128:R3128"/>
    <mergeCell ref="B3129:E3129"/>
    <mergeCell ref="J3129:M3129"/>
    <mergeCell ref="N3129:R3129"/>
    <mergeCell ref="B3130:R3130"/>
    <mergeCell ref="J3189:M3189"/>
    <mergeCell ref="J3190:M3190"/>
    <mergeCell ref="B3180:O3180"/>
    <mergeCell ref="B3181:O3181"/>
    <mergeCell ref="P3183:R3183"/>
    <mergeCell ref="B3188:R3188"/>
    <mergeCell ref="B3189:E3189"/>
    <mergeCell ref="N3189:R3189"/>
    <mergeCell ref="B3190:E3190"/>
    <mergeCell ref="N3190:R3190"/>
    <mergeCell ref="B3191:R3191"/>
    <mergeCell ref="C3192:K3192"/>
    <mergeCell ref="N3192:R3192"/>
    <mergeCell ref="C3193:K3193"/>
    <mergeCell ref="N3193:R3193"/>
    <mergeCell ref="N3194:R3194"/>
    <mergeCell ref="C3194:K3194"/>
    <mergeCell ref="B3195:R3195"/>
    <mergeCell ref="F3196:J3196"/>
    <mergeCell ref="B3208:C3208"/>
    <mergeCell ref="D3208:M3208"/>
    <mergeCell ref="N3208:O3208"/>
    <mergeCell ref="P3209:R3209"/>
    <mergeCell ref="B3209:O3209"/>
    <mergeCell ref="B3210:O3210"/>
    <mergeCell ref="B3211:O3211"/>
    <mergeCell ref="P3213:R3213"/>
    <mergeCell ref="B3219:R3219"/>
    <mergeCell ref="J3220:M3220"/>
    <mergeCell ref="N3220:R3220"/>
    <mergeCell ref="N3223:R3223"/>
    <mergeCell ref="N3224:R3224"/>
    <mergeCell ref="B3220:E3220"/>
    <mergeCell ref="B3221:E3221"/>
    <mergeCell ref="J3221:M3221"/>
    <mergeCell ref="N3221:R3221"/>
    <mergeCell ref="B3222:R3222"/>
    <mergeCell ref="C3223:K3223"/>
    <mergeCell ref="C3224:K3224"/>
    <mergeCell ref="C3225:K3225"/>
    <mergeCell ref="N3225:R3225"/>
    <mergeCell ref="B3226:R3226"/>
    <mergeCell ref="F3227:J3227"/>
    <mergeCell ref="B3239:C3239"/>
    <mergeCell ref="D3239:M3239"/>
    <mergeCell ref="N3239:O3239"/>
    <mergeCell ref="C3285:K3285"/>
    <mergeCell ref="N3285:R3285"/>
    <mergeCell ref="C3286:K3286"/>
    <mergeCell ref="N3286:R3286"/>
    <mergeCell ref="C3287:K3287"/>
    <mergeCell ref="N3287:R3287"/>
    <mergeCell ref="B3288:R3288"/>
    <mergeCell ref="F3289:J3289"/>
    <mergeCell ref="B3301:C3301"/>
    <mergeCell ref="D3301:M3301"/>
    <mergeCell ref="N3301:O3301"/>
    <mergeCell ref="B3302:O3302"/>
    <mergeCell ref="B3303:O3303"/>
    <mergeCell ref="B3304:O3304"/>
    <mergeCell ref="J3314:M3314"/>
    <mergeCell ref="N3314:R3314"/>
    <mergeCell ref="P3302:R3302"/>
    <mergeCell ref="P3306:R3306"/>
    <mergeCell ref="B3312:R3312"/>
    <mergeCell ref="B3313:E3313"/>
    <mergeCell ref="J3313:M3313"/>
    <mergeCell ref="N3313:R3313"/>
    <mergeCell ref="B3314:E3314"/>
    <mergeCell ref="B3315:R3315"/>
    <mergeCell ref="C3316:K3316"/>
    <mergeCell ref="N3316:R3316"/>
    <mergeCell ref="C3317:K3317"/>
    <mergeCell ref="N3317:R3317"/>
    <mergeCell ref="C3318:K3318"/>
    <mergeCell ref="N3318:R3318"/>
    <mergeCell ref="B3319:R3319"/>
    <mergeCell ref="F3320:J3320"/>
    <mergeCell ref="B3332:C3332"/>
    <mergeCell ref="D3332:M3332"/>
    <mergeCell ref="N3332:O3332"/>
    <mergeCell ref="B3333:O3333"/>
    <mergeCell ref="P3333:R3333"/>
    <mergeCell ref="B3334:O3334"/>
    <mergeCell ref="B3335:O3335"/>
    <mergeCell ref="P3337:R3337"/>
    <mergeCell ref="B3344:R3344"/>
    <mergeCell ref="B3345:E3345"/>
    <mergeCell ref="N3345:R3345"/>
    <mergeCell ref="B3346:E3346"/>
    <mergeCell ref="N3346:R3346"/>
    <mergeCell ref="B3347:R3347"/>
    <mergeCell ref="C3348:K3348"/>
    <mergeCell ref="N3348:R3348"/>
    <mergeCell ref="C3349:K3349"/>
    <mergeCell ref="N3349:R3349"/>
    <mergeCell ref="N3350:R3350"/>
    <mergeCell ref="B3365:O3365"/>
    <mergeCell ref="B3366:O3366"/>
    <mergeCell ref="B3367:O3367"/>
    <mergeCell ref="P3369:R3369"/>
    <mergeCell ref="C3350:K3350"/>
    <mergeCell ref="B3351:R3351"/>
    <mergeCell ref="F3352:J3352"/>
    <mergeCell ref="B3364:C3364"/>
    <mergeCell ref="D3364:M3364"/>
    <mergeCell ref="N3364:O3364"/>
    <mergeCell ref="P3365:R3365"/>
    <mergeCell ref="J3251:M3251"/>
    <mergeCell ref="N3251:R3251"/>
    <mergeCell ref="B3240:O3240"/>
    <mergeCell ref="P3240:R3240"/>
    <mergeCell ref="B3241:O3241"/>
    <mergeCell ref="B3242:O3242"/>
    <mergeCell ref="P3244:R3244"/>
    <mergeCell ref="B3250:R3250"/>
    <mergeCell ref="B3251:E3251"/>
    <mergeCell ref="B3252:E3252"/>
    <mergeCell ref="J3252:M3252"/>
    <mergeCell ref="N3252:R3252"/>
    <mergeCell ref="B3253:R3253"/>
    <mergeCell ref="C3254:K3254"/>
    <mergeCell ref="N3254:R3254"/>
    <mergeCell ref="N3255:R3255"/>
    <mergeCell ref="C3255:K3255"/>
    <mergeCell ref="C3256:K3256"/>
    <mergeCell ref="N3256:R3256"/>
    <mergeCell ref="B3257:R3257"/>
    <mergeCell ref="F3258:J3258"/>
    <mergeCell ref="B3270:C3270"/>
    <mergeCell ref="N3270:O3270"/>
    <mergeCell ref="D3270:M3270"/>
    <mergeCell ref="B3271:O3271"/>
    <mergeCell ref="P3271:R3271"/>
    <mergeCell ref="B3272:O3272"/>
    <mergeCell ref="B3273:O3273"/>
    <mergeCell ref="P3275:R3275"/>
    <mergeCell ref="B3281:R3281"/>
    <mergeCell ref="B3282:E3282"/>
    <mergeCell ref="J3282:M3282"/>
    <mergeCell ref="N3282:R3282"/>
    <mergeCell ref="B3283:E3283"/>
    <mergeCell ref="J3283:M3283"/>
    <mergeCell ref="N3283:R3283"/>
    <mergeCell ref="B3284:R3284"/>
    <mergeCell ref="J3345:M3345"/>
    <mergeCell ref="J3346:M3346"/>
    <mergeCell ref="C2974:K2974"/>
    <mergeCell ref="N2974:R2974"/>
    <mergeCell ref="C2975:K2975"/>
    <mergeCell ref="N2975:R2975"/>
    <mergeCell ref="C2976:K2976"/>
    <mergeCell ref="N2976:R2976"/>
    <mergeCell ref="B2977:R2977"/>
    <mergeCell ref="F2978:J2978"/>
    <mergeCell ref="B2990:C2990"/>
    <mergeCell ref="D2990:M2990"/>
    <mergeCell ref="N2990:O2990"/>
    <mergeCell ref="B2991:O2991"/>
    <mergeCell ref="B2992:O2992"/>
    <mergeCell ref="B2993:O2993"/>
    <mergeCell ref="J3004:M3004"/>
    <mergeCell ref="N3004:R3004"/>
    <mergeCell ref="P2991:R2991"/>
    <mergeCell ref="P2995:R2995"/>
    <mergeCell ref="B3002:R3002"/>
    <mergeCell ref="B3003:E3003"/>
    <mergeCell ref="J3003:M3003"/>
    <mergeCell ref="N3003:R3003"/>
    <mergeCell ref="B3004:E3004"/>
    <mergeCell ref="B3005:R3005"/>
    <mergeCell ref="C3006:K3006"/>
    <mergeCell ref="N3006:R3006"/>
    <mergeCell ref="C3007:K3007"/>
    <mergeCell ref="N3007:R3007"/>
    <mergeCell ref="C3008:K3008"/>
    <mergeCell ref="N3008:R3008"/>
    <mergeCell ref="B3009:R3009"/>
    <mergeCell ref="F3010:J3010"/>
    <mergeCell ref="B3022:C3022"/>
    <mergeCell ref="D3022:M3022"/>
    <mergeCell ref="N3022:O3022"/>
    <mergeCell ref="B3023:O3023"/>
    <mergeCell ref="P3023:R3023"/>
    <mergeCell ref="J2940:M2940"/>
    <mergeCell ref="N2940:R2940"/>
    <mergeCell ref="B2929:O2929"/>
    <mergeCell ref="P2929:R2929"/>
    <mergeCell ref="B2930:O2930"/>
    <mergeCell ref="B2931:O2931"/>
    <mergeCell ref="P2933:R2933"/>
    <mergeCell ref="B2939:R2939"/>
    <mergeCell ref="B2940:E2940"/>
    <mergeCell ref="B2941:E2941"/>
    <mergeCell ref="J2941:M2941"/>
    <mergeCell ref="N2941:R2941"/>
    <mergeCell ref="B2942:R2942"/>
    <mergeCell ref="C2943:K2943"/>
    <mergeCell ref="N2943:R2943"/>
    <mergeCell ref="N2944:R2944"/>
    <mergeCell ref="C2944:K2944"/>
    <mergeCell ref="C2945:K2945"/>
    <mergeCell ref="N2945:R2945"/>
    <mergeCell ref="B2946:R2946"/>
    <mergeCell ref="F2947:J2947"/>
    <mergeCell ref="B2959:C2959"/>
    <mergeCell ref="N2959:O2959"/>
    <mergeCell ref="D2959:M2959"/>
    <mergeCell ref="B2960:O2960"/>
    <mergeCell ref="P2960:R2960"/>
    <mergeCell ref="B2961:O2961"/>
    <mergeCell ref="B2962:O2962"/>
    <mergeCell ref="P2964:R2964"/>
    <mergeCell ref="B2970:R2970"/>
    <mergeCell ref="B2971:E2971"/>
    <mergeCell ref="J2971:M2971"/>
    <mergeCell ref="N2971:R2971"/>
    <mergeCell ref="B2972:E2972"/>
    <mergeCell ref="J2972:M2972"/>
    <mergeCell ref="N2972:R2972"/>
    <mergeCell ref="B2973:R2973"/>
    <mergeCell ref="J3034:M3034"/>
    <mergeCell ref="J3035:M3035"/>
    <mergeCell ref="B3024:O3024"/>
    <mergeCell ref="B3025:O3025"/>
    <mergeCell ref="P3027:R3027"/>
    <mergeCell ref="B3033:R3033"/>
    <mergeCell ref="B3034:E3034"/>
    <mergeCell ref="N3034:R3034"/>
    <mergeCell ref="B3035:E3035"/>
    <mergeCell ref="N3035:R3035"/>
    <mergeCell ref="B3036:R3036"/>
    <mergeCell ref="C3037:K3037"/>
    <mergeCell ref="N3037:R3037"/>
    <mergeCell ref="C3038:K3038"/>
    <mergeCell ref="N3038:R3038"/>
    <mergeCell ref="N3039:R3039"/>
    <mergeCell ref="C3039:K3039"/>
    <mergeCell ref="B3040:R3040"/>
    <mergeCell ref="F3041:J3041"/>
    <mergeCell ref="B3053:C3053"/>
    <mergeCell ref="D3053:M3053"/>
    <mergeCell ref="N3053:O3053"/>
    <mergeCell ref="P3054:R3054"/>
    <mergeCell ref="B3054:O3054"/>
    <mergeCell ref="B3055:O3055"/>
    <mergeCell ref="B3056:O3056"/>
    <mergeCell ref="P3058:R3058"/>
    <mergeCell ref="B3064:R3064"/>
    <mergeCell ref="J3065:M3065"/>
    <mergeCell ref="N3065:R3065"/>
    <mergeCell ref="N3068:R3068"/>
    <mergeCell ref="N3069:R3069"/>
    <mergeCell ref="B3065:E3065"/>
    <mergeCell ref="B3066:E3066"/>
    <mergeCell ref="J3066:M3066"/>
    <mergeCell ref="N3066:R3066"/>
    <mergeCell ref="B3067:R3067"/>
    <mergeCell ref="C3068:K3068"/>
    <mergeCell ref="C3069:K3069"/>
    <mergeCell ref="C3070:K3070"/>
    <mergeCell ref="N3070:R3070"/>
    <mergeCell ref="B3071:R3071"/>
    <mergeCell ref="F3072:J3072"/>
    <mergeCell ref="B3084:C3084"/>
    <mergeCell ref="D3084:M3084"/>
    <mergeCell ref="N3084:O3084"/>
    <mergeCell ref="J3160:M3160"/>
    <mergeCell ref="N3160:R3160"/>
    <mergeCell ref="P3148:R3148"/>
    <mergeCell ref="P3152:R3152"/>
    <mergeCell ref="B3158:R3158"/>
    <mergeCell ref="B3159:E3159"/>
    <mergeCell ref="J3159:M3159"/>
    <mergeCell ref="N3159:R3159"/>
    <mergeCell ref="B3160:E3160"/>
    <mergeCell ref="B3161:R3161"/>
    <mergeCell ref="C3162:K3162"/>
    <mergeCell ref="N3162:R3162"/>
    <mergeCell ref="C3163:K3163"/>
    <mergeCell ref="N3163:R3163"/>
    <mergeCell ref="C3164:K3164"/>
    <mergeCell ref="N3164:R3164"/>
    <mergeCell ref="B3165:R3165"/>
    <mergeCell ref="F3166:J3166"/>
    <mergeCell ref="B3178:C3178"/>
    <mergeCell ref="D3178:M3178"/>
    <mergeCell ref="N3178:O3178"/>
    <mergeCell ref="B3179:O3179"/>
    <mergeCell ref="P3179:R3179"/>
    <mergeCell ref="J1135:M1135"/>
    <mergeCell ref="N1135:R1135"/>
    <mergeCell ref="B1124:O1124"/>
    <mergeCell ref="P1124:R1124"/>
    <mergeCell ref="B1125:O1125"/>
    <mergeCell ref="B1126:O1126"/>
    <mergeCell ref="P1128:R1128"/>
    <mergeCell ref="B1134:R1134"/>
    <mergeCell ref="B1135:E1135"/>
    <mergeCell ref="B1136:E1136"/>
    <mergeCell ref="J1136:M1136"/>
    <mergeCell ref="N1136:R1136"/>
    <mergeCell ref="B1137:R1137"/>
    <mergeCell ref="C1138:K1138"/>
    <mergeCell ref="N1138:R1138"/>
    <mergeCell ref="N1139:R1139"/>
    <mergeCell ref="C1139:K1139"/>
    <mergeCell ref="C1140:K1140"/>
    <mergeCell ref="N1140:R1140"/>
    <mergeCell ref="B1141:R1141"/>
    <mergeCell ref="F1142:J1142"/>
    <mergeCell ref="B1154:C1154"/>
    <mergeCell ref="N1154:O1154"/>
    <mergeCell ref="D1154:M1154"/>
    <mergeCell ref="B1155:O1155"/>
    <mergeCell ref="P1155:R1155"/>
    <mergeCell ref="B1156:O1156"/>
    <mergeCell ref="B1157:O1157"/>
    <mergeCell ref="P1159:R1159"/>
    <mergeCell ref="B1165:R1165"/>
    <mergeCell ref="B1166:E1166"/>
    <mergeCell ref="J1166:M1166"/>
    <mergeCell ref="N1166:R1166"/>
    <mergeCell ref="B1167:E1167"/>
    <mergeCell ref="J1167:M1167"/>
    <mergeCell ref="N1167:R1167"/>
    <mergeCell ref="B1168:R1168"/>
    <mergeCell ref="J1228:M1228"/>
    <mergeCell ref="J1229:M1229"/>
    <mergeCell ref="B1218:O1218"/>
    <mergeCell ref="B1219:O1219"/>
    <mergeCell ref="P1221:R1221"/>
    <mergeCell ref="B1227:R1227"/>
    <mergeCell ref="B1228:E1228"/>
    <mergeCell ref="N1228:R1228"/>
    <mergeCell ref="B1229:E1229"/>
    <mergeCell ref="N1229:R1229"/>
    <mergeCell ref="B1230:R1230"/>
    <mergeCell ref="C1231:K1231"/>
    <mergeCell ref="N1231:R1231"/>
    <mergeCell ref="C1232:K1232"/>
    <mergeCell ref="N1232:R1232"/>
    <mergeCell ref="N1233:R1233"/>
    <mergeCell ref="C1233:K1233"/>
    <mergeCell ref="B1234:R1234"/>
    <mergeCell ref="F1235:J1235"/>
    <mergeCell ref="B1247:C1247"/>
    <mergeCell ref="D1247:M1247"/>
    <mergeCell ref="N1247:O1247"/>
    <mergeCell ref="P1248:R1248"/>
    <mergeCell ref="B1248:O1248"/>
    <mergeCell ref="B1249:O1249"/>
    <mergeCell ref="B1250:O1250"/>
    <mergeCell ref="P1252:R1252"/>
    <mergeCell ref="B1258:R1258"/>
    <mergeCell ref="J1259:M1259"/>
    <mergeCell ref="N1259:R1259"/>
    <mergeCell ref="N1262:R1262"/>
    <mergeCell ref="N1263:R1263"/>
    <mergeCell ref="B1259:E1259"/>
    <mergeCell ref="B1260:E1260"/>
    <mergeCell ref="J1260:M1260"/>
    <mergeCell ref="N1260:R1260"/>
    <mergeCell ref="B1261:R1261"/>
    <mergeCell ref="C1262:K1262"/>
    <mergeCell ref="C1263:K1263"/>
    <mergeCell ref="C1264:K1264"/>
    <mergeCell ref="N1264:R1264"/>
    <mergeCell ref="B1265:R1265"/>
    <mergeCell ref="F1266:J1266"/>
    <mergeCell ref="B1278:C1278"/>
    <mergeCell ref="D1278:M1278"/>
    <mergeCell ref="N1278:O1278"/>
    <mergeCell ref="C1016:K1016"/>
    <mergeCell ref="N1016:R1016"/>
    <mergeCell ref="C1017:K1017"/>
    <mergeCell ref="N1017:R1017"/>
    <mergeCell ref="C1018:K1018"/>
    <mergeCell ref="N1018:R1018"/>
    <mergeCell ref="B1019:R1019"/>
    <mergeCell ref="F1020:J1020"/>
    <mergeCell ref="B1032:C1032"/>
    <mergeCell ref="D1032:M1032"/>
    <mergeCell ref="N1032:O1032"/>
    <mergeCell ref="B1033:O1033"/>
    <mergeCell ref="B1034:O1034"/>
    <mergeCell ref="B1035:O1035"/>
    <mergeCell ref="J983:M983"/>
    <mergeCell ref="N983:R983"/>
    <mergeCell ref="B973:O973"/>
    <mergeCell ref="P973:R973"/>
    <mergeCell ref="B974:O974"/>
    <mergeCell ref="B975:O975"/>
    <mergeCell ref="P977:R977"/>
    <mergeCell ref="B982:R982"/>
    <mergeCell ref="B983:E983"/>
    <mergeCell ref="B984:E984"/>
    <mergeCell ref="J984:M984"/>
    <mergeCell ref="N984:R984"/>
    <mergeCell ref="B985:R985"/>
    <mergeCell ref="C986:K986"/>
    <mergeCell ref="N986:R986"/>
    <mergeCell ref="N987:R987"/>
    <mergeCell ref="C987:K987"/>
    <mergeCell ref="C988:K988"/>
    <mergeCell ref="N988:R988"/>
    <mergeCell ref="B989:R989"/>
    <mergeCell ref="F990:J990"/>
    <mergeCell ref="B1002:C1002"/>
    <mergeCell ref="N1002:O1002"/>
    <mergeCell ref="D1002:M1002"/>
    <mergeCell ref="B1003:O1003"/>
    <mergeCell ref="P1003:R1003"/>
    <mergeCell ref="B1004:O1004"/>
    <mergeCell ref="B1005:O1005"/>
    <mergeCell ref="P1007:R1007"/>
    <mergeCell ref="B1012:R1012"/>
    <mergeCell ref="B1013:E1013"/>
    <mergeCell ref="J1013:M1013"/>
    <mergeCell ref="N1013:R1013"/>
    <mergeCell ref="B1014:E1014"/>
    <mergeCell ref="J1014:M1014"/>
    <mergeCell ref="N1014:R1014"/>
    <mergeCell ref="B1015:R1015"/>
    <mergeCell ref="J1074:M1074"/>
    <mergeCell ref="J1075:M1075"/>
    <mergeCell ref="B1065:O1065"/>
    <mergeCell ref="B1066:O1066"/>
    <mergeCell ref="P1068:R1068"/>
    <mergeCell ref="B1073:R1073"/>
    <mergeCell ref="B1074:E1074"/>
    <mergeCell ref="N1074:R1074"/>
    <mergeCell ref="B1075:E1075"/>
    <mergeCell ref="N1075:R1075"/>
    <mergeCell ref="B1076:R1076"/>
    <mergeCell ref="C1077:K1077"/>
    <mergeCell ref="N1077:R1077"/>
    <mergeCell ref="C1078:K1078"/>
    <mergeCell ref="N1078:R1078"/>
    <mergeCell ref="N1079:R1079"/>
    <mergeCell ref="C1079:K1079"/>
    <mergeCell ref="B1080:R1080"/>
    <mergeCell ref="F1081:J1081"/>
    <mergeCell ref="B1093:C1093"/>
    <mergeCell ref="D1093:M1093"/>
    <mergeCell ref="N1093:O1093"/>
    <mergeCell ref="P1094:R1094"/>
    <mergeCell ref="B1094:O1094"/>
    <mergeCell ref="B1095:O1095"/>
    <mergeCell ref="B1096:O1096"/>
    <mergeCell ref="P1098:R1098"/>
    <mergeCell ref="B1103:R1103"/>
    <mergeCell ref="J1104:M1104"/>
    <mergeCell ref="N1104:R1104"/>
    <mergeCell ref="N1107:R1107"/>
    <mergeCell ref="N1108:R1108"/>
    <mergeCell ref="B1104:E1104"/>
    <mergeCell ref="B1105:E1105"/>
    <mergeCell ref="J1105:M1105"/>
    <mergeCell ref="N1105:R1105"/>
    <mergeCell ref="B1106:R1106"/>
    <mergeCell ref="C1107:K1107"/>
    <mergeCell ref="C1108:K1108"/>
    <mergeCell ref="C1109:K1109"/>
    <mergeCell ref="N1109:R1109"/>
    <mergeCell ref="B1110:R1110"/>
    <mergeCell ref="F1111:J1111"/>
    <mergeCell ref="B1123:C1123"/>
    <mergeCell ref="D1123:M1123"/>
    <mergeCell ref="N1123:O1123"/>
    <mergeCell ref="C1169:K1169"/>
    <mergeCell ref="N1169:R1169"/>
    <mergeCell ref="C1170:K1170"/>
    <mergeCell ref="N1170:R1170"/>
    <mergeCell ref="C1171:K1171"/>
    <mergeCell ref="N1171:R1171"/>
    <mergeCell ref="B1172:R1172"/>
    <mergeCell ref="F1173:J1173"/>
    <mergeCell ref="B1185:C1185"/>
    <mergeCell ref="D1185:M1185"/>
    <mergeCell ref="N1185:O1185"/>
    <mergeCell ref="B1186:O1186"/>
    <mergeCell ref="B1187:O1187"/>
    <mergeCell ref="B1188:O1188"/>
    <mergeCell ref="J1198:M1198"/>
    <mergeCell ref="N1198:R1198"/>
    <mergeCell ref="P1186:R1186"/>
    <mergeCell ref="P1190:R1190"/>
    <mergeCell ref="B1196:R1196"/>
    <mergeCell ref="B1197:E1197"/>
    <mergeCell ref="J1197:M1197"/>
    <mergeCell ref="N1197:R1197"/>
    <mergeCell ref="B1198:E1198"/>
    <mergeCell ref="B1199:R1199"/>
    <mergeCell ref="C1200:K1200"/>
    <mergeCell ref="N1200:R1200"/>
    <mergeCell ref="C1201:K1201"/>
    <mergeCell ref="N1201:R1201"/>
    <mergeCell ref="C1202:K1202"/>
    <mergeCell ref="N1202:R1202"/>
    <mergeCell ref="B1203:R1203"/>
    <mergeCell ref="F1204:J1204"/>
    <mergeCell ref="B1216:C1216"/>
    <mergeCell ref="D1216:M1216"/>
    <mergeCell ref="N1216:O1216"/>
    <mergeCell ref="B1217:O1217"/>
    <mergeCell ref="P1217:R1217"/>
    <mergeCell ref="B1404:O1404"/>
    <mergeCell ref="B1405:O1405"/>
    <mergeCell ref="B1406:O1406"/>
    <mergeCell ref="P1408:R1408"/>
    <mergeCell ref="B1414:R1414"/>
    <mergeCell ref="J1415:M1415"/>
    <mergeCell ref="N1415:R1415"/>
    <mergeCell ref="B1415:E1415"/>
    <mergeCell ref="B1416:E1416"/>
    <mergeCell ref="J1416:M1416"/>
    <mergeCell ref="N1416:R1416"/>
    <mergeCell ref="B1417:R1417"/>
    <mergeCell ref="C1418:K1418"/>
    <mergeCell ref="C1419:K1419"/>
    <mergeCell ref="N1600:R1600"/>
    <mergeCell ref="N1601:R1601"/>
    <mergeCell ref="C1602:K1602"/>
    <mergeCell ref="N1602:R1602"/>
    <mergeCell ref="B1603:R1603"/>
    <mergeCell ref="F1604:J1604"/>
    <mergeCell ref="B1616:C1616"/>
    <mergeCell ref="D1616:M1616"/>
    <mergeCell ref="N1616:O1616"/>
    <mergeCell ref="B1617:O1617"/>
    <mergeCell ref="P1617:R1617"/>
    <mergeCell ref="B1618:O1618"/>
    <mergeCell ref="B1619:O1619"/>
    <mergeCell ref="P1621:R1621"/>
    <mergeCell ref="B1539:R1539"/>
    <mergeCell ref="C1540:K1540"/>
    <mergeCell ref="N1540:R1540"/>
    <mergeCell ref="C1541:K1541"/>
    <mergeCell ref="N1541:R1541"/>
    <mergeCell ref="C1542:K1542"/>
    <mergeCell ref="N1542:R1542"/>
    <mergeCell ref="B1543:R1543"/>
    <mergeCell ref="F1544:J1544"/>
    <mergeCell ref="B1556:C1556"/>
    <mergeCell ref="D1556:M1556"/>
    <mergeCell ref="N1556:O1556"/>
    <mergeCell ref="B1557:O1557"/>
    <mergeCell ref="P1557:R1557"/>
    <mergeCell ref="J1567:M1567"/>
    <mergeCell ref="J1568:M1568"/>
    <mergeCell ref="B1558:O1558"/>
    <mergeCell ref="B1559:O1559"/>
    <mergeCell ref="P1561:R1561"/>
    <mergeCell ref="B1566:R1566"/>
    <mergeCell ref="B1567:E1567"/>
    <mergeCell ref="N1567:R1567"/>
    <mergeCell ref="B1568:E1568"/>
    <mergeCell ref="N1568:R1568"/>
    <mergeCell ref="B1569:R1569"/>
    <mergeCell ref="C1570:K1570"/>
    <mergeCell ref="N1570:R1570"/>
    <mergeCell ref="C1571:K1571"/>
    <mergeCell ref="N1571:R1571"/>
    <mergeCell ref="N1572:R1572"/>
    <mergeCell ref="C1572:K1572"/>
    <mergeCell ref="B1573:R1573"/>
    <mergeCell ref="F1574:J1574"/>
    <mergeCell ref="B1586:C1586"/>
    <mergeCell ref="D1586:M1586"/>
    <mergeCell ref="N1586:O1586"/>
    <mergeCell ref="P1587:R1587"/>
    <mergeCell ref="B1627:R1627"/>
    <mergeCell ref="B1628:E1628"/>
    <mergeCell ref="J1628:M1628"/>
    <mergeCell ref="N1628:R1628"/>
    <mergeCell ref="B1629:E1629"/>
    <mergeCell ref="J1629:M1629"/>
    <mergeCell ref="N1629:R1629"/>
    <mergeCell ref="N1418:R1418"/>
    <mergeCell ref="N1419:R1419"/>
    <mergeCell ref="C1420:K1420"/>
    <mergeCell ref="N1420:R1420"/>
    <mergeCell ref="B1421:R1421"/>
    <mergeCell ref="F1422:J1422"/>
    <mergeCell ref="B1434:C1434"/>
    <mergeCell ref="D1434:M1434"/>
    <mergeCell ref="N1434:O1434"/>
    <mergeCell ref="B1435:O1435"/>
    <mergeCell ref="P1435:R1435"/>
    <mergeCell ref="B1436:O1436"/>
    <mergeCell ref="B1437:O1437"/>
    <mergeCell ref="P1439:R1439"/>
    <mergeCell ref="J1354:M1354"/>
    <mergeCell ref="N1354:R1354"/>
    <mergeCell ref="P1342:R1342"/>
    <mergeCell ref="P1346:R1346"/>
    <mergeCell ref="B1352:R1352"/>
    <mergeCell ref="B1353:E1353"/>
    <mergeCell ref="J1353:M1353"/>
    <mergeCell ref="N1353:R1353"/>
    <mergeCell ref="B1354:E1354"/>
    <mergeCell ref="B1372:C1372"/>
    <mergeCell ref="D1372:M1372"/>
    <mergeCell ref="N1372:O1372"/>
    <mergeCell ref="B1373:O1373"/>
    <mergeCell ref="P1373:R1373"/>
    <mergeCell ref="B1374:O1374"/>
    <mergeCell ref="B1375:O1375"/>
    <mergeCell ref="P1377:R1377"/>
    <mergeCell ref="B1383:R1383"/>
    <mergeCell ref="B1384:E1384"/>
    <mergeCell ref="J1384:M1384"/>
    <mergeCell ref="N1384:R1384"/>
    <mergeCell ref="B1385:E1385"/>
    <mergeCell ref="J1385:M1385"/>
    <mergeCell ref="N1385:R1385"/>
    <mergeCell ref="B1386:R1386"/>
    <mergeCell ref="C1387:K1387"/>
    <mergeCell ref="N1387:R1387"/>
    <mergeCell ref="C1388:K1388"/>
    <mergeCell ref="N1388:R1388"/>
    <mergeCell ref="N1389:R1389"/>
    <mergeCell ref="C1389:K1389"/>
    <mergeCell ref="B1390:R1390"/>
    <mergeCell ref="F1391:J1391"/>
    <mergeCell ref="B1403:C1403"/>
    <mergeCell ref="D1403:M1403"/>
    <mergeCell ref="N1403:O1403"/>
    <mergeCell ref="P1404:R1404"/>
    <mergeCell ref="B1444:R1444"/>
    <mergeCell ref="B1445:E1445"/>
    <mergeCell ref="J1445:M1445"/>
    <mergeCell ref="N1445:R1445"/>
    <mergeCell ref="B1446:E1446"/>
    <mergeCell ref="J1446:M1446"/>
    <mergeCell ref="N1446:R1446"/>
    <mergeCell ref="B1495:O1495"/>
    <mergeCell ref="B1496:O1496"/>
    <mergeCell ref="B1497:O1497"/>
    <mergeCell ref="P1499:R1499"/>
    <mergeCell ref="B1506:R1506"/>
    <mergeCell ref="J1507:M1507"/>
    <mergeCell ref="N1507:R1507"/>
    <mergeCell ref="B1507:E1507"/>
    <mergeCell ref="B1508:E1508"/>
    <mergeCell ref="J1508:M1508"/>
    <mergeCell ref="N1508:R1508"/>
    <mergeCell ref="B1509:R1509"/>
    <mergeCell ref="C1510:K1510"/>
    <mergeCell ref="C1511:K1511"/>
    <mergeCell ref="N1510:R1510"/>
    <mergeCell ref="N1511:R1511"/>
    <mergeCell ref="C1512:K1512"/>
    <mergeCell ref="N1512:R1512"/>
    <mergeCell ref="B1513:R1513"/>
    <mergeCell ref="F1514:J1514"/>
    <mergeCell ref="B1526:C1526"/>
    <mergeCell ref="D1526:M1526"/>
    <mergeCell ref="N1526:O1526"/>
    <mergeCell ref="B1527:O1527"/>
    <mergeCell ref="P1527:R1527"/>
    <mergeCell ref="B1528:O1528"/>
    <mergeCell ref="B1529:O1529"/>
    <mergeCell ref="P1531:R1531"/>
    <mergeCell ref="B1447:R1447"/>
    <mergeCell ref="C1448:K1448"/>
    <mergeCell ref="N1448:R1448"/>
    <mergeCell ref="C1449:K1449"/>
    <mergeCell ref="N1449:R1449"/>
    <mergeCell ref="C1450:K1450"/>
    <mergeCell ref="N1450:R1450"/>
    <mergeCell ref="B1451:R1451"/>
    <mergeCell ref="F1452:J1452"/>
    <mergeCell ref="B1464:C1464"/>
    <mergeCell ref="D1464:M1464"/>
    <mergeCell ref="N1464:O1464"/>
    <mergeCell ref="B1465:O1465"/>
    <mergeCell ref="P1465:R1465"/>
    <mergeCell ref="J1475:M1475"/>
    <mergeCell ref="J1476:M1476"/>
    <mergeCell ref="B1466:O1466"/>
    <mergeCell ref="B1467:O1467"/>
    <mergeCell ref="P1469:R1469"/>
    <mergeCell ref="B1474:R1474"/>
    <mergeCell ref="B1475:E1475"/>
    <mergeCell ref="N1475:R1475"/>
    <mergeCell ref="B1476:E1476"/>
    <mergeCell ref="N1476:R1476"/>
    <mergeCell ref="B1477:R1477"/>
    <mergeCell ref="C1478:K1478"/>
    <mergeCell ref="N1478:R1478"/>
    <mergeCell ref="C1479:K1479"/>
    <mergeCell ref="N1479:R1479"/>
    <mergeCell ref="N1480:R1480"/>
    <mergeCell ref="C1480:K1480"/>
    <mergeCell ref="B1481:R1481"/>
    <mergeCell ref="F1482:J1482"/>
    <mergeCell ref="B1494:C1494"/>
    <mergeCell ref="D1494:M1494"/>
    <mergeCell ref="N1494:O1494"/>
    <mergeCell ref="P1495:R1495"/>
    <mergeCell ref="B1536:R1536"/>
    <mergeCell ref="B1537:E1537"/>
    <mergeCell ref="J1537:M1537"/>
    <mergeCell ref="N1537:R1537"/>
    <mergeCell ref="B1538:E1538"/>
    <mergeCell ref="J1538:M1538"/>
    <mergeCell ref="N1538:R1538"/>
    <mergeCell ref="B1587:O1587"/>
    <mergeCell ref="B1588:O1588"/>
    <mergeCell ref="B1589:O1589"/>
    <mergeCell ref="P1591:R1591"/>
    <mergeCell ref="B1596:R1596"/>
    <mergeCell ref="J1597:M1597"/>
    <mergeCell ref="N1597:R1597"/>
    <mergeCell ref="B1597:E1597"/>
    <mergeCell ref="B1598:E1598"/>
    <mergeCell ref="J1598:M1598"/>
    <mergeCell ref="N1598:R1598"/>
    <mergeCell ref="B1599:R1599"/>
    <mergeCell ref="C1600:K1600"/>
    <mergeCell ref="C1601:K1601"/>
    <mergeCell ref="B1679:O1679"/>
    <mergeCell ref="B1680:O1680"/>
    <mergeCell ref="B1681:O1681"/>
    <mergeCell ref="P1683:R1683"/>
    <mergeCell ref="B1691:R1691"/>
    <mergeCell ref="J1692:M1692"/>
    <mergeCell ref="N1692:R1692"/>
    <mergeCell ref="B1692:E1692"/>
    <mergeCell ref="B1693:E1693"/>
    <mergeCell ref="J1693:M1693"/>
    <mergeCell ref="N1693:R1693"/>
    <mergeCell ref="B1694:R1694"/>
    <mergeCell ref="C1695:K1695"/>
    <mergeCell ref="C1696:K1696"/>
    <mergeCell ref="N1885:R1885"/>
    <mergeCell ref="N1886:R1886"/>
    <mergeCell ref="C1887:K1887"/>
    <mergeCell ref="N1887:R1887"/>
    <mergeCell ref="B1888:R1888"/>
    <mergeCell ref="F1889:J1889"/>
    <mergeCell ref="B1901:C1901"/>
    <mergeCell ref="D1901:M1901"/>
    <mergeCell ref="N1901:O1901"/>
    <mergeCell ref="B1902:O1902"/>
    <mergeCell ref="P1902:R1902"/>
    <mergeCell ref="B1903:O1903"/>
    <mergeCell ref="B1904:O1904"/>
    <mergeCell ref="P1906:R1906"/>
    <mergeCell ref="B1822:R1822"/>
    <mergeCell ref="C1823:K1823"/>
    <mergeCell ref="N1823:R1823"/>
    <mergeCell ref="C1824:K1824"/>
    <mergeCell ref="N1824:R1824"/>
    <mergeCell ref="C1825:K1825"/>
    <mergeCell ref="N1825:R1825"/>
    <mergeCell ref="B1826:R1826"/>
    <mergeCell ref="F1827:J1827"/>
    <mergeCell ref="B1839:C1839"/>
    <mergeCell ref="D1839:M1839"/>
    <mergeCell ref="N1839:O1839"/>
    <mergeCell ref="B1840:O1840"/>
    <mergeCell ref="P1840:R1840"/>
    <mergeCell ref="J1851:M1851"/>
    <mergeCell ref="J1852:M1852"/>
    <mergeCell ref="B1841:O1841"/>
    <mergeCell ref="B1842:O1842"/>
    <mergeCell ref="P1844:R1844"/>
    <mergeCell ref="B1850:R1850"/>
    <mergeCell ref="B1851:E1851"/>
    <mergeCell ref="N1851:R1851"/>
    <mergeCell ref="B1852:E1852"/>
    <mergeCell ref="N1852:R1852"/>
    <mergeCell ref="B1853:R1853"/>
    <mergeCell ref="C1854:K1854"/>
    <mergeCell ref="N1854:R1854"/>
    <mergeCell ref="C1855:K1855"/>
    <mergeCell ref="N1855:R1855"/>
    <mergeCell ref="N1856:R1856"/>
    <mergeCell ref="C1856:K1856"/>
    <mergeCell ref="B1857:R1857"/>
    <mergeCell ref="F1858:J1858"/>
    <mergeCell ref="B1870:C1870"/>
    <mergeCell ref="D1870:M1870"/>
    <mergeCell ref="N1870:O1870"/>
    <mergeCell ref="P1871:R1871"/>
    <mergeCell ref="B1912:R1912"/>
    <mergeCell ref="B1913:E1913"/>
    <mergeCell ref="J1913:M1913"/>
    <mergeCell ref="N1913:R1913"/>
    <mergeCell ref="B1914:E1914"/>
    <mergeCell ref="J1914:M1914"/>
    <mergeCell ref="N1914:R1914"/>
    <mergeCell ref="N1695:R1695"/>
    <mergeCell ref="N1696:R1696"/>
    <mergeCell ref="C1697:K1697"/>
    <mergeCell ref="N1697:R1697"/>
    <mergeCell ref="B1698:R1698"/>
    <mergeCell ref="F1699:J1699"/>
    <mergeCell ref="B1711:C1711"/>
    <mergeCell ref="D1711:M1711"/>
    <mergeCell ref="N1711:O1711"/>
    <mergeCell ref="B1712:O1712"/>
    <mergeCell ref="P1712:R1712"/>
    <mergeCell ref="B1713:O1713"/>
    <mergeCell ref="B1714:O1714"/>
    <mergeCell ref="P1716:R1716"/>
    <mergeCell ref="B1630:R1630"/>
    <mergeCell ref="C1631:K1631"/>
    <mergeCell ref="N1631:R1631"/>
    <mergeCell ref="C1632:K1632"/>
    <mergeCell ref="N1632:R1632"/>
    <mergeCell ref="C1633:K1633"/>
    <mergeCell ref="N1633:R1633"/>
    <mergeCell ref="B1634:R1634"/>
    <mergeCell ref="F1635:J1635"/>
    <mergeCell ref="B1647:C1647"/>
    <mergeCell ref="D1647:M1647"/>
    <mergeCell ref="N1647:O1647"/>
    <mergeCell ref="B1648:O1648"/>
    <mergeCell ref="P1648:R1648"/>
    <mergeCell ref="J1659:M1659"/>
    <mergeCell ref="J1660:M1660"/>
    <mergeCell ref="B1649:O1649"/>
    <mergeCell ref="B1650:O1650"/>
    <mergeCell ref="P1652:R1652"/>
    <mergeCell ref="B1658:R1658"/>
    <mergeCell ref="B1659:E1659"/>
    <mergeCell ref="N1659:R1659"/>
    <mergeCell ref="B1660:E1660"/>
    <mergeCell ref="N1660:R1660"/>
    <mergeCell ref="B1661:R1661"/>
    <mergeCell ref="C1662:K1662"/>
    <mergeCell ref="N1662:R1662"/>
    <mergeCell ref="C1663:K1663"/>
    <mergeCell ref="N1663:R1663"/>
    <mergeCell ref="N1664:R1664"/>
    <mergeCell ref="C1664:K1664"/>
    <mergeCell ref="B1665:R1665"/>
    <mergeCell ref="F1666:J1666"/>
    <mergeCell ref="B1678:C1678"/>
    <mergeCell ref="D1678:M1678"/>
    <mergeCell ref="N1678:O1678"/>
    <mergeCell ref="P1679:R1679"/>
    <mergeCell ref="B1722:R1722"/>
    <mergeCell ref="B1723:E1723"/>
    <mergeCell ref="J1723:M1723"/>
    <mergeCell ref="N1723:R1723"/>
    <mergeCell ref="B1724:E1724"/>
    <mergeCell ref="J1724:M1724"/>
    <mergeCell ref="N1724:R1724"/>
    <mergeCell ref="B1775:O1775"/>
    <mergeCell ref="B1776:O1776"/>
    <mergeCell ref="B1777:O1777"/>
    <mergeCell ref="P1779:R1779"/>
    <mergeCell ref="B1787:R1787"/>
    <mergeCell ref="J1788:M1788"/>
    <mergeCell ref="N1788:R1788"/>
    <mergeCell ref="B1788:E1788"/>
    <mergeCell ref="B1789:E1789"/>
    <mergeCell ref="J1789:M1789"/>
    <mergeCell ref="N1789:R1789"/>
    <mergeCell ref="B1790:R1790"/>
    <mergeCell ref="C1791:K1791"/>
    <mergeCell ref="C1792:K1792"/>
    <mergeCell ref="N1791:R1791"/>
    <mergeCell ref="N1792:R1792"/>
    <mergeCell ref="C1793:K1793"/>
    <mergeCell ref="N1793:R1793"/>
    <mergeCell ref="B1794:R1794"/>
    <mergeCell ref="F1795:J1795"/>
    <mergeCell ref="B1807:C1807"/>
    <mergeCell ref="D1807:M1807"/>
    <mergeCell ref="N1807:O1807"/>
    <mergeCell ref="B1808:O1808"/>
    <mergeCell ref="P1808:R1808"/>
    <mergeCell ref="B1809:O1809"/>
    <mergeCell ref="B1810:O1810"/>
    <mergeCell ref="P1812:R1812"/>
    <mergeCell ref="B1725:R1725"/>
    <mergeCell ref="C1726:K1726"/>
    <mergeCell ref="N1726:R1726"/>
    <mergeCell ref="C1727:K1727"/>
    <mergeCell ref="N1727:R1727"/>
    <mergeCell ref="C1728:K1728"/>
    <mergeCell ref="N1728:R1728"/>
    <mergeCell ref="B1729:R1729"/>
    <mergeCell ref="F1730:J1730"/>
    <mergeCell ref="B1742:C1742"/>
    <mergeCell ref="D1742:M1742"/>
    <mergeCell ref="N1742:O1742"/>
    <mergeCell ref="B1743:O1743"/>
    <mergeCell ref="P1743:R1743"/>
    <mergeCell ref="J1755:M1755"/>
    <mergeCell ref="J1756:M1756"/>
    <mergeCell ref="B1744:O1744"/>
    <mergeCell ref="B1745:O1745"/>
    <mergeCell ref="P1747:R1747"/>
    <mergeCell ref="B1754:R1754"/>
    <mergeCell ref="B1755:E1755"/>
    <mergeCell ref="N1755:R1755"/>
    <mergeCell ref="B1756:E1756"/>
    <mergeCell ref="N1756:R1756"/>
    <mergeCell ref="B1757:R1757"/>
    <mergeCell ref="C1758:K1758"/>
    <mergeCell ref="N1758:R1758"/>
    <mergeCell ref="C1759:K1759"/>
    <mergeCell ref="N1759:R1759"/>
    <mergeCell ref="N1760:R1760"/>
    <mergeCell ref="C1760:K1760"/>
    <mergeCell ref="B1761:R1761"/>
    <mergeCell ref="F1762:J1762"/>
    <mergeCell ref="B1774:C1774"/>
    <mergeCell ref="D1774:M1774"/>
    <mergeCell ref="N1774:O1774"/>
    <mergeCell ref="P1775:R1775"/>
    <mergeCell ref="B1819:R1819"/>
    <mergeCell ref="B1820:E1820"/>
    <mergeCell ref="J1820:M1820"/>
    <mergeCell ref="N1820:R1820"/>
    <mergeCell ref="B1821:E1821"/>
    <mergeCell ref="J1821:M1821"/>
    <mergeCell ref="N1821:R1821"/>
    <mergeCell ref="B1871:O1871"/>
    <mergeCell ref="B1872:O1872"/>
    <mergeCell ref="B1873:O1873"/>
    <mergeCell ref="P1875:R1875"/>
    <mergeCell ref="B1881:R1881"/>
    <mergeCell ref="J1882:M1882"/>
    <mergeCell ref="N1882:R1882"/>
    <mergeCell ref="B1882:E1882"/>
    <mergeCell ref="B1883:E1883"/>
    <mergeCell ref="J1883:M1883"/>
    <mergeCell ref="N1883:R1883"/>
    <mergeCell ref="B1884:R1884"/>
    <mergeCell ref="C1885:K1885"/>
    <mergeCell ref="C1886:K1886"/>
    <mergeCell ref="B1964:O1964"/>
    <mergeCell ref="B1965:O1965"/>
    <mergeCell ref="B1966:O1966"/>
    <mergeCell ref="P1968:R1968"/>
    <mergeCell ref="B1974:R1974"/>
    <mergeCell ref="J1975:M1975"/>
    <mergeCell ref="N1975:R1975"/>
    <mergeCell ref="B1975:E1975"/>
    <mergeCell ref="B1976:E1976"/>
    <mergeCell ref="J1976:M1976"/>
    <mergeCell ref="N1976:R1976"/>
    <mergeCell ref="B1977:R1977"/>
    <mergeCell ref="C1978:K1978"/>
    <mergeCell ref="C1979:K1979"/>
    <mergeCell ref="B2850:R2850"/>
    <mergeCell ref="C2851:K2851"/>
    <mergeCell ref="N2851:R2851"/>
    <mergeCell ref="C2852:K2852"/>
    <mergeCell ref="N2852:R2852"/>
    <mergeCell ref="C2853:K2853"/>
    <mergeCell ref="N2853:R2853"/>
    <mergeCell ref="B2854:R2854"/>
    <mergeCell ref="F2855:J2855"/>
    <mergeCell ref="B2867:C2867"/>
    <mergeCell ref="D2867:M2867"/>
    <mergeCell ref="N2867:O2867"/>
    <mergeCell ref="B2868:O2868"/>
    <mergeCell ref="P2868:R2868"/>
    <mergeCell ref="B2787:E2787"/>
    <mergeCell ref="J2787:M2787"/>
    <mergeCell ref="N2787:R2787"/>
    <mergeCell ref="B2788:R2788"/>
    <mergeCell ref="C2789:K2789"/>
    <mergeCell ref="N2789:R2789"/>
    <mergeCell ref="N2790:R2790"/>
    <mergeCell ref="C2790:K2790"/>
    <mergeCell ref="C2791:K2791"/>
    <mergeCell ref="N2791:R2791"/>
    <mergeCell ref="B2792:R2792"/>
    <mergeCell ref="F2793:J2793"/>
    <mergeCell ref="B2805:C2805"/>
    <mergeCell ref="N2805:O2805"/>
    <mergeCell ref="D2805:M2805"/>
    <mergeCell ref="B2806:O2806"/>
    <mergeCell ref="P2806:R2806"/>
    <mergeCell ref="B2807:O2807"/>
    <mergeCell ref="B2808:O2808"/>
    <mergeCell ref="P2810:R2810"/>
    <mergeCell ref="B2816:R2816"/>
    <mergeCell ref="B2817:E2817"/>
    <mergeCell ref="J2817:M2817"/>
    <mergeCell ref="N2817:R2817"/>
    <mergeCell ref="B2818:E2818"/>
    <mergeCell ref="J2818:M2818"/>
    <mergeCell ref="N2818:R2818"/>
    <mergeCell ref="B2819:R2819"/>
    <mergeCell ref="C2820:K2820"/>
    <mergeCell ref="N2820:R2820"/>
    <mergeCell ref="C2821:K2821"/>
    <mergeCell ref="N2821:R2821"/>
    <mergeCell ref="C2822:K2822"/>
    <mergeCell ref="N2822:R2822"/>
    <mergeCell ref="B2823:R2823"/>
    <mergeCell ref="F2824:J2824"/>
    <mergeCell ref="B2836:C2836"/>
    <mergeCell ref="D2836:M2836"/>
    <mergeCell ref="N2836:O2836"/>
    <mergeCell ref="B2837:O2837"/>
    <mergeCell ref="B2838:O2838"/>
    <mergeCell ref="B2839:O2839"/>
    <mergeCell ref="J2878:M2878"/>
    <mergeCell ref="J2879:M2879"/>
  </mergeCells>
  <dataValidations>
    <dataValidation type="list" allowBlank="1" showErrorMessage="1" sqref="F11:J20 X11:AB20 F40:J49 F70:J79 F100:J109 F130:J139 F160:J169 F190:J199 F220:J229 F250:J259 F280:J289 F310:J319 F340:J349 F370:J379 F400:J409 F430:J439 F460:J469 F490:J499 F520:J529 F550:J559 F579:J588 F608:J617 F637:J646 F666:J675 F695:J704 F724:J733 F753:J762 F782:J791 F811:J820 F841:J850 F871:J880 F901:J910 F931:J940 F961:J970 F991:J1000 F1021:J1030 F1052:J1061 F1082:J1091 F1112:J1121 F1143:J1152 F1174:J1183 F1205:J1214 F1236:J1245 F1267:J1276 F1299:J1308 F1330:J1339 F1361:J1370 F1392:J1401 F1423:J1432 F1453:J1462 F1483:J1492 F1515:J1524 F1545:J1554 F1575:J1584 F1605:J1614 F1636:J1645 F1667:J1676 F1700:J1709 F1731:J1740 F1763:J1772 F1796:J1805 F1828:J1837 F1859:J1868 F1890:J1899 F1921:J1930 F1952:J1961 F1983:J1992 F2014:J2023 F2045:J2054 F2075:J2084 F2106:J2115 F2137:J2146 F2167:J2176 F2198:J2207 F2228:J2237 F2257:J2266 F2287:J2296 F2338:J2347 F2368:J2377 F2398:J2407 F2428:J2437 F2458:J2467 F2488:J2497 F2518:J2527 F2549:J2558 F2579:J2588 F2610:J2619 F2640:J2649 F2670:J2679 F2701:J2710 F2732:J2741 F2763:J2772 F2794:J2803 F2825:J2834 F2856:J2865 F2886:J2895 F2917:J2926 F2948:J2957 F2979:J2988 F3011:J3020 F3042:J3051 F3073:J3082 F3105:J3114 F3136:J3145 F3167:J3176 F3197:J3206 F3228:J3237 F3259:J3268 F3290:J3299 F3321:J3330 F3353:J3362">
      <formula1>"DHROL,JAMNAGAR,LALPUR,KALAVAD,WAKANER,HALVAD,THANGADH,CHOTILA,TANKARA,MORBI,PIPLIYA,DHORAJI,UPLETA,JAMJODHPUR,BHANVAD,KUTIYANA,RANAVAV,PORBANDAR,MIYANI,SIKAPATIYA,JAMKHAMBHADIYA,BHATIYA,DHWARIKA,MITHAPUR,GONDAL,KESOD,GADU,VERAVAL,SUTRAPADA,MENDERDA,TALALA"&amp;",KODINAR,DOLASA,JETPUR,JUNAGADH,MANGROL,MADHAVPUR,UNA"</formula1>
    </dataValidation>
    <dataValidation type="list" allowBlank="1" showErrorMessage="1" sqref="K11:K20 AC11:AC20 K40:K49 K70:K79 K100:K109 K130:K139 K160:K169 K190:K199 K220:K229 K250:K259 K280:K289 K310:K319 K340:K349 K370:K379 K400:K409 K430:K439 K460:K469 K490:K499 K520:K529 K550:K559 K579:K588 K608:K617 K637:K646 K666:K675 K695:K704 K724:K733 K753:K762 K782:K791 K811:K820 K841:K850 K871:K880 K901:K910 K931:K940 K961:K970 K991:K1000 K1021:K1030 K1052:K1061 K1082:K1091 K1112:K1121 K1143:K1152 K1174:K1183 K1205:K1214 K1236:K1245 K1267:K1276 K1299:K1308 K1330:K1339 K1361:K1370 K1392:K1401 K1423:K1432 K1453:K1462 K1483:K1492 K1515:K1524 K1545:K1554 K1575:K1584 K1605:K1614 K1636 K1638:K1645 K1667:K1676 K1700:K1709 K1731:K1740 K1763:K1772 K1796:K1805 K1828:K1837 K1859:K1868 K1890:K1899 K1921:K1930 K1952:K1961 K1983:K1992 K2014:K2023 K2045:K2054 K2075:K2084 K2106:K2115 K2137:K2146 K2167:K2176 K2198:K2207 K2228:K2237 K2257:K2266 K2287:K2296 K2338:K2347 K2368:K2377 K2398:K2407 K2428:K2437 K2458:K2467 K2488:K2497 K2518:K2527 K2549:K2558 K2579:K2588 K2610:K2619 K2640:K2649 K2670:K2679 K2701:K2710 K2732:K2741 K2763:K2772 K2794:K2803 K2825:K2834 K2856:K2865 K2886:K2895 K2917:K2926 K2948:K2957 K2979:K2988 K3011:K3020 K3042:K3051 K3073:K3082 K3105:K3114 K3136:K3145 K3167:K3176 K3197:K3206 K3228:K3237 K3259:K3268 K3290:K3299 K3321:K3330 K3353:K3362">
      <formula1>"TATA 407,TATA 709,BOLERO,TATA 407 TURBO"</formula1>
    </dataValidation>
    <dataValidation type="list" allowBlank="1" showErrorMessage="1" sqref="E11:E20 W11:W20 E40:E49 E70:E79 E100:E109 E130:E139 E160:E169 E190:E199 E220:E229 E250:E259 E280:E289 E310:E319 E340:E349 E370:E379 E400:E409 E430:E439 E460:E469 E490:E499 E520:E529 E550:E559 E579:E588 E608:E617 E637:E646 E666:E675 E695:E704 E724:E733 E753:E762 E782:E791 E811:E820 E841:E850 E871:E880 E901:E910 E931:E940 E961:E970 E991:E1000 E1021:E1030 E1052:E1061 E1082:E1091 E1112:E1121 E1143:E1152 E1174:E1183 E1205:E1214 E1236:E1241 E1243:E1245 E1267:E1276 E1299:E1308 E1330:E1339 E1361:E1370 E1392:E1401 E1423:E1432 E1453:E1462 E1483:E1492 E1515:E1524 E1545:E1554 E1575:E1584 E1605:E1614 E1636:E1645 E1667:E1676 E1700:E1709 E1731:E1740 E1763:E1772 E1796:E1805 E1828:E1837 E1859:E1868 E1890:E1899 E1921:E1930 E1952:E1961 E1983:E1992 E2014:E2023 E2045:E2054 E2075:E2084 E2106:E2115 E2137:E2146 E2167:E2176 E2198:E2207 E2228:E2237 E2257:E2266 E2287:E2296 E2338:E2347 E2368:E2377 E2398:E2407 E2428:E2437 E2458:E2467 E2488:E2497 E2518:E2527 E2549:E2558 E2579:E2588 E2610:E2619 E2640:E2649 E2670:E2679 E2701:E2710 E2732:E2741 E2763:E2772 E2794:E2803 E2825:E2834 E2856:E2865 E2886:E2895 E2917:E2926 E2948:E2957 E2979:E2988 E3011:E3020 E3042:E3051 E3073:E3082 E3105:E3114 E3136:E3145 E3167:E3176 E3197:E3206 E3228:E3237 E3259:E3268 E3290:E3299 E3321:E3330 E3353:E3362">
      <formula1>"U1,U2,U3,U4,U5,U6,U7,U8,U9,U10,U11,U12"</formula1>
    </dataValidation>
  </dataValidations>
  <hyperlinks>
    <hyperlink r:id="rId1" ref="C10"/>
    <hyperlink r:id="rId2" ref="U10"/>
    <hyperlink r:id="rId3" ref="C39"/>
    <hyperlink r:id="rId4" ref="C69"/>
    <hyperlink r:id="rId5" ref="C99"/>
    <hyperlink r:id="rId6" ref="C129"/>
    <hyperlink r:id="rId7" ref="C159"/>
    <hyperlink r:id="rId8" ref="C189"/>
    <hyperlink r:id="rId9" ref="C219"/>
    <hyperlink r:id="rId10" ref="C249"/>
    <hyperlink r:id="rId11" ref="C279"/>
    <hyperlink r:id="rId12" ref="C309"/>
    <hyperlink r:id="rId13" ref="C339"/>
    <hyperlink r:id="rId14" ref="C369"/>
    <hyperlink r:id="rId15" ref="C399"/>
    <hyperlink r:id="rId16" ref="C429"/>
    <hyperlink r:id="rId17" ref="C459"/>
    <hyperlink r:id="rId18" ref="C489"/>
    <hyperlink r:id="rId19" ref="C519"/>
    <hyperlink r:id="rId20" ref="C549"/>
    <hyperlink r:id="rId21" ref="C578"/>
    <hyperlink r:id="rId22" ref="C607"/>
    <hyperlink r:id="rId23" ref="C636"/>
    <hyperlink r:id="rId24" ref="C665"/>
    <hyperlink r:id="rId25" ref="C694"/>
    <hyperlink r:id="rId26" ref="C723"/>
    <hyperlink r:id="rId27" ref="C752"/>
    <hyperlink r:id="rId28" ref="C781"/>
    <hyperlink r:id="rId29" ref="C810"/>
    <hyperlink r:id="rId30" ref="C840"/>
    <hyperlink r:id="rId31" ref="C870"/>
    <hyperlink r:id="rId32" ref="C900"/>
    <hyperlink r:id="rId33" ref="C930"/>
    <hyperlink r:id="rId34" ref="C960"/>
    <hyperlink r:id="rId35" ref="C990"/>
    <hyperlink r:id="rId36" ref="C1020"/>
    <hyperlink r:id="rId37" ref="C1051"/>
    <hyperlink r:id="rId38" ref="C1081"/>
    <hyperlink r:id="rId39" ref="C1111"/>
    <hyperlink r:id="rId40" ref="C1142"/>
    <hyperlink r:id="rId41" ref="C1173"/>
    <hyperlink r:id="rId42" ref="C1204"/>
    <hyperlink r:id="rId43" ref="C1235"/>
    <hyperlink r:id="rId44" ref="C1266"/>
    <hyperlink r:id="rId45" ref="C1298"/>
    <hyperlink r:id="rId46" ref="C1329"/>
    <hyperlink r:id="rId47" ref="C1360"/>
    <hyperlink r:id="rId48" ref="C1391"/>
    <hyperlink r:id="rId49" ref="C1422"/>
    <hyperlink r:id="rId50" ref="C1452"/>
    <hyperlink r:id="rId51" ref="C1482"/>
    <hyperlink r:id="rId52" ref="C1514"/>
    <hyperlink r:id="rId53" ref="C1544"/>
    <hyperlink r:id="rId54" ref="C1574"/>
    <hyperlink r:id="rId55" ref="C1604"/>
    <hyperlink r:id="rId56" ref="C1635"/>
    <hyperlink r:id="rId57" ref="C1666"/>
    <hyperlink r:id="rId58" ref="C1699"/>
    <hyperlink r:id="rId59" ref="C1730"/>
    <hyperlink r:id="rId60" ref="C1762"/>
    <hyperlink r:id="rId61" ref="C1795"/>
    <hyperlink r:id="rId62" ref="C1827"/>
    <hyperlink r:id="rId63" ref="C1858"/>
    <hyperlink r:id="rId64" ref="C1889"/>
    <hyperlink r:id="rId65" ref="C1920"/>
    <hyperlink r:id="rId66" ref="C1951"/>
    <hyperlink r:id="rId67" ref="C1982"/>
    <hyperlink r:id="rId68" ref="C2013"/>
    <hyperlink r:id="rId69" ref="C2044"/>
    <hyperlink r:id="rId70" ref="C2074"/>
    <hyperlink r:id="rId71" ref="C2105"/>
    <hyperlink r:id="rId72" ref="C2136"/>
    <hyperlink r:id="rId73" ref="C2166"/>
    <hyperlink r:id="rId74" ref="C2197"/>
    <hyperlink r:id="rId75" ref="C2227"/>
    <hyperlink r:id="rId76" ref="C2256"/>
    <hyperlink r:id="rId77" ref="C2286"/>
    <hyperlink r:id="rId78" ref="C2337"/>
    <hyperlink r:id="rId79" ref="C2367"/>
    <hyperlink r:id="rId80" ref="C2397"/>
    <hyperlink r:id="rId81" ref="C2427"/>
    <hyperlink r:id="rId82" ref="C2457"/>
    <hyperlink r:id="rId83" ref="C2487"/>
    <hyperlink r:id="rId84" ref="C2517"/>
    <hyperlink r:id="rId85" ref="C2548"/>
    <hyperlink r:id="rId86" ref="C2578"/>
    <hyperlink r:id="rId87" ref="C2609"/>
    <hyperlink r:id="rId88" ref="C2639"/>
    <hyperlink r:id="rId89" ref="C2669"/>
    <hyperlink r:id="rId90" ref="C2700"/>
    <hyperlink r:id="rId91" ref="C2731"/>
    <hyperlink r:id="rId92" ref="C2762"/>
    <hyperlink r:id="rId93" ref="C2793"/>
    <hyperlink r:id="rId94" ref="C2824"/>
    <hyperlink r:id="rId95" ref="C2855"/>
    <hyperlink r:id="rId96" ref="C2885"/>
    <hyperlink r:id="rId97" ref="C2916"/>
    <hyperlink r:id="rId98" ref="C2947"/>
    <hyperlink r:id="rId99" ref="C2978"/>
    <hyperlink r:id="rId100" ref="C3010"/>
    <hyperlink r:id="rId101" ref="C3041"/>
    <hyperlink r:id="rId102" ref="C3072"/>
    <hyperlink r:id="rId103" ref="C3104"/>
    <hyperlink r:id="rId104" ref="C3135"/>
    <hyperlink r:id="rId105" ref="C3166"/>
    <hyperlink r:id="rId106" ref="C3196"/>
    <hyperlink r:id="rId107" ref="C3227"/>
    <hyperlink r:id="rId108" ref="C3258"/>
    <hyperlink r:id="rId109" ref="C3289"/>
    <hyperlink r:id="rId110" ref="C3320"/>
    <hyperlink r:id="rId111" ref="C335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